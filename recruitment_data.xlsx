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DF68855B-1514-4154-A7DB-4115EE9DA060}" xr6:coauthVersionLast="47" xr6:coauthVersionMax="47" xr10:uidLastSave="{00000000-0000-0000-0000-000000000000}"/>
  <bookViews>
    <workbookView xWindow="-108" yWindow="-108" windowWidth="23256" windowHeight="12456" activeTab="2" xr2:uid="{26EB5F2D-FCF5-4F11-9ED1-C71844357D3A}"/>
  </bookViews>
  <sheets>
    <sheet name="PivotData" sheetId="5" r:id="rId1"/>
    <sheet name="Dashboard" sheetId="6" r:id="rId2"/>
    <sheet name="recruitment_data" sheetId="1" r:id="rId3"/>
  </sheets>
  <definedNames>
    <definedName name="_xlchart.v2.0" hidden="1">PivotData!$A$8:$A$12</definedName>
    <definedName name="_xlchart.v2.1" hidden="1">PivotData!$B$8:$B$12</definedName>
    <definedName name="_xlchart.v2.2" hidden="1">PivotData!$A$8:$A$12</definedName>
    <definedName name="_xlchart.v2.3" hidden="1">PivotData!$B$8:$B$12</definedName>
    <definedName name="_xlchart.v2.4" hidden="1">recruitment_data!$W$3:$W$6</definedName>
    <definedName name="_xlchart.v2.5" hidden="1">recruitment_data!$X$2</definedName>
    <definedName name="_xlchart.v2.6" hidden="1">recruitment_data!$X$3:$X$6</definedName>
    <definedName name="_xlchart.v2.7" hidden="1">recruitment_data!$Y$2</definedName>
    <definedName name="_xlchart.v2.8" hidden="1">recruitment_data!$Y$3:$Y$6</definedName>
    <definedName name="Monthlist">"Month"</definedName>
    <definedName name="Slicer_HiringDecision">#N/A</definedName>
    <definedName name="Slicer_Month">#N/A</definedName>
    <definedName name="Slicer_RecruitmentStrategy">#N/A</definedName>
    <definedName name="Sourcelist">"RecruitmentStrategy"</definedName>
  </definedNames>
  <calcPr calcId="0"/>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6" l="1"/>
  <c r="D4" i="6"/>
  <c r="W21" i="1"/>
  <c r="W23" i="1"/>
  <c r="W16" i="1"/>
  <c r="X16" i="1"/>
  <c r="Y16" i="1"/>
  <c r="Z16" i="1"/>
  <c r="W17" i="1"/>
  <c r="X17" i="1"/>
  <c r="Y17" i="1"/>
  <c r="Z17" i="1"/>
  <c r="W18" i="1"/>
  <c r="X18" i="1"/>
  <c r="Y18" i="1"/>
  <c r="Z18" i="1"/>
  <c r="X10" i="1"/>
  <c r="Y10" i="1"/>
  <c r="Z10" i="1" s="1"/>
  <c r="X11" i="1"/>
  <c r="Y11" i="1"/>
  <c r="Z11" i="1" s="1"/>
  <c r="X12" i="1"/>
  <c r="Y12" i="1"/>
  <c r="Z12"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N4" i="1"/>
  <c r="N5" i="1"/>
  <c r="N6" i="1"/>
  <c r="N8" i="1"/>
  <c r="N9" i="1"/>
  <c r="N11" i="1"/>
  <c r="N12" i="1"/>
  <c r="N13" i="1"/>
  <c r="N15" i="1"/>
  <c r="N16" i="1"/>
  <c r="N17" i="1"/>
  <c r="N18" i="1"/>
  <c r="N19" i="1"/>
  <c r="N20" i="1"/>
  <c r="N21" i="1"/>
  <c r="N22" i="1"/>
  <c r="N24" i="1"/>
  <c r="N25" i="1"/>
  <c r="N26" i="1"/>
  <c r="N28" i="1"/>
  <c r="N29" i="1"/>
  <c r="N30" i="1"/>
  <c r="N31" i="1"/>
  <c r="N32" i="1"/>
  <c r="N33" i="1"/>
  <c r="N36" i="1"/>
  <c r="N37" i="1"/>
  <c r="N38" i="1"/>
  <c r="N41" i="1"/>
  <c r="N42" i="1"/>
  <c r="N44" i="1"/>
  <c r="N45" i="1"/>
  <c r="N48" i="1"/>
  <c r="N49" i="1"/>
  <c r="N50" i="1"/>
  <c r="N51" i="1"/>
  <c r="N52" i="1"/>
  <c r="N53" i="1"/>
  <c r="N54" i="1"/>
  <c r="N57" i="1"/>
  <c r="N58" i="1"/>
  <c r="N59" i="1"/>
  <c r="N60" i="1"/>
  <c r="N64" i="1"/>
  <c r="N65" i="1"/>
  <c r="N66" i="1"/>
  <c r="N68" i="1"/>
  <c r="N69" i="1"/>
  <c r="N70" i="1"/>
  <c r="N71" i="1"/>
  <c r="N73" i="1"/>
  <c r="N74" i="1"/>
  <c r="N75" i="1"/>
  <c r="N76" i="1"/>
  <c r="N78" i="1"/>
  <c r="N79" i="1"/>
  <c r="N80" i="1"/>
  <c r="N81" i="1"/>
  <c r="N82" i="1"/>
  <c r="N84" i="1"/>
  <c r="N85" i="1"/>
  <c r="N89" i="1"/>
  <c r="N91" i="1"/>
  <c r="N93" i="1"/>
  <c r="N96" i="1"/>
  <c r="N97" i="1"/>
  <c r="N98" i="1"/>
  <c r="N100" i="1"/>
  <c r="N101" i="1"/>
  <c r="N102" i="1"/>
  <c r="N104" i="1"/>
  <c r="N105" i="1"/>
  <c r="N106" i="1"/>
  <c r="N108" i="1"/>
  <c r="N109" i="1"/>
  <c r="N110" i="1"/>
  <c r="N113" i="1"/>
  <c r="N115" i="1"/>
  <c r="N116" i="1"/>
  <c r="N119" i="1"/>
  <c r="N122" i="1"/>
  <c r="N123" i="1"/>
  <c r="N124" i="1"/>
  <c r="N126" i="1"/>
  <c r="N127" i="1"/>
  <c r="N128" i="1"/>
  <c r="N129" i="1"/>
  <c r="N132" i="1"/>
  <c r="N133" i="1"/>
  <c r="N136" i="1"/>
  <c r="N138" i="1"/>
  <c r="N139" i="1"/>
  <c r="N140" i="1"/>
  <c r="N141" i="1"/>
  <c r="N142" i="1"/>
  <c r="N143" i="1"/>
  <c r="N144" i="1"/>
  <c r="N145" i="1"/>
  <c r="N146" i="1"/>
  <c r="N147" i="1"/>
  <c r="N149" i="1"/>
  <c r="N150" i="1"/>
  <c r="N152" i="1"/>
  <c r="N153" i="1"/>
  <c r="N157" i="1"/>
  <c r="N158" i="1"/>
  <c r="N159" i="1"/>
  <c r="N161" i="1"/>
  <c r="N162" i="1"/>
  <c r="N164" i="1"/>
  <c r="N166" i="1"/>
  <c r="N169" i="1"/>
  <c r="N170" i="1"/>
  <c r="N171" i="1"/>
  <c r="N172" i="1"/>
  <c r="N174" i="1"/>
  <c r="N176" i="1"/>
  <c r="N177" i="1"/>
  <c r="N178" i="1"/>
  <c r="N181" i="1"/>
  <c r="N182" i="1"/>
  <c r="N184" i="1"/>
  <c r="N185" i="1"/>
  <c r="N186" i="1"/>
  <c r="N187" i="1"/>
  <c r="N193" i="1"/>
  <c r="N195" i="1"/>
  <c r="N196" i="1"/>
  <c r="N198" i="1"/>
  <c r="N199" i="1"/>
  <c r="N201" i="1"/>
  <c r="N203" i="1"/>
  <c r="N204" i="1"/>
  <c r="N205" i="1"/>
  <c r="N208" i="1"/>
  <c r="N209" i="1"/>
  <c r="N211" i="1"/>
  <c r="N212" i="1"/>
  <c r="N213" i="1"/>
  <c r="N218" i="1"/>
  <c r="N219" i="1"/>
  <c r="N220" i="1"/>
  <c r="N221" i="1"/>
  <c r="N225" i="1"/>
  <c r="N227" i="1"/>
  <c r="N229" i="1"/>
  <c r="N230" i="1"/>
  <c r="N231" i="1"/>
  <c r="N233" i="1"/>
  <c r="N234" i="1"/>
  <c r="N235" i="1"/>
  <c r="N236" i="1"/>
  <c r="N237" i="1"/>
  <c r="N238" i="1"/>
  <c r="N239" i="1"/>
  <c r="N240" i="1"/>
  <c r="N241" i="1"/>
  <c r="N242" i="1"/>
  <c r="N243" i="1"/>
  <c r="N244" i="1"/>
  <c r="N246" i="1"/>
  <c r="N247" i="1"/>
  <c r="N248" i="1"/>
  <c r="N249" i="1"/>
  <c r="N250" i="1"/>
  <c r="N253" i="1"/>
  <c r="N254" i="1"/>
  <c r="N256" i="1"/>
  <c r="N257" i="1"/>
  <c r="N258" i="1"/>
  <c r="N261" i="1"/>
  <c r="N262" i="1"/>
  <c r="N263" i="1"/>
  <c r="N264" i="1"/>
  <c r="N267" i="1"/>
  <c r="N268" i="1"/>
  <c r="N269" i="1"/>
  <c r="N270" i="1"/>
  <c r="N272" i="1"/>
  <c r="N273" i="1"/>
  <c r="N274" i="1"/>
  <c r="N275" i="1"/>
  <c r="N276" i="1"/>
  <c r="N277" i="1"/>
  <c r="N278" i="1"/>
  <c r="N283" i="1"/>
  <c r="N284" i="1"/>
  <c r="N286" i="1"/>
  <c r="N287" i="1"/>
  <c r="N288" i="1"/>
  <c r="N289" i="1"/>
  <c r="N291" i="1"/>
  <c r="N292" i="1"/>
  <c r="N293" i="1"/>
  <c r="N294" i="1"/>
  <c r="N295" i="1"/>
  <c r="N296" i="1"/>
  <c r="N297" i="1"/>
  <c r="N298" i="1"/>
  <c r="N301" i="1"/>
  <c r="N302" i="1"/>
  <c r="N304" i="1"/>
  <c r="N305" i="1"/>
  <c r="N306" i="1"/>
  <c r="N307" i="1"/>
  <c r="N308" i="1"/>
  <c r="N309" i="1"/>
  <c r="N310" i="1"/>
  <c r="N311" i="1"/>
  <c r="N312" i="1"/>
  <c r="N313" i="1"/>
  <c r="N314" i="1"/>
  <c r="N315" i="1"/>
  <c r="N316" i="1"/>
  <c r="N317" i="1"/>
  <c r="N318" i="1"/>
  <c r="N319" i="1"/>
  <c r="N320" i="1"/>
  <c r="N321" i="1"/>
  <c r="N322" i="1"/>
  <c r="N324" i="1"/>
  <c r="N326" i="1"/>
  <c r="N328" i="1"/>
  <c r="N329" i="1"/>
  <c r="N330" i="1"/>
  <c r="N331" i="1"/>
  <c r="N333" i="1"/>
  <c r="N334" i="1"/>
  <c r="N335" i="1"/>
  <c r="N336" i="1"/>
  <c r="N337" i="1"/>
  <c r="N338" i="1"/>
  <c r="N339" i="1"/>
  <c r="N340" i="1"/>
  <c r="N341" i="1"/>
  <c r="N343" i="1"/>
  <c r="N344" i="1"/>
  <c r="N345" i="1"/>
  <c r="N346" i="1"/>
  <c r="N349" i="1"/>
  <c r="N350" i="1"/>
  <c r="N351" i="1"/>
  <c r="N353" i="1"/>
  <c r="N354" i="1"/>
  <c r="N355" i="1"/>
  <c r="N356" i="1"/>
  <c r="N357" i="1"/>
  <c r="N359" i="1"/>
  <c r="N360" i="1"/>
  <c r="N361" i="1"/>
  <c r="N362" i="1"/>
  <c r="N363" i="1"/>
  <c r="N367" i="1"/>
  <c r="N368" i="1"/>
  <c r="N369" i="1"/>
  <c r="N372" i="1"/>
  <c r="N374" i="1"/>
  <c r="N375" i="1"/>
  <c r="N376" i="1"/>
  <c r="N379" i="1"/>
  <c r="N381" i="1"/>
  <c r="N384" i="1"/>
  <c r="N385" i="1"/>
  <c r="N386" i="1"/>
  <c r="N387" i="1"/>
  <c r="N388" i="1"/>
  <c r="N389" i="1"/>
  <c r="N390" i="1"/>
  <c r="N391" i="1"/>
  <c r="N394" i="1"/>
  <c r="N395" i="1"/>
  <c r="N397" i="1"/>
  <c r="N399" i="1"/>
  <c r="N400" i="1"/>
  <c r="N401" i="1"/>
  <c r="N404" i="1"/>
  <c r="N405" i="1"/>
  <c r="N406" i="1"/>
  <c r="N408" i="1"/>
  <c r="N409" i="1"/>
  <c r="N410" i="1"/>
  <c r="N411" i="1"/>
  <c r="N412" i="1"/>
  <c r="N415" i="1"/>
  <c r="N416" i="1"/>
  <c r="N417" i="1"/>
  <c r="N419" i="1"/>
  <c r="N420" i="1"/>
  <c r="N421" i="1"/>
  <c r="N422" i="1"/>
  <c r="N423" i="1"/>
  <c r="N425" i="1"/>
  <c r="N426" i="1"/>
  <c r="N427" i="1"/>
  <c r="N429" i="1"/>
  <c r="N430" i="1"/>
  <c r="N431" i="1"/>
  <c r="N432" i="1"/>
  <c r="N433" i="1"/>
  <c r="N434" i="1"/>
  <c r="N435" i="1"/>
  <c r="N436" i="1"/>
  <c r="N437" i="1"/>
  <c r="N441" i="1"/>
  <c r="N442" i="1"/>
  <c r="N444" i="1"/>
  <c r="N445" i="1"/>
  <c r="N446" i="1"/>
  <c r="N447" i="1"/>
  <c r="N448" i="1"/>
  <c r="N450" i="1"/>
  <c r="N453" i="1"/>
  <c r="N454" i="1"/>
  <c r="N456" i="1"/>
  <c r="N457" i="1"/>
  <c r="N458" i="1"/>
  <c r="N463" i="1"/>
  <c r="N465" i="1"/>
  <c r="N466" i="1"/>
  <c r="N468" i="1"/>
  <c r="N469" i="1"/>
  <c r="N473" i="1"/>
  <c r="N474" i="1"/>
  <c r="N476" i="1"/>
  <c r="N477" i="1"/>
  <c r="N478" i="1"/>
  <c r="N480" i="1"/>
  <c r="N482" i="1"/>
  <c r="N483" i="1"/>
  <c r="N484" i="1"/>
  <c r="N485" i="1"/>
  <c r="N486" i="1"/>
  <c r="N487" i="1"/>
  <c r="N488" i="1"/>
  <c r="N490" i="1"/>
  <c r="N492" i="1"/>
  <c r="N493" i="1"/>
  <c r="N496" i="1"/>
  <c r="N497" i="1"/>
  <c r="N498" i="1"/>
  <c r="N500" i="1"/>
  <c r="N501" i="1"/>
  <c r="N502" i="1"/>
  <c r="N503" i="1"/>
  <c r="N504" i="1"/>
  <c r="N505" i="1"/>
  <c r="N506" i="1"/>
  <c r="N507" i="1"/>
  <c r="N508" i="1"/>
  <c r="N509" i="1"/>
  <c r="N510" i="1"/>
  <c r="N511" i="1"/>
  <c r="N513" i="1"/>
  <c r="N514" i="1"/>
  <c r="N515" i="1"/>
  <c r="N516" i="1"/>
  <c r="N517" i="1"/>
  <c r="N519" i="1"/>
  <c r="N520" i="1"/>
  <c r="N523" i="1"/>
  <c r="N524" i="1"/>
  <c r="N525" i="1"/>
  <c r="N526" i="1"/>
  <c r="N527" i="1"/>
  <c r="N528" i="1"/>
  <c r="N530" i="1"/>
  <c r="N533" i="1"/>
  <c r="N534" i="1"/>
  <c r="N535" i="1"/>
  <c r="N537" i="1"/>
  <c r="N538" i="1"/>
  <c r="N540" i="1"/>
  <c r="N542" i="1"/>
  <c r="N544" i="1"/>
  <c r="N545" i="1"/>
  <c r="N547" i="1"/>
  <c r="N548" i="1"/>
  <c r="N549" i="1"/>
  <c r="N550" i="1"/>
  <c r="N555" i="1"/>
  <c r="N557" i="1"/>
  <c r="N558" i="1"/>
  <c r="N559" i="1"/>
  <c r="N560" i="1"/>
  <c r="N562" i="1"/>
  <c r="N563" i="1"/>
  <c r="N564" i="1"/>
  <c r="N565" i="1"/>
  <c r="N567" i="1"/>
  <c r="N568" i="1"/>
  <c r="N569" i="1"/>
  <c r="N571" i="1"/>
  <c r="N573" i="1"/>
  <c r="N574" i="1"/>
  <c r="N575" i="1"/>
  <c r="N577" i="1"/>
  <c r="N578" i="1"/>
  <c r="N579" i="1"/>
  <c r="N581" i="1"/>
  <c r="N582" i="1"/>
  <c r="N583" i="1"/>
  <c r="N584" i="1"/>
  <c r="N585" i="1"/>
  <c r="N586" i="1"/>
  <c r="N587" i="1"/>
  <c r="N589" i="1"/>
  <c r="N590" i="1"/>
  <c r="N591" i="1"/>
  <c r="N592" i="1"/>
  <c r="N595" i="1"/>
  <c r="N599" i="1"/>
  <c r="N600" i="1"/>
  <c r="N601" i="1"/>
  <c r="N602" i="1"/>
  <c r="N603" i="1"/>
  <c r="N605" i="1"/>
  <c r="N606" i="1"/>
  <c r="N607" i="1"/>
  <c r="N608" i="1"/>
  <c r="N609" i="1"/>
  <c r="N611" i="1"/>
  <c r="N612" i="1"/>
  <c r="N614" i="1"/>
  <c r="N615" i="1"/>
  <c r="N616" i="1"/>
  <c r="N617" i="1"/>
  <c r="N621" i="1"/>
  <c r="N622" i="1"/>
  <c r="N625" i="1"/>
  <c r="N627" i="1"/>
  <c r="N628" i="1"/>
  <c r="N630" i="1"/>
  <c r="N631" i="1"/>
  <c r="N632" i="1"/>
  <c r="N633" i="1"/>
  <c r="N634" i="1"/>
  <c r="N635" i="1"/>
  <c r="N636" i="1"/>
  <c r="N637" i="1"/>
  <c r="N638" i="1"/>
  <c r="N639" i="1"/>
  <c r="N640" i="1"/>
  <c r="N641" i="1"/>
  <c r="N642" i="1"/>
  <c r="N644" i="1"/>
  <c r="N645" i="1"/>
  <c r="N646" i="1"/>
  <c r="N647" i="1"/>
  <c r="N648" i="1"/>
  <c r="N649" i="1"/>
  <c r="N650" i="1"/>
  <c r="N651" i="1"/>
  <c r="N652" i="1"/>
  <c r="N653" i="1"/>
  <c r="N655" i="1"/>
  <c r="N656" i="1"/>
  <c r="N657" i="1"/>
  <c r="N659" i="1"/>
  <c r="N660" i="1"/>
  <c r="N661" i="1"/>
  <c r="N662" i="1"/>
  <c r="N663" i="1"/>
  <c r="N664" i="1"/>
  <c r="N666" i="1"/>
  <c r="N667" i="1"/>
  <c r="N669" i="1"/>
  <c r="N670" i="1"/>
  <c r="N671" i="1"/>
  <c r="N673" i="1"/>
  <c r="N674" i="1"/>
  <c r="N675" i="1"/>
  <c r="N676" i="1"/>
  <c r="N677" i="1"/>
  <c r="N678" i="1"/>
  <c r="N679" i="1"/>
  <c r="N680" i="1"/>
  <c r="N682" i="1"/>
  <c r="N683" i="1"/>
  <c r="N685" i="1"/>
  <c r="N686" i="1"/>
  <c r="N689" i="1"/>
  <c r="N690" i="1"/>
  <c r="N691" i="1"/>
  <c r="N692" i="1"/>
  <c r="N693" i="1"/>
  <c r="N694" i="1"/>
  <c r="N695" i="1"/>
  <c r="N697" i="1"/>
  <c r="N698" i="1"/>
  <c r="N699" i="1"/>
  <c r="N700" i="1"/>
  <c r="N701" i="1"/>
  <c r="N702" i="1"/>
  <c r="N703" i="1"/>
  <c r="N704" i="1"/>
  <c r="N705" i="1"/>
  <c r="N707" i="1"/>
  <c r="N708" i="1"/>
  <c r="N710" i="1"/>
  <c r="N711" i="1"/>
  <c r="N713" i="1"/>
  <c r="N714" i="1"/>
  <c r="N715" i="1"/>
  <c r="N716" i="1"/>
  <c r="N717" i="1"/>
  <c r="N719" i="1"/>
  <c r="N720" i="1"/>
  <c r="N721" i="1"/>
  <c r="N722" i="1"/>
  <c r="N723" i="1"/>
  <c r="N726" i="1"/>
  <c r="N727" i="1"/>
  <c r="N729" i="1"/>
  <c r="N731" i="1"/>
  <c r="N732" i="1"/>
  <c r="N733" i="1"/>
  <c r="N735" i="1"/>
  <c r="N736" i="1"/>
  <c r="N741" i="1"/>
  <c r="N742" i="1"/>
  <c r="N743" i="1"/>
  <c r="N744" i="1"/>
  <c r="N745" i="1"/>
  <c r="N746" i="1"/>
  <c r="N747" i="1"/>
  <c r="N749" i="1"/>
  <c r="N750" i="1"/>
  <c r="N751" i="1"/>
  <c r="N752" i="1"/>
  <c r="N753" i="1"/>
  <c r="N756" i="1"/>
  <c r="N758" i="1"/>
  <c r="N760" i="1"/>
  <c r="N762" i="1"/>
  <c r="N763" i="1"/>
  <c r="N764" i="1"/>
  <c r="N765" i="1"/>
  <c r="N766" i="1"/>
  <c r="N767" i="1"/>
  <c r="N768" i="1"/>
  <c r="N769" i="1"/>
  <c r="N772" i="1"/>
  <c r="N773" i="1"/>
  <c r="N774" i="1"/>
  <c r="N775" i="1"/>
  <c r="N776" i="1"/>
  <c r="N777" i="1"/>
  <c r="N778" i="1"/>
  <c r="N780" i="1"/>
  <c r="N782" i="1"/>
  <c r="N784" i="1"/>
  <c r="N785" i="1"/>
  <c r="N787" i="1"/>
  <c r="N788" i="1"/>
  <c r="N789" i="1"/>
  <c r="N790" i="1"/>
  <c r="N791" i="1"/>
  <c r="N792" i="1"/>
  <c r="N793" i="1"/>
  <c r="N796" i="1"/>
  <c r="N798" i="1"/>
  <c r="N799" i="1"/>
  <c r="N800" i="1"/>
  <c r="N801" i="1"/>
  <c r="N804" i="1"/>
  <c r="N805" i="1"/>
  <c r="N807" i="1"/>
  <c r="N809" i="1"/>
  <c r="N811" i="1"/>
  <c r="N812" i="1"/>
  <c r="N813" i="1"/>
  <c r="N815" i="1"/>
  <c r="N817" i="1"/>
  <c r="N818" i="1"/>
  <c r="N820" i="1"/>
  <c r="N821" i="1"/>
  <c r="N822" i="1"/>
  <c r="N823" i="1"/>
  <c r="N824" i="1"/>
  <c r="N825" i="1"/>
  <c r="N826" i="1"/>
  <c r="N828" i="1"/>
  <c r="N829" i="1"/>
  <c r="N830" i="1"/>
  <c r="N831" i="1"/>
  <c r="N834" i="1"/>
  <c r="N835" i="1"/>
  <c r="N836" i="1"/>
  <c r="N837" i="1"/>
  <c r="N839" i="1"/>
  <c r="N840" i="1"/>
  <c r="N842" i="1"/>
  <c r="N843" i="1"/>
  <c r="N844" i="1"/>
  <c r="N845" i="1"/>
  <c r="N846" i="1"/>
  <c r="N847" i="1"/>
  <c r="N848" i="1"/>
  <c r="N849" i="1"/>
  <c r="N850" i="1"/>
  <c r="N851" i="1"/>
  <c r="N852" i="1"/>
  <c r="N854" i="1"/>
  <c r="N855" i="1"/>
  <c r="N856" i="1"/>
  <c r="N857" i="1"/>
  <c r="N858" i="1"/>
  <c r="N859" i="1"/>
  <c r="N860" i="1"/>
  <c r="N861" i="1"/>
  <c r="N862" i="1"/>
  <c r="N863" i="1"/>
  <c r="N864" i="1"/>
  <c r="N866" i="1"/>
  <c r="N867" i="1"/>
  <c r="N868" i="1"/>
  <c r="N871" i="1"/>
  <c r="N872" i="1"/>
  <c r="N874" i="1"/>
  <c r="N875" i="1"/>
  <c r="N876" i="1"/>
  <c r="N877" i="1"/>
  <c r="N878" i="1"/>
  <c r="N879" i="1"/>
  <c r="N880" i="1"/>
  <c r="N881" i="1"/>
  <c r="N882" i="1"/>
  <c r="N883" i="1"/>
  <c r="N884" i="1"/>
  <c r="N885" i="1"/>
  <c r="N886" i="1"/>
  <c r="N887" i="1"/>
  <c r="N888" i="1"/>
  <c r="N889" i="1"/>
  <c r="N890" i="1"/>
  <c r="N892" i="1"/>
  <c r="N894" i="1"/>
  <c r="N895" i="1"/>
  <c r="N896" i="1"/>
  <c r="N897" i="1"/>
  <c r="N898" i="1"/>
  <c r="N899" i="1"/>
  <c r="N900" i="1"/>
  <c r="N902" i="1"/>
  <c r="N905" i="1"/>
  <c r="N906" i="1"/>
  <c r="N907" i="1"/>
  <c r="N908" i="1"/>
  <c r="N909" i="1"/>
  <c r="N910" i="1"/>
  <c r="N911" i="1"/>
  <c r="N912" i="1"/>
  <c r="N913" i="1"/>
  <c r="N914" i="1"/>
  <c r="N915" i="1"/>
  <c r="N916" i="1"/>
  <c r="N917" i="1"/>
  <c r="N918" i="1"/>
  <c r="N919" i="1"/>
  <c r="N920" i="1"/>
  <c r="N924" i="1"/>
  <c r="N925" i="1"/>
  <c r="N926" i="1"/>
  <c r="N929" i="1"/>
  <c r="N930" i="1"/>
  <c r="N932" i="1"/>
  <c r="N933" i="1"/>
  <c r="N935" i="1"/>
  <c r="N937" i="1"/>
  <c r="N939" i="1"/>
  <c r="N942" i="1"/>
  <c r="N943" i="1"/>
  <c r="N944" i="1"/>
  <c r="N946" i="1"/>
  <c r="N948" i="1"/>
  <c r="N949" i="1"/>
  <c r="N951" i="1"/>
  <c r="N953" i="1"/>
  <c r="N954" i="1"/>
  <c r="N955" i="1"/>
  <c r="N956" i="1"/>
  <c r="N958" i="1"/>
  <c r="N960" i="1"/>
  <c r="N961" i="1"/>
  <c r="N963" i="1"/>
  <c r="N964" i="1"/>
  <c r="N965" i="1"/>
  <c r="N966" i="1"/>
  <c r="N967" i="1"/>
  <c r="N968" i="1"/>
  <c r="N971" i="1"/>
  <c r="N974" i="1"/>
  <c r="N975" i="1"/>
  <c r="N976" i="1"/>
  <c r="N977" i="1"/>
  <c r="N979" i="1"/>
  <c r="N981" i="1"/>
  <c r="N982" i="1"/>
  <c r="N983" i="1"/>
  <c r="N984" i="1"/>
  <c r="N985" i="1"/>
  <c r="N986" i="1"/>
  <c r="N987" i="1"/>
  <c r="N991" i="1"/>
  <c r="N992" i="1"/>
  <c r="N994" i="1"/>
  <c r="N996" i="1"/>
  <c r="N997" i="1"/>
  <c r="N998" i="1"/>
  <c r="N999" i="1"/>
  <c r="N1000" i="1"/>
  <c r="N1002" i="1"/>
  <c r="N1003" i="1"/>
  <c r="N1005" i="1"/>
  <c r="N1006" i="1"/>
  <c r="N1007" i="1"/>
  <c r="N1009" i="1"/>
  <c r="N1010" i="1"/>
  <c r="N1011" i="1"/>
  <c r="N1013" i="1"/>
  <c r="N1015" i="1"/>
  <c r="N1019" i="1"/>
  <c r="N1020" i="1"/>
  <c r="N1022" i="1"/>
  <c r="N1023" i="1"/>
  <c r="N1024" i="1"/>
  <c r="N1025" i="1"/>
  <c r="N1026" i="1"/>
  <c r="N1028" i="1"/>
  <c r="N1029" i="1"/>
  <c r="N1030" i="1"/>
  <c r="N1031" i="1"/>
  <c r="N1032" i="1"/>
  <c r="N1036" i="1"/>
  <c r="N1037" i="1"/>
  <c r="N1038" i="1"/>
  <c r="N1039" i="1"/>
  <c r="N1040" i="1"/>
  <c r="N1042" i="1"/>
  <c r="N1043" i="1"/>
  <c r="N1045" i="1"/>
  <c r="N1047" i="1"/>
  <c r="N1048" i="1"/>
  <c r="N1049" i="1"/>
  <c r="N1050" i="1"/>
  <c r="N1051" i="1"/>
  <c r="N1053" i="1"/>
  <c r="N1054" i="1"/>
  <c r="N1057" i="1"/>
  <c r="N1058" i="1"/>
  <c r="N1061" i="1"/>
  <c r="N1063" i="1"/>
  <c r="N1064" i="1"/>
  <c r="N1065" i="1"/>
  <c r="N1066" i="1"/>
  <c r="N1068" i="1"/>
  <c r="N1070" i="1"/>
  <c r="N1073" i="1"/>
  <c r="N1074" i="1"/>
  <c r="N1075" i="1"/>
  <c r="N1077" i="1"/>
  <c r="N1078" i="1"/>
  <c r="N1079" i="1"/>
  <c r="N1080" i="1"/>
  <c r="N1081" i="1"/>
  <c r="N1083" i="1"/>
  <c r="N1085" i="1"/>
  <c r="N1086" i="1"/>
  <c r="N1087" i="1"/>
  <c r="N1088" i="1"/>
  <c r="N1089" i="1"/>
  <c r="N1092" i="1"/>
  <c r="N1093" i="1"/>
  <c r="N1094" i="1"/>
  <c r="N1095" i="1"/>
  <c r="N1098" i="1"/>
  <c r="N1099" i="1"/>
  <c r="N1101" i="1"/>
  <c r="N1102" i="1"/>
  <c r="N1103" i="1"/>
  <c r="N1104" i="1"/>
  <c r="N1108" i="1"/>
  <c r="N1109" i="1"/>
  <c r="N1110" i="1"/>
  <c r="N1111" i="1"/>
  <c r="N1113" i="1"/>
  <c r="N1115" i="1"/>
  <c r="N1116" i="1"/>
  <c r="N1117" i="1"/>
  <c r="N1118" i="1"/>
  <c r="N1119" i="1"/>
  <c r="N1120" i="1"/>
  <c r="N1122" i="1"/>
  <c r="N1124" i="1"/>
  <c r="N1125" i="1"/>
  <c r="N1126" i="1"/>
  <c r="N1129" i="1"/>
  <c r="N1130" i="1"/>
  <c r="N1132" i="1"/>
  <c r="N1135" i="1"/>
  <c r="N1136" i="1"/>
  <c r="N1140" i="1"/>
  <c r="N1142" i="1"/>
  <c r="N1143" i="1"/>
  <c r="N1146" i="1"/>
  <c r="N1147" i="1"/>
  <c r="N1148" i="1"/>
  <c r="N1151" i="1"/>
  <c r="N1152" i="1"/>
  <c r="N1154" i="1"/>
  <c r="N1155" i="1"/>
  <c r="N1157" i="1"/>
  <c r="N1158" i="1"/>
  <c r="N1160" i="1"/>
  <c r="N1161" i="1"/>
  <c r="N1162" i="1"/>
  <c r="N1163" i="1"/>
  <c r="N1165" i="1"/>
  <c r="N1166" i="1"/>
  <c r="N1167" i="1"/>
  <c r="N1170" i="1"/>
  <c r="N1171" i="1"/>
  <c r="N1174" i="1"/>
  <c r="N1175" i="1"/>
  <c r="N1176" i="1"/>
  <c r="N1177" i="1"/>
  <c r="N1178" i="1"/>
  <c r="N1179" i="1"/>
  <c r="N1180" i="1"/>
  <c r="N1181" i="1"/>
  <c r="N1182" i="1"/>
  <c r="N1185" i="1"/>
  <c r="N1187" i="1"/>
  <c r="N1188" i="1"/>
  <c r="N1189" i="1"/>
  <c r="N1190" i="1"/>
  <c r="N1193" i="1"/>
  <c r="N1195" i="1"/>
  <c r="N1196" i="1"/>
  <c r="N1197" i="1"/>
  <c r="N1198" i="1"/>
  <c r="N1199" i="1"/>
  <c r="N1200" i="1"/>
  <c r="N1202" i="1"/>
  <c r="N1203" i="1"/>
  <c r="N1204" i="1"/>
  <c r="N1205" i="1"/>
  <c r="N1206" i="1"/>
  <c r="N1207" i="1"/>
  <c r="N1208" i="1"/>
  <c r="N1209" i="1"/>
  <c r="N1210" i="1"/>
  <c r="N1211" i="1"/>
  <c r="N1212" i="1"/>
  <c r="N1213" i="1"/>
  <c r="N1214" i="1"/>
  <c r="N1215" i="1"/>
  <c r="N1216" i="1"/>
  <c r="N1217" i="1"/>
  <c r="N1218" i="1"/>
  <c r="N1220" i="1"/>
  <c r="N1221" i="1"/>
  <c r="N1222" i="1"/>
  <c r="N1223" i="1"/>
  <c r="N1226" i="1"/>
  <c r="N1227" i="1"/>
  <c r="N1228" i="1"/>
  <c r="N1230" i="1"/>
  <c r="N1232" i="1"/>
  <c r="N1233" i="1"/>
  <c r="N1234" i="1"/>
  <c r="N1235" i="1"/>
  <c r="N1236" i="1"/>
  <c r="N1238" i="1"/>
  <c r="N1239" i="1"/>
  <c r="N1241" i="1"/>
  <c r="N1242" i="1"/>
  <c r="N1243" i="1"/>
  <c r="N1245" i="1"/>
  <c r="N1246" i="1"/>
  <c r="N1247" i="1"/>
  <c r="N1248" i="1"/>
  <c r="N1249" i="1"/>
  <c r="N1250" i="1"/>
  <c r="N1251" i="1"/>
  <c r="N1254" i="1"/>
  <c r="N1256" i="1"/>
  <c r="N1257" i="1"/>
  <c r="N1258" i="1"/>
  <c r="N1259" i="1"/>
  <c r="N1262" i="1"/>
  <c r="N1263" i="1"/>
  <c r="N1264" i="1"/>
  <c r="N1265" i="1"/>
  <c r="N1267" i="1"/>
  <c r="N1268" i="1"/>
  <c r="N1269" i="1"/>
  <c r="N1271" i="1"/>
  <c r="N1272" i="1"/>
  <c r="N1273" i="1"/>
  <c r="N1274" i="1"/>
  <c r="N1275" i="1"/>
  <c r="N1276" i="1"/>
  <c r="N1278" i="1"/>
  <c r="N1279" i="1"/>
  <c r="N1280" i="1"/>
  <c r="N1282" i="1"/>
  <c r="N1283" i="1"/>
  <c r="N1284" i="1"/>
  <c r="N1285" i="1"/>
  <c r="N1286" i="1"/>
  <c r="N1287" i="1"/>
  <c r="N1288" i="1"/>
  <c r="N1291" i="1"/>
  <c r="N1292" i="1"/>
  <c r="N1293" i="1"/>
  <c r="N1295" i="1"/>
  <c r="N1296" i="1"/>
  <c r="N1298" i="1"/>
  <c r="N1300" i="1"/>
  <c r="N1301" i="1"/>
  <c r="N1302" i="1"/>
  <c r="N1305" i="1"/>
  <c r="N1307" i="1"/>
  <c r="N1308" i="1"/>
  <c r="N1309" i="1"/>
  <c r="N1311" i="1"/>
  <c r="N1312" i="1"/>
  <c r="N1313" i="1"/>
  <c r="N1314" i="1"/>
  <c r="N1315" i="1"/>
  <c r="N1317" i="1"/>
  <c r="N1318" i="1"/>
  <c r="N1319" i="1"/>
  <c r="N1320" i="1"/>
  <c r="N1321" i="1"/>
  <c r="N1323" i="1"/>
  <c r="N1324" i="1"/>
  <c r="N1326" i="1"/>
  <c r="N1328" i="1"/>
  <c r="N1329" i="1"/>
  <c r="N1330" i="1"/>
  <c r="N1331" i="1"/>
  <c r="N1332" i="1"/>
  <c r="N1333" i="1"/>
  <c r="N1334" i="1"/>
  <c r="N1335" i="1"/>
  <c r="N1336" i="1"/>
  <c r="N1337" i="1"/>
  <c r="N1339" i="1"/>
  <c r="N1340" i="1"/>
  <c r="N1341" i="1"/>
  <c r="N1342" i="1"/>
  <c r="N1344" i="1"/>
  <c r="N1345" i="1"/>
  <c r="N1346" i="1"/>
  <c r="N1348" i="1"/>
  <c r="N1350" i="1"/>
  <c r="N1351" i="1"/>
  <c r="N1352" i="1"/>
  <c r="N1353" i="1"/>
  <c r="N1354" i="1"/>
  <c r="N1356" i="1"/>
  <c r="N1357" i="1"/>
  <c r="N1358" i="1"/>
  <c r="N1359" i="1"/>
  <c r="N1360" i="1"/>
  <c r="N1361" i="1"/>
  <c r="N1362" i="1"/>
  <c r="N1364" i="1"/>
  <c r="N1366" i="1"/>
  <c r="N1368" i="1"/>
  <c r="N1370" i="1"/>
  <c r="N1371" i="1"/>
  <c r="N1372" i="1"/>
  <c r="N1373" i="1"/>
  <c r="N1376" i="1"/>
  <c r="N1377" i="1"/>
  <c r="N1380" i="1"/>
  <c r="N1381" i="1"/>
  <c r="N1386" i="1"/>
  <c r="N1390" i="1"/>
  <c r="N1394" i="1"/>
  <c r="N1396" i="1"/>
  <c r="N1397" i="1"/>
  <c r="N1398" i="1"/>
  <c r="N1399" i="1"/>
  <c r="N1401" i="1"/>
  <c r="N1402" i="1"/>
  <c r="N1404" i="1"/>
  <c r="N1405" i="1"/>
  <c r="N1406" i="1"/>
  <c r="N1407" i="1"/>
  <c r="N1408" i="1"/>
  <c r="N1409" i="1"/>
  <c r="N1414" i="1"/>
  <c r="N1415" i="1"/>
  <c r="N1416" i="1"/>
  <c r="N1419" i="1"/>
  <c r="N1420" i="1"/>
  <c r="N1425" i="1"/>
  <c r="N1428" i="1"/>
  <c r="N1429" i="1"/>
  <c r="N1430" i="1"/>
  <c r="N1435" i="1"/>
  <c r="N1436" i="1"/>
  <c r="N1440" i="1"/>
  <c r="N1442" i="1"/>
  <c r="N1444" i="1"/>
  <c r="N1445" i="1"/>
  <c r="N1447" i="1"/>
  <c r="N1448" i="1"/>
  <c r="N1450" i="1"/>
  <c r="N1452" i="1"/>
  <c r="N1453" i="1"/>
  <c r="N1454" i="1"/>
  <c r="N1455" i="1"/>
  <c r="N1459" i="1"/>
  <c r="N1460" i="1"/>
  <c r="N1465" i="1"/>
  <c r="N1467" i="1"/>
  <c r="N1469" i="1"/>
  <c r="N1472" i="1"/>
  <c r="N1473" i="1"/>
  <c r="N1475" i="1"/>
  <c r="N1477" i="1"/>
  <c r="N1486" i="1"/>
  <c r="N1487" i="1"/>
  <c r="N1488" i="1"/>
  <c r="N1492" i="1"/>
  <c r="N1493" i="1"/>
  <c r="N1494" i="1"/>
  <c r="N1495" i="1"/>
  <c r="N1496" i="1"/>
  <c r="N1498" i="1"/>
  <c r="L2" i="1"/>
  <c r="M2" i="1" s="1"/>
  <c r="R2" i="1" s="1"/>
  <c r="L3" i="1"/>
  <c r="M3" i="1" s="1"/>
  <c r="R3" i="1" s="1"/>
  <c r="L4" i="1"/>
  <c r="M4" i="1" s="1"/>
  <c r="R4" i="1" s="1"/>
  <c r="L5" i="1"/>
  <c r="M5" i="1" s="1"/>
  <c r="R5" i="1" s="1"/>
  <c r="L6" i="1"/>
  <c r="M6" i="1" s="1"/>
  <c r="R6" i="1" s="1"/>
  <c r="L7" i="1"/>
  <c r="M7" i="1" s="1"/>
  <c r="R7" i="1" s="1"/>
  <c r="L8" i="1"/>
  <c r="M8" i="1" s="1"/>
  <c r="R8" i="1" s="1"/>
  <c r="L9" i="1"/>
  <c r="M9" i="1" s="1"/>
  <c r="R9" i="1" s="1"/>
  <c r="L10" i="1"/>
  <c r="M10" i="1" s="1"/>
  <c r="R10" i="1" s="1"/>
  <c r="L11" i="1"/>
  <c r="M11" i="1" s="1"/>
  <c r="R11" i="1" s="1"/>
  <c r="L12" i="1"/>
  <c r="M12" i="1" s="1"/>
  <c r="R12" i="1" s="1"/>
  <c r="L13" i="1"/>
  <c r="M13" i="1" s="1"/>
  <c r="R13" i="1" s="1"/>
  <c r="L14" i="1"/>
  <c r="M14" i="1" s="1"/>
  <c r="R14" i="1" s="1"/>
  <c r="L15" i="1"/>
  <c r="M15" i="1" s="1"/>
  <c r="R15" i="1" s="1"/>
  <c r="L16" i="1"/>
  <c r="M16" i="1" s="1"/>
  <c r="R16" i="1" s="1"/>
  <c r="L17" i="1"/>
  <c r="M17" i="1" s="1"/>
  <c r="R17" i="1" s="1"/>
  <c r="L18" i="1"/>
  <c r="M18" i="1" s="1"/>
  <c r="R18" i="1" s="1"/>
  <c r="L19" i="1"/>
  <c r="M19" i="1" s="1"/>
  <c r="R19" i="1" s="1"/>
  <c r="L20" i="1"/>
  <c r="M20" i="1" s="1"/>
  <c r="R20" i="1" s="1"/>
  <c r="L21" i="1"/>
  <c r="M21" i="1" s="1"/>
  <c r="R21" i="1" s="1"/>
  <c r="L22" i="1"/>
  <c r="M22" i="1" s="1"/>
  <c r="R22" i="1" s="1"/>
  <c r="L23" i="1"/>
  <c r="M23" i="1" s="1"/>
  <c r="R23" i="1" s="1"/>
  <c r="L24" i="1"/>
  <c r="M24" i="1" s="1"/>
  <c r="R24" i="1" s="1"/>
  <c r="L25" i="1"/>
  <c r="M25" i="1" s="1"/>
  <c r="R25" i="1" s="1"/>
  <c r="L26" i="1"/>
  <c r="M26" i="1" s="1"/>
  <c r="R26" i="1" s="1"/>
  <c r="L27" i="1"/>
  <c r="M27" i="1" s="1"/>
  <c r="R27" i="1" s="1"/>
  <c r="L28" i="1"/>
  <c r="M28" i="1" s="1"/>
  <c r="R28" i="1" s="1"/>
  <c r="L29" i="1"/>
  <c r="M29" i="1" s="1"/>
  <c r="R29" i="1" s="1"/>
  <c r="L30" i="1"/>
  <c r="M30" i="1" s="1"/>
  <c r="R30" i="1" s="1"/>
  <c r="L31" i="1"/>
  <c r="M31" i="1" s="1"/>
  <c r="R31" i="1" s="1"/>
  <c r="L32" i="1"/>
  <c r="M32" i="1" s="1"/>
  <c r="R32" i="1" s="1"/>
  <c r="L33" i="1"/>
  <c r="M33" i="1" s="1"/>
  <c r="R33" i="1" s="1"/>
  <c r="L34" i="1"/>
  <c r="M34" i="1" s="1"/>
  <c r="R34" i="1" s="1"/>
  <c r="L35" i="1"/>
  <c r="M35" i="1" s="1"/>
  <c r="R35" i="1" s="1"/>
  <c r="L36" i="1"/>
  <c r="M36" i="1" s="1"/>
  <c r="R36" i="1" s="1"/>
  <c r="L37" i="1"/>
  <c r="M37" i="1" s="1"/>
  <c r="R37" i="1" s="1"/>
  <c r="L38" i="1"/>
  <c r="M38" i="1" s="1"/>
  <c r="R38" i="1" s="1"/>
  <c r="L39" i="1"/>
  <c r="M39" i="1" s="1"/>
  <c r="R39" i="1" s="1"/>
  <c r="L40" i="1"/>
  <c r="M40" i="1" s="1"/>
  <c r="R40" i="1" s="1"/>
  <c r="L41" i="1"/>
  <c r="M41" i="1" s="1"/>
  <c r="R41" i="1" s="1"/>
  <c r="L42" i="1"/>
  <c r="M42" i="1" s="1"/>
  <c r="R42" i="1" s="1"/>
  <c r="L43" i="1"/>
  <c r="M43" i="1" s="1"/>
  <c r="R43" i="1" s="1"/>
  <c r="L44" i="1"/>
  <c r="M44" i="1" s="1"/>
  <c r="R44" i="1" s="1"/>
  <c r="L45" i="1"/>
  <c r="M45" i="1" s="1"/>
  <c r="R45" i="1" s="1"/>
  <c r="L46" i="1"/>
  <c r="M46" i="1" s="1"/>
  <c r="R46" i="1" s="1"/>
  <c r="L47" i="1"/>
  <c r="M47" i="1" s="1"/>
  <c r="R47" i="1" s="1"/>
  <c r="L48" i="1"/>
  <c r="M48" i="1" s="1"/>
  <c r="R48" i="1" s="1"/>
  <c r="L49" i="1"/>
  <c r="M49" i="1" s="1"/>
  <c r="R49" i="1" s="1"/>
  <c r="L50" i="1"/>
  <c r="M50" i="1" s="1"/>
  <c r="R50" i="1" s="1"/>
  <c r="L51" i="1"/>
  <c r="M51" i="1" s="1"/>
  <c r="R51" i="1" s="1"/>
  <c r="L52" i="1"/>
  <c r="M52" i="1" s="1"/>
  <c r="R52" i="1" s="1"/>
  <c r="L53" i="1"/>
  <c r="M53" i="1" s="1"/>
  <c r="R53" i="1" s="1"/>
  <c r="L54" i="1"/>
  <c r="M54" i="1" s="1"/>
  <c r="R54" i="1" s="1"/>
  <c r="L55" i="1"/>
  <c r="M55" i="1" s="1"/>
  <c r="R55" i="1" s="1"/>
  <c r="L56" i="1"/>
  <c r="M56" i="1" s="1"/>
  <c r="R56" i="1" s="1"/>
  <c r="L57" i="1"/>
  <c r="M57" i="1" s="1"/>
  <c r="R57" i="1" s="1"/>
  <c r="L58" i="1"/>
  <c r="M58" i="1" s="1"/>
  <c r="R58" i="1" s="1"/>
  <c r="L59" i="1"/>
  <c r="M59" i="1" s="1"/>
  <c r="R59" i="1" s="1"/>
  <c r="L60" i="1"/>
  <c r="M60" i="1" s="1"/>
  <c r="R60" i="1" s="1"/>
  <c r="L61" i="1"/>
  <c r="M61" i="1" s="1"/>
  <c r="R61" i="1" s="1"/>
  <c r="L62" i="1"/>
  <c r="M62" i="1" s="1"/>
  <c r="R62" i="1" s="1"/>
  <c r="L63" i="1"/>
  <c r="M63" i="1" s="1"/>
  <c r="R63" i="1" s="1"/>
  <c r="L64" i="1"/>
  <c r="M64" i="1" s="1"/>
  <c r="R64" i="1" s="1"/>
  <c r="L65" i="1"/>
  <c r="M65" i="1" s="1"/>
  <c r="R65" i="1" s="1"/>
  <c r="L66" i="1"/>
  <c r="M66" i="1" s="1"/>
  <c r="R66" i="1" s="1"/>
  <c r="L67" i="1"/>
  <c r="M67" i="1" s="1"/>
  <c r="R67" i="1" s="1"/>
  <c r="L68" i="1"/>
  <c r="M68" i="1" s="1"/>
  <c r="R68" i="1" s="1"/>
  <c r="L69" i="1"/>
  <c r="M69" i="1" s="1"/>
  <c r="R69" i="1" s="1"/>
  <c r="L70" i="1"/>
  <c r="M70" i="1" s="1"/>
  <c r="R70" i="1" s="1"/>
  <c r="L71" i="1"/>
  <c r="M71" i="1" s="1"/>
  <c r="R71" i="1" s="1"/>
  <c r="L72" i="1"/>
  <c r="M72" i="1" s="1"/>
  <c r="R72" i="1" s="1"/>
  <c r="L73" i="1"/>
  <c r="M73" i="1" s="1"/>
  <c r="R73" i="1" s="1"/>
  <c r="L74" i="1"/>
  <c r="M74" i="1" s="1"/>
  <c r="R74" i="1" s="1"/>
  <c r="L75" i="1"/>
  <c r="M75" i="1" s="1"/>
  <c r="R75" i="1" s="1"/>
  <c r="L76" i="1"/>
  <c r="M76" i="1" s="1"/>
  <c r="R76" i="1" s="1"/>
  <c r="L77" i="1"/>
  <c r="M77" i="1" s="1"/>
  <c r="R77" i="1" s="1"/>
  <c r="L78" i="1"/>
  <c r="M78" i="1" s="1"/>
  <c r="R78" i="1" s="1"/>
  <c r="L79" i="1"/>
  <c r="M79" i="1" s="1"/>
  <c r="R79" i="1" s="1"/>
  <c r="L80" i="1"/>
  <c r="M80" i="1" s="1"/>
  <c r="R80" i="1" s="1"/>
  <c r="L81" i="1"/>
  <c r="M81" i="1" s="1"/>
  <c r="R81" i="1" s="1"/>
  <c r="L82" i="1"/>
  <c r="M82" i="1" s="1"/>
  <c r="R82" i="1" s="1"/>
  <c r="L83" i="1"/>
  <c r="M83" i="1" s="1"/>
  <c r="R83" i="1" s="1"/>
  <c r="L84" i="1"/>
  <c r="M84" i="1" s="1"/>
  <c r="R84" i="1" s="1"/>
  <c r="L85" i="1"/>
  <c r="M85" i="1" s="1"/>
  <c r="R85" i="1" s="1"/>
  <c r="L86" i="1"/>
  <c r="M86" i="1" s="1"/>
  <c r="R86" i="1" s="1"/>
  <c r="L87" i="1"/>
  <c r="M87" i="1" s="1"/>
  <c r="R87" i="1" s="1"/>
  <c r="L88" i="1"/>
  <c r="M88" i="1" s="1"/>
  <c r="R88" i="1" s="1"/>
  <c r="L89" i="1"/>
  <c r="M89" i="1" s="1"/>
  <c r="R89" i="1" s="1"/>
  <c r="L90" i="1"/>
  <c r="M90" i="1" s="1"/>
  <c r="R90" i="1" s="1"/>
  <c r="L91" i="1"/>
  <c r="M91" i="1" s="1"/>
  <c r="R91" i="1" s="1"/>
  <c r="L92" i="1"/>
  <c r="M92" i="1" s="1"/>
  <c r="R92" i="1" s="1"/>
  <c r="L93" i="1"/>
  <c r="M93" i="1" s="1"/>
  <c r="R93" i="1" s="1"/>
  <c r="L94" i="1"/>
  <c r="M94" i="1" s="1"/>
  <c r="R94" i="1" s="1"/>
  <c r="L95" i="1"/>
  <c r="M95" i="1" s="1"/>
  <c r="R95" i="1" s="1"/>
  <c r="L96" i="1"/>
  <c r="M96" i="1" s="1"/>
  <c r="R96" i="1" s="1"/>
  <c r="L97" i="1"/>
  <c r="M97" i="1" s="1"/>
  <c r="R97" i="1" s="1"/>
  <c r="L98" i="1"/>
  <c r="M98" i="1" s="1"/>
  <c r="R98" i="1" s="1"/>
  <c r="L99" i="1"/>
  <c r="M99" i="1" s="1"/>
  <c r="R99" i="1" s="1"/>
  <c r="L100" i="1"/>
  <c r="M100" i="1" s="1"/>
  <c r="R100" i="1" s="1"/>
  <c r="L101" i="1"/>
  <c r="M101" i="1" s="1"/>
  <c r="R101" i="1" s="1"/>
  <c r="L102" i="1"/>
  <c r="M102" i="1" s="1"/>
  <c r="R102" i="1" s="1"/>
  <c r="L103" i="1"/>
  <c r="M103" i="1" s="1"/>
  <c r="R103" i="1" s="1"/>
  <c r="L104" i="1"/>
  <c r="M104" i="1" s="1"/>
  <c r="R104" i="1" s="1"/>
  <c r="L105" i="1"/>
  <c r="M105" i="1" s="1"/>
  <c r="R105" i="1" s="1"/>
  <c r="L106" i="1"/>
  <c r="M106" i="1" s="1"/>
  <c r="R106" i="1" s="1"/>
  <c r="L107" i="1"/>
  <c r="M107" i="1" s="1"/>
  <c r="R107" i="1" s="1"/>
  <c r="L108" i="1"/>
  <c r="M108" i="1" s="1"/>
  <c r="R108" i="1" s="1"/>
  <c r="L109" i="1"/>
  <c r="M109" i="1" s="1"/>
  <c r="R109" i="1" s="1"/>
  <c r="L110" i="1"/>
  <c r="M110" i="1" s="1"/>
  <c r="R110" i="1" s="1"/>
  <c r="L111" i="1"/>
  <c r="M111" i="1" s="1"/>
  <c r="R111" i="1" s="1"/>
  <c r="L112" i="1"/>
  <c r="M112" i="1" s="1"/>
  <c r="R112" i="1" s="1"/>
  <c r="L113" i="1"/>
  <c r="M113" i="1" s="1"/>
  <c r="R113" i="1" s="1"/>
  <c r="L114" i="1"/>
  <c r="M114" i="1" s="1"/>
  <c r="R114" i="1" s="1"/>
  <c r="L115" i="1"/>
  <c r="M115" i="1" s="1"/>
  <c r="R115" i="1" s="1"/>
  <c r="L116" i="1"/>
  <c r="M116" i="1" s="1"/>
  <c r="R116" i="1" s="1"/>
  <c r="L117" i="1"/>
  <c r="M117" i="1" s="1"/>
  <c r="R117" i="1" s="1"/>
  <c r="L118" i="1"/>
  <c r="M118" i="1" s="1"/>
  <c r="R118" i="1" s="1"/>
  <c r="L119" i="1"/>
  <c r="M119" i="1" s="1"/>
  <c r="R119" i="1" s="1"/>
  <c r="L120" i="1"/>
  <c r="M120" i="1" s="1"/>
  <c r="R120" i="1" s="1"/>
  <c r="L121" i="1"/>
  <c r="M121" i="1" s="1"/>
  <c r="R121" i="1" s="1"/>
  <c r="L122" i="1"/>
  <c r="M122" i="1" s="1"/>
  <c r="R122" i="1" s="1"/>
  <c r="L123" i="1"/>
  <c r="M123" i="1" s="1"/>
  <c r="R123" i="1" s="1"/>
  <c r="L124" i="1"/>
  <c r="M124" i="1" s="1"/>
  <c r="R124" i="1" s="1"/>
  <c r="L125" i="1"/>
  <c r="M125" i="1" s="1"/>
  <c r="R125" i="1" s="1"/>
  <c r="L126" i="1"/>
  <c r="M126" i="1" s="1"/>
  <c r="R126" i="1" s="1"/>
  <c r="L127" i="1"/>
  <c r="M127" i="1" s="1"/>
  <c r="R127" i="1" s="1"/>
  <c r="L128" i="1"/>
  <c r="M128" i="1" s="1"/>
  <c r="R128" i="1" s="1"/>
  <c r="L129" i="1"/>
  <c r="M129" i="1" s="1"/>
  <c r="R129" i="1" s="1"/>
  <c r="L130" i="1"/>
  <c r="M130" i="1" s="1"/>
  <c r="R130" i="1" s="1"/>
  <c r="L131" i="1"/>
  <c r="M131" i="1" s="1"/>
  <c r="R131" i="1" s="1"/>
  <c r="L132" i="1"/>
  <c r="M132" i="1" s="1"/>
  <c r="R132" i="1" s="1"/>
  <c r="L133" i="1"/>
  <c r="M133" i="1" s="1"/>
  <c r="R133" i="1" s="1"/>
  <c r="L134" i="1"/>
  <c r="M134" i="1" s="1"/>
  <c r="R134" i="1" s="1"/>
  <c r="L135" i="1"/>
  <c r="M135" i="1" s="1"/>
  <c r="R135" i="1" s="1"/>
  <c r="L136" i="1"/>
  <c r="M136" i="1" s="1"/>
  <c r="R136" i="1" s="1"/>
  <c r="L137" i="1"/>
  <c r="M137" i="1" s="1"/>
  <c r="R137" i="1" s="1"/>
  <c r="L138" i="1"/>
  <c r="M138" i="1" s="1"/>
  <c r="R138" i="1" s="1"/>
  <c r="L139" i="1"/>
  <c r="M139" i="1" s="1"/>
  <c r="R139" i="1" s="1"/>
  <c r="L140" i="1"/>
  <c r="M140" i="1" s="1"/>
  <c r="R140" i="1" s="1"/>
  <c r="L141" i="1"/>
  <c r="M141" i="1" s="1"/>
  <c r="R141" i="1" s="1"/>
  <c r="L142" i="1"/>
  <c r="M142" i="1" s="1"/>
  <c r="R142" i="1" s="1"/>
  <c r="L143" i="1"/>
  <c r="M143" i="1" s="1"/>
  <c r="R143" i="1" s="1"/>
  <c r="L144" i="1"/>
  <c r="M144" i="1" s="1"/>
  <c r="R144" i="1" s="1"/>
  <c r="L145" i="1"/>
  <c r="M145" i="1" s="1"/>
  <c r="R145" i="1" s="1"/>
  <c r="L146" i="1"/>
  <c r="M146" i="1" s="1"/>
  <c r="R146" i="1" s="1"/>
  <c r="L147" i="1"/>
  <c r="M147" i="1" s="1"/>
  <c r="R147" i="1" s="1"/>
  <c r="L148" i="1"/>
  <c r="M148" i="1" s="1"/>
  <c r="R148" i="1" s="1"/>
  <c r="L149" i="1"/>
  <c r="M149" i="1" s="1"/>
  <c r="R149" i="1" s="1"/>
  <c r="L150" i="1"/>
  <c r="M150" i="1" s="1"/>
  <c r="R150" i="1" s="1"/>
  <c r="L151" i="1"/>
  <c r="M151" i="1" s="1"/>
  <c r="R151" i="1" s="1"/>
  <c r="L152" i="1"/>
  <c r="M152" i="1" s="1"/>
  <c r="R152" i="1" s="1"/>
  <c r="L153" i="1"/>
  <c r="M153" i="1" s="1"/>
  <c r="R153" i="1" s="1"/>
  <c r="L154" i="1"/>
  <c r="M154" i="1" s="1"/>
  <c r="R154" i="1" s="1"/>
  <c r="L155" i="1"/>
  <c r="M155" i="1" s="1"/>
  <c r="R155" i="1" s="1"/>
  <c r="L156" i="1"/>
  <c r="M156" i="1" s="1"/>
  <c r="R156" i="1" s="1"/>
  <c r="L157" i="1"/>
  <c r="M157" i="1" s="1"/>
  <c r="R157" i="1" s="1"/>
  <c r="L158" i="1"/>
  <c r="M158" i="1" s="1"/>
  <c r="R158" i="1" s="1"/>
  <c r="L159" i="1"/>
  <c r="M159" i="1" s="1"/>
  <c r="R159" i="1" s="1"/>
  <c r="L160" i="1"/>
  <c r="M160" i="1" s="1"/>
  <c r="R160" i="1" s="1"/>
  <c r="L161" i="1"/>
  <c r="M161" i="1" s="1"/>
  <c r="R161" i="1" s="1"/>
  <c r="L162" i="1"/>
  <c r="M162" i="1" s="1"/>
  <c r="R162" i="1" s="1"/>
  <c r="L163" i="1"/>
  <c r="M163" i="1" s="1"/>
  <c r="R163" i="1" s="1"/>
  <c r="L164" i="1"/>
  <c r="M164" i="1" s="1"/>
  <c r="R164" i="1" s="1"/>
  <c r="L165" i="1"/>
  <c r="M165" i="1" s="1"/>
  <c r="R165" i="1" s="1"/>
  <c r="L166" i="1"/>
  <c r="M166" i="1" s="1"/>
  <c r="R166" i="1" s="1"/>
  <c r="L167" i="1"/>
  <c r="M167" i="1" s="1"/>
  <c r="R167" i="1" s="1"/>
  <c r="L168" i="1"/>
  <c r="M168" i="1" s="1"/>
  <c r="R168" i="1" s="1"/>
  <c r="L169" i="1"/>
  <c r="M169" i="1" s="1"/>
  <c r="R169" i="1" s="1"/>
  <c r="L170" i="1"/>
  <c r="M170" i="1" s="1"/>
  <c r="R170" i="1" s="1"/>
  <c r="L171" i="1"/>
  <c r="M171" i="1" s="1"/>
  <c r="R171" i="1" s="1"/>
  <c r="L172" i="1"/>
  <c r="M172" i="1" s="1"/>
  <c r="R172" i="1" s="1"/>
  <c r="L173" i="1"/>
  <c r="M173" i="1" s="1"/>
  <c r="R173" i="1" s="1"/>
  <c r="L174" i="1"/>
  <c r="M174" i="1" s="1"/>
  <c r="R174" i="1" s="1"/>
  <c r="L175" i="1"/>
  <c r="M175" i="1" s="1"/>
  <c r="R175" i="1" s="1"/>
  <c r="L176" i="1"/>
  <c r="M176" i="1" s="1"/>
  <c r="R176" i="1" s="1"/>
  <c r="L177" i="1"/>
  <c r="M177" i="1" s="1"/>
  <c r="R177" i="1" s="1"/>
  <c r="L178" i="1"/>
  <c r="M178" i="1" s="1"/>
  <c r="R178" i="1" s="1"/>
  <c r="L179" i="1"/>
  <c r="M179" i="1" s="1"/>
  <c r="R179" i="1" s="1"/>
  <c r="L180" i="1"/>
  <c r="M180" i="1" s="1"/>
  <c r="R180" i="1" s="1"/>
  <c r="L181" i="1"/>
  <c r="M181" i="1" s="1"/>
  <c r="R181" i="1" s="1"/>
  <c r="L182" i="1"/>
  <c r="M182" i="1" s="1"/>
  <c r="R182" i="1" s="1"/>
  <c r="L183" i="1"/>
  <c r="M183" i="1" s="1"/>
  <c r="R183" i="1" s="1"/>
  <c r="L184" i="1"/>
  <c r="M184" i="1" s="1"/>
  <c r="R184" i="1" s="1"/>
  <c r="L185" i="1"/>
  <c r="M185" i="1" s="1"/>
  <c r="R185" i="1" s="1"/>
  <c r="L186" i="1"/>
  <c r="M186" i="1" s="1"/>
  <c r="R186" i="1" s="1"/>
  <c r="L187" i="1"/>
  <c r="M187" i="1" s="1"/>
  <c r="R187" i="1" s="1"/>
  <c r="L188" i="1"/>
  <c r="M188" i="1" s="1"/>
  <c r="R188" i="1" s="1"/>
  <c r="L189" i="1"/>
  <c r="M189" i="1" s="1"/>
  <c r="R189" i="1" s="1"/>
  <c r="L190" i="1"/>
  <c r="M190" i="1" s="1"/>
  <c r="R190" i="1" s="1"/>
  <c r="L191" i="1"/>
  <c r="M191" i="1" s="1"/>
  <c r="R191" i="1" s="1"/>
  <c r="L192" i="1"/>
  <c r="M192" i="1" s="1"/>
  <c r="R192" i="1" s="1"/>
  <c r="L193" i="1"/>
  <c r="M193" i="1" s="1"/>
  <c r="R193" i="1" s="1"/>
  <c r="L194" i="1"/>
  <c r="M194" i="1" s="1"/>
  <c r="R194" i="1" s="1"/>
  <c r="L195" i="1"/>
  <c r="M195" i="1" s="1"/>
  <c r="R195" i="1" s="1"/>
  <c r="L196" i="1"/>
  <c r="M196" i="1" s="1"/>
  <c r="R196" i="1" s="1"/>
  <c r="L197" i="1"/>
  <c r="M197" i="1" s="1"/>
  <c r="R197" i="1" s="1"/>
  <c r="L198" i="1"/>
  <c r="M198" i="1" s="1"/>
  <c r="R198" i="1" s="1"/>
  <c r="L199" i="1"/>
  <c r="M199" i="1" s="1"/>
  <c r="R199" i="1" s="1"/>
  <c r="L200" i="1"/>
  <c r="M200" i="1" s="1"/>
  <c r="R200" i="1" s="1"/>
  <c r="L201" i="1"/>
  <c r="M201" i="1" s="1"/>
  <c r="R201" i="1" s="1"/>
  <c r="L202" i="1"/>
  <c r="M202" i="1" s="1"/>
  <c r="R202" i="1" s="1"/>
  <c r="L203" i="1"/>
  <c r="M203" i="1" s="1"/>
  <c r="R203" i="1" s="1"/>
  <c r="L204" i="1"/>
  <c r="M204" i="1" s="1"/>
  <c r="R204" i="1" s="1"/>
  <c r="L205" i="1"/>
  <c r="M205" i="1" s="1"/>
  <c r="R205" i="1" s="1"/>
  <c r="L206" i="1"/>
  <c r="M206" i="1" s="1"/>
  <c r="R206" i="1" s="1"/>
  <c r="L207" i="1"/>
  <c r="M207" i="1" s="1"/>
  <c r="R207" i="1" s="1"/>
  <c r="L208" i="1"/>
  <c r="M208" i="1" s="1"/>
  <c r="R208" i="1" s="1"/>
  <c r="L209" i="1"/>
  <c r="M209" i="1" s="1"/>
  <c r="R209" i="1" s="1"/>
  <c r="L210" i="1"/>
  <c r="M210" i="1" s="1"/>
  <c r="R210" i="1" s="1"/>
  <c r="L211" i="1"/>
  <c r="M211" i="1" s="1"/>
  <c r="R211" i="1" s="1"/>
  <c r="L212" i="1"/>
  <c r="M212" i="1" s="1"/>
  <c r="R212" i="1" s="1"/>
  <c r="L213" i="1"/>
  <c r="M213" i="1" s="1"/>
  <c r="R213" i="1" s="1"/>
  <c r="L214" i="1"/>
  <c r="M214" i="1" s="1"/>
  <c r="R214" i="1" s="1"/>
  <c r="L215" i="1"/>
  <c r="M215" i="1" s="1"/>
  <c r="R215" i="1" s="1"/>
  <c r="L216" i="1"/>
  <c r="M216" i="1" s="1"/>
  <c r="R216" i="1" s="1"/>
  <c r="L217" i="1"/>
  <c r="M217" i="1" s="1"/>
  <c r="R217" i="1" s="1"/>
  <c r="L218" i="1"/>
  <c r="M218" i="1" s="1"/>
  <c r="R218" i="1" s="1"/>
  <c r="L219" i="1"/>
  <c r="M219" i="1" s="1"/>
  <c r="R219" i="1" s="1"/>
  <c r="L220" i="1"/>
  <c r="M220" i="1" s="1"/>
  <c r="R220" i="1" s="1"/>
  <c r="L221" i="1"/>
  <c r="M221" i="1" s="1"/>
  <c r="R221" i="1" s="1"/>
  <c r="L222" i="1"/>
  <c r="M222" i="1" s="1"/>
  <c r="R222" i="1" s="1"/>
  <c r="L223" i="1"/>
  <c r="M223" i="1" s="1"/>
  <c r="R223" i="1" s="1"/>
  <c r="L224" i="1"/>
  <c r="M224" i="1" s="1"/>
  <c r="R224" i="1" s="1"/>
  <c r="L225" i="1"/>
  <c r="M225" i="1" s="1"/>
  <c r="R225" i="1" s="1"/>
  <c r="L226" i="1"/>
  <c r="M226" i="1" s="1"/>
  <c r="R226" i="1" s="1"/>
  <c r="L227" i="1"/>
  <c r="M227" i="1" s="1"/>
  <c r="R227" i="1" s="1"/>
  <c r="L228" i="1"/>
  <c r="M228" i="1" s="1"/>
  <c r="R228" i="1" s="1"/>
  <c r="L229" i="1"/>
  <c r="M229" i="1" s="1"/>
  <c r="R229" i="1" s="1"/>
  <c r="L230" i="1"/>
  <c r="M230" i="1" s="1"/>
  <c r="R230" i="1" s="1"/>
  <c r="L231" i="1"/>
  <c r="M231" i="1" s="1"/>
  <c r="R231" i="1" s="1"/>
  <c r="L232" i="1"/>
  <c r="M232" i="1" s="1"/>
  <c r="R232" i="1" s="1"/>
  <c r="L233" i="1"/>
  <c r="M233" i="1" s="1"/>
  <c r="R233" i="1" s="1"/>
  <c r="L234" i="1"/>
  <c r="M234" i="1" s="1"/>
  <c r="R234" i="1" s="1"/>
  <c r="L235" i="1"/>
  <c r="M235" i="1" s="1"/>
  <c r="R235" i="1" s="1"/>
  <c r="L236" i="1"/>
  <c r="M236" i="1" s="1"/>
  <c r="R236" i="1" s="1"/>
  <c r="L237" i="1"/>
  <c r="M237" i="1" s="1"/>
  <c r="R237" i="1" s="1"/>
  <c r="L238" i="1"/>
  <c r="M238" i="1" s="1"/>
  <c r="R238" i="1" s="1"/>
  <c r="L239" i="1"/>
  <c r="M239" i="1" s="1"/>
  <c r="R239" i="1" s="1"/>
  <c r="L240" i="1"/>
  <c r="M240" i="1" s="1"/>
  <c r="R240" i="1" s="1"/>
  <c r="L241" i="1"/>
  <c r="M241" i="1" s="1"/>
  <c r="R241" i="1" s="1"/>
  <c r="L242" i="1"/>
  <c r="M242" i="1" s="1"/>
  <c r="R242" i="1" s="1"/>
  <c r="L243" i="1"/>
  <c r="M243" i="1" s="1"/>
  <c r="R243" i="1" s="1"/>
  <c r="L244" i="1"/>
  <c r="M244" i="1" s="1"/>
  <c r="R244" i="1" s="1"/>
  <c r="L245" i="1"/>
  <c r="M245" i="1" s="1"/>
  <c r="R245" i="1" s="1"/>
  <c r="L246" i="1"/>
  <c r="M246" i="1" s="1"/>
  <c r="R246" i="1" s="1"/>
  <c r="L247" i="1"/>
  <c r="M247" i="1" s="1"/>
  <c r="R247" i="1" s="1"/>
  <c r="L248" i="1"/>
  <c r="M248" i="1" s="1"/>
  <c r="R248" i="1" s="1"/>
  <c r="L249" i="1"/>
  <c r="M249" i="1" s="1"/>
  <c r="R249" i="1" s="1"/>
  <c r="L250" i="1"/>
  <c r="M250" i="1" s="1"/>
  <c r="R250" i="1" s="1"/>
  <c r="L251" i="1"/>
  <c r="M251" i="1" s="1"/>
  <c r="R251" i="1" s="1"/>
  <c r="L252" i="1"/>
  <c r="M252" i="1" s="1"/>
  <c r="R252" i="1" s="1"/>
  <c r="L253" i="1"/>
  <c r="M253" i="1" s="1"/>
  <c r="R253" i="1" s="1"/>
  <c r="L254" i="1"/>
  <c r="M254" i="1" s="1"/>
  <c r="R254" i="1" s="1"/>
  <c r="L255" i="1"/>
  <c r="M255" i="1" s="1"/>
  <c r="R255" i="1" s="1"/>
  <c r="L256" i="1"/>
  <c r="M256" i="1" s="1"/>
  <c r="R256" i="1" s="1"/>
  <c r="L257" i="1"/>
  <c r="M257" i="1" s="1"/>
  <c r="R257" i="1" s="1"/>
  <c r="L258" i="1"/>
  <c r="M258" i="1" s="1"/>
  <c r="R258" i="1" s="1"/>
  <c r="L259" i="1"/>
  <c r="M259" i="1" s="1"/>
  <c r="R259" i="1" s="1"/>
  <c r="L260" i="1"/>
  <c r="M260" i="1" s="1"/>
  <c r="R260" i="1" s="1"/>
  <c r="L261" i="1"/>
  <c r="M261" i="1" s="1"/>
  <c r="R261" i="1" s="1"/>
  <c r="L262" i="1"/>
  <c r="M262" i="1" s="1"/>
  <c r="R262" i="1" s="1"/>
  <c r="L263" i="1"/>
  <c r="M263" i="1" s="1"/>
  <c r="R263" i="1" s="1"/>
  <c r="L264" i="1"/>
  <c r="M264" i="1" s="1"/>
  <c r="R264" i="1" s="1"/>
  <c r="L265" i="1"/>
  <c r="M265" i="1" s="1"/>
  <c r="R265" i="1" s="1"/>
  <c r="L266" i="1"/>
  <c r="M266" i="1" s="1"/>
  <c r="R266" i="1" s="1"/>
  <c r="L267" i="1"/>
  <c r="M267" i="1" s="1"/>
  <c r="R267" i="1" s="1"/>
  <c r="L268" i="1"/>
  <c r="M268" i="1" s="1"/>
  <c r="R268" i="1" s="1"/>
  <c r="L269" i="1"/>
  <c r="M269" i="1" s="1"/>
  <c r="R269" i="1" s="1"/>
  <c r="L270" i="1"/>
  <c r="M270" i="1" s="1"/>
  <c r="R270" i="1" s="1"/>
  <c r="L271" i="1"/>
  <c r="M271" i="1" s="1"/>
  <c r="R271" i="1" s="1"/>
  <c r="L272" i="1"/>
  <c r="M272" i="1" s="1"/>
  <c r="R272" i="1" s="1"/>
  <c r="L273" i="1"/>
  <c r="M273" i="1" s="1"/>
  <c r="R273" i="1" s="1"/>
  <c r="L274" i="1"/>
  <c r="M274" i="1" s="1"/>
  <c r="R274" i="1" s="1"/>
  <c r="L275" i="1"/>
  <c r="M275" i="1" s="1"/>
  <c r="R275" i="1" s="1"/>
  <c r="L276" i="1"/>
  <c r="M276" i="1" s="1"/>
  <c r="R276" i="1" s="1"/>
  <c r="L277" i="1"/>
  <c r="M277" i="1" s="1"/>
  <c r="R277" i="1" s="1"/>
  <c r="L278" i="1"/>
  <c r="M278" i="1" s="1"/>
  <c r="R278" i="1" s="1"/>
  <c r="L279" i="1"/>
  <c r="M279" i="1" s="1"/>
  <c r="R279" i="1" s="1"/>
  <c r="L280" i="1"/>
  <c r="M280" i="1" s="1"/>
  <c r="R280" i="1" s="1"/>
  <c r="L281" i="1"/>
  <c r="M281" i="1" s="1"/>
  <c r="R281" i="1" s="1"/>
  <c r="L282" i="1"/>
  <c r="M282" i="1" s="1"/>
  <c r="R282" i="1" s="1"/>
  <c r="L283" i="1"/>
  <c r="M283" i="1" s="1"/>
  <c r="R283" i="1" s="1"/>
  <c r="L284" i="1"/>
  <c r="M284" i="1" s="1"/>
  <c r="R284" i="1" s="1"/>
  <c r="L285" i="1"/>
  <c r="M285" i="1" s="1"/>
  <c r="R285" i="1" s="1"/>
  <c r="L286" i="1"/>
  <c r="M286" i="1" s="1"/>
  <c r="R286" i="1" s="1"/>
  <c r="L287" i="1"/>
  <c r="M287" i="1" s="1"/>
  <c r="R287" i="1" s="1"/>
  <c r="L288" i="1"/>
  <c r="M288" i="1" s="1"/>
  <c r="R288" i="1" s="1"/>
  <c r="L289" i="1"/>
  <c r="M289" i="1" s="1"/>
  <c r="R289" i="1" s="1"/>
  <c r="L290" i="1"/>
  <c r="M290" i="1" s="1"/>
  <c r="R290" i="1" s="1"/>
  <c r="L291" i="1"/>
  <c r="M291" i="1" s="1"/>
  <c r="R291" i="1" s="1"/>
  <c r="L292" i="1"/>
  <c r="M292" i="1" s="1"/>
  <c r="R292" i="1" s="1"/>
  <c r="L293" i="1"/>
  <c r="M293" i="1" s="1"/>
  <c r="R293" i="1" s="1"/>
  <c r="L294" i="1"/>
  <c r="M294" i="1" s="1"/>
  <c r="R294" i="1" s="1"/>
  <c r="L295" i="1"/>
  <c r="M295" i="1" s="1"/>
  <c r="R295" i="1" s="1"/>
  <c r="L296" i="1"/>
  <c r="M296" i="1" s="1"/>
  <c r="R296" i="1" s="1"/>
  <c r="L297" i="1"/>
  <c r="M297" i="1" s="1"/>
  <c r="R297" i="1" s="1"/>
  <c r="L298" i="1"/>
  <c r="M298" i="1" s="1"/>
  <c r="R298" i="1" s="1"/>
  <c r="L299" i="1"/>
  <c r="M299" i="1" s="1"/>
  <c r="R299" i="1" s="1"/>
  <c r="L300" i="1"/>
  <c r="M300" i="1" s="1"/>
  <c r="R300" i="1" s="1"/>
  <c r="L301" i="1"/>
  <c r="M301" i="1" s="1"/>
  <c r="R301" i="1" s="1"/>
  <c r="L302" i="1"/>
  <c r="M302" i="1" s="1"/>
  <c r="R302" i="1" s="1"/>
  <c r="L303" i="1"/>
  <c r="M303" i="1" s="1"/>
  <c r="R303" i="1" s="1"/>
  <c r="L304" i="1"/>
  <c r="M304" i="1" s="1"/>
  <c r="R304" i="1" s="1"/>
  <c r="L305" i="1"/>
  <c r="M305" i="1" s="1"/>
  <c r="R305" i="1" s="1"/>
  <c r="L306" i="1"/>
  <c r="M306" i="1" s="1"/>
  <c r="R306" i="1" s="1"/>
  <c r="L307" i="1"/>
  <c r="M307" i="1" s="1"/>
  <c r="R307" i="1" s="1"/>
  <c r="L308" i="1"/>
  <c r="M308" i="1" s="1"/>
  <c r="R308" i="1" s="1"/>
  <c r="L309" i="1"/>
  <c r="M309" i="1" s="1"/>
  <c r="R309" i="1" s="1"/>
  <c r="L310" i="1"/>
  <c r="M310" i="1" s="1"/>
  <c r="R310" i="1" s="1"/>
  <c r="L311" i="1"/>
  <c r="M311" i="1" s="1"/>
  <c r="R311" i="1" s="1"/>
  <c r="L312" i="1"/>
  <c r="M312" i="1" s="1"/>
  <c r="R312" i="1" s="1"/>
  <c r="L313" i="1"/>
  <c r="M313" i="1" s="1"/>
  <c r="R313" i="1" s="1"/>
  <c r="L314" i="1"/>
  <c r="M314" i="1" s="1"/>
  <c r="R314" i="1" s="1"/>
  <c r="L315" i="1"/>
  <c r="M315" i="1" s="1"/>
  <c r="R315" i="1" s="1"/>
  <c r="L316" i="1"/>
  <c r="M316" i="1" s="1"/>
  <c r="R316" i="1" s="1"/>
  <c r="L317" i="1"/>
  <c r="M317" i="1" s="1"/>
  <c r="R317" i="1" s="1"/>
  <c r="L318" i="1"/>
  <c r="M318" i="1" s="1"/>
  <c r="R318" i="1" s="1"/>
  <c r="L319" i="1"/>
  <c r="M319" i="1" s="1"/>
  <c r="R319" i="1" s="1"/>
  <c r="L320" i="1"/>
  <c r="M320" i="1" s="1"/>
  <c r="R320" i="1" s="1"/>
  <c r="L321" i="1"/>
  <c r="M321" i="1" s="1"/>
  <c r="R321" i="1" s="1"/>
  <c r="L322" i="1"/>
  <c r="M322" i="1" s="1"/>
  <c r="R322" i="1" s="1"/>
  <c r="L323" i="1"/>
  <c r="M323" i="1" s="1"/>
  <c r="R323" i="1" s="1"/>
  <c r="L324" i="1"/>
  <c r="M324" i="1" s="1"/>
  <c r="R324" i="1" s="1"/>
  <c r="L325" i="1"/>
  <c r="M325" i="1" s="1"/>
  <c r="R325" i="1" s="1"/>
  <c r="L326" i="1"/>
  <c r="M326" i="1" s="1"/>
  <c r="R326" i="1" s="1"/>
  <c r="L327" i="1"/>
  <c r="M327" i="1" s="1"/>
  <c r="R327" i="1" s="1"/>
  <c r="L328" i="1"/>
  <c r="M328" i="1" s="1"/>
  <c r="R328" i="1" s="1"/>
  <c r="L329" i="1"/>
  <c r="M329" i="1" s="1"/>
  <c r="R329" i="1" s="1"/>
  <c r="L330" i="1"/>
  <c r="M330" i="1" s="1"/>
  <c r="R330" i="1" s="1"/>
  <c r="L331" i="1"/>
  <c r="M331" i="1" s="1"/>
  <c r="R331" i="1" s="1"/>
  <c r="L332" i="1"/>
  <c r="M332" i="1" s="1"/>
  <c r="R332" i="1" s="1"/>
  <c r="L333" i="1"/>
  <c r="M333" i="1" s="1"/>
  <c r="R333" i="1" s="1"/>
  <c r="L334" i="1"/>
  <c r="M334" i="1" s="1"/>
  <c r="R334" i="1" s="1"/>
  <c r="L335" i="1"/>
  <c r="M335" i="1" s="1"/>
  <c r="R335" i="1" s="1"/>
  <c r="L336" i="1"/>
  <c r="M336" i="1" s="1"/>
  <c r="R336" i="1" s="1"/>
  <c r="L337" i="1"/>
  <c r="M337" i="1" s="1"/>
  <c r="R337" i="1" s="1"/>
  <c r="L338" i="1"/>
  <c r="M338" i="1" s="1"/>
  <c r="R338" i="1" s="1"/>
  <c r="L339" i="1"/>
  <c r="M339" i="1" s="1"/>
  <c r="R339" i="1" s="1"/>
  <c r="L340" i="1"/>
  <c r="M340" i="1" s="1"/>
  <c r="R340" i="1" s="1"/>
  <c r="L341" i="1"/>
  <c r="M341" i="1" s="1"/>
  <c r="R341" i="1" s="1"/>
  <c r="L342" i="1"/>
  <c r="M342" i="1" s="1"/>
  <c r="R342" i="1" s="1"/>
  <c r="L343" i="1"/>
  <c r="M343" i="1" s="1"/>
  <c r="R343" i="1" s="1"/>
  <c r="L344" i="1"/>
  <c r="M344" i="1" s="1"/>
  <c r="R344" i="1" s="1"/>
  <c r="L345" i="1"/>
  <c r="M345" i="1" s="1"/>
  <c r="R345" i="1" s="1"/>
  <c r="L346" i="1"/>
  <c r="M346" i="1" s="1"/>
  <c r="R346" i="1" s="1"/>
  <c r="L347" i="1"/>
  <c r="M347" i="1" s="1"/>
  <c r="R347" i="1" s="1"/>
  <c r="L348" i="1"/>
  <c r="M348" i="1" s="1"/>
  <c r="R348" i="1" s="1"/>
  <c r="L349" i="1"/>
  <c r="M349" i="1" s="1"/>
  <c r="R349" i="1" s="1"/>
  <c r="L350" i="1"/>
  <c r="M350" i="1" s="1"/>
  <c r="R350" i="1" s="1"/>
  <c r="L351" i="1"/>
  <c r="M351" i="1" s="1"/>
  <c r="R351" i="1" s="1"/>
  <c r="L352" i="1"/>
  <c r="M352" i="1" s="1"/>
  <c r="R352" i="1" s="1"/>
  <c r="L353" i="1"/>
  <c r="M353" i="1" s="1"/>
  <c r="R353" i="1" s="1"/>
  <c r="L354" i="1"/>
  <c r="M354" i="1" s="1"/>
  <c r="R354" i="1" s="1"/>
  <c r="L355" i="1"/>
  <c r="M355" i="1" s="1"/>
  <c r="R355" i="1" s="1"/>
  <c r="L356" i="1"/>
  <c r="M356" i="1" s="1"/>
  <c r="R356" i="1" s="1"/>
  <c r="L357" i="1"/>
  <c r="M357" i="1" s="1"/>
  <c r="R357" i="1" s="1"/>
  <c r="L358" i="1"/>
  <c r="M358" i="1" s="1"/>
  <c r="R358" i="1" s="1"/>
  <c r="L359" i="1"/>
  <c r="M359" i="1" s="1"/>
  <c r="R359" i="1" s="1"/>
  <c r="L360" i="1"/>
  <c r="M360" i="1" s="1"/>
  <c r="R360" i="1" s="1"/>
  <c r="L361" i="1"/>
  <c r="M361" i="1" s="1"/>
  <c r="R361" i="1" s="1"/>
  <c r="L362" i="1"/>
  <c r="M362" i="1" s="1"/>
  <c r="R362" i="1" s="1"/>
  <c r="L363" i="1"/>
  <c r="M363" i="1" s="1"/>
  <c r="R363" i="1" s="1"/>
  <c r="L364" i="1"/>
  <c r="M364" i="1" s="1"/>
  <c r="R364" i="1" s="1"/>
  <c r="L365" i="1"/>
  <c r="M365" i="1" s="1"/>
  <c r="R365" i="1" s="1"/>
  <c r="L366" i="1"/>
  <c r="M366" i="1" s="1"/>
  <c r="R366" i="1" s="1"/>
  <c r="L367" i="1"/>
  <c r="M367" i="1" s="1"/>
  <c r="R367" i="1" s="1"/>
  <c r="L368" i="1"/>
  <c r="M368" i="1" s="1"/>
  <c r="R368" i="1" s="1"/>
  <c r="L369" i="1"/>
  <c r="M369" i="1" s="1"/>
  <c r="R369" i="1" s="1"/>
  <c r="L370" i="1"/>
  <c r="M370" i="1" s="1"/>
  <c r="R370" i="1" s="1"/>
  <c r="L371" i="1"/>
  <c r="M371" i="1" s="1"/>
  <c r="R371" i="1" s="1"/>
  <c r="L372" i="1"/>
  <c r="M372" i="1" s="1"/>
  <c r="R372" i="1" s="1"/>
  <c r="L373" i="1"/>
  <c r="M373" i="1" s="1"/>
  <c r="R373" i="1" s="1"/>
  <c r="L374" i="1"/>
  <c r="M374" i="1" s="1"/>
  <c r="R374" i="1" s="1"/>
  <c r="L375" i="1"/>
  <c r="M375" i="1" s="1"/>
  <c r="R375" i="1" s="1"/>
  <c r="L376" i="1"/>
  <c r="M376" i="1" s="1"/>
  <c r="R376" i="1" s="1"/>
  <c r="L377" i="1"/>
  <c r="M377" i="1" s="1"/>
  <c r="R377" i="1" s="1"/>
  <c r="L378" i="1"/>
  <c r="M378" i="1" s="1"/>
  <c r="R378" i="1" s="1"/>
  <c r="L379" i="1"/>
  <c r="M379" i="1" s="1"/>
  <c r="R379" i="1" s="1"/>
  <c r="L380" i="1"/>
  <c r="M380" i="1" s="1"/>
  <c r="R380" i="1" s="1"/>
  <c r="L381" i="1"/>
  <c r="M381" i="1" s="1"/>
  <c r="R381" i="1" s="1"/>
  <c r="L382" i="1"/>
  <c r="M382" i="1" s="1"/>
  <c r="R382" i="1" s="1"/>
  <c r="L383" i="1"/>
  <c r="M383" i="1" s="1"/>
  <c r="R383" i="1" s="1"/>
  <c r="L384" i="1"/>
  <c r="M384" i="1" s="1"/>
  <c r="R384" i="1" s="1"/>
  <c r="L385" i="1"/>
  <c r="M385" i="1" s="1"/>
  <c r="R385" i="1" s="1"/>
  <c r="L386" i="1"/>
  <c r="M386" i="1" s="1"/>
  <c r="R386" i="1" s="1"/>
  <c r="L387" i="1"/>
  <c r="M387" i="1" s="1"/>
  <c r="R387" i="1" s="1"/>
  <c r="L388" i="1"/>
  <c r="M388" i="1" s="1"/>
  <c r="R388" i="1" s="1"/>
  <c r="L389" i="1"/>
  <c r="M389" i="1" s="1"/>
  <c r="R389" i="1" s="1"/>
  <c r="L390" i="1"/>
  <c r="M390" i="1" s="1"/>
  <c r="R390" i="1" s="1"/>
  <c r="L391" i="1"/>
  <c r="M391" i="1" s="1"/>
  <c r="R391" i="1" s="1"/>
  <c r="L392" i="1"/>
  <c r="M392" i="1" s="1"/>
  <c r="R392" i="1" s="1"/>
  <c r="L393" i="1"/>
  <c r="M393" i="1" s="1"/>
  <c r="R393" i="1" s="1"/>
  <c r="L394" i="1"/>
  <c r="M394" i="1" s="1"/>
  <c r="R394" i="1" s="1"/>
  <c r="L395" i="1"/>
  <c r="M395" i="1" s="1"/>
  <c r="R395" i="1" s="1"/>
  <c r="L396" i="1"/>
  <c r="M396" i="1" s="1"/>
  <c r="R396" i="1" s="1"/>
  <c r="L397" i="1"/>
  <c r="M397" i="1" s="1"/>
  <c r="R397" i="1" s="1"/>
  <c r="L398" i="1"/>
  <c r="M398" i="1" s="1"/>
  <c r="R398" i="1" s="1"/>
  <c r="L399" i="1"/>
  <c r="M399" i="1" s="1"/>
  <c r="R399" i="1" s="1"/>
  <c r="L400" i="1"/>
  <c r="M400" i="1" s="1"/>
  <c r="R400" i="1" s="1"/>
  <c r="L401" i="1"/>
  <c r="M401" i="1" s="1"/>
  <c r="R401" i="1" s="1"/>
  <c r="L402" i="1"/>
  <c r="M402" i="1" s="1"/>
  <c r="R402" i="1" s="1"/>
  <c r="L403" i="1"/>
  <c r="M403" i="1" s="1"/>
  <c r="R403" i="1" s="1"/>
  <c r="L404" i="1"/>
  <c r="M404" i="1" s="1"/>
  <c r="R404" i="1" s="1"/>
  <c r="L405" i="1"/>
  <c r="M405" i="1" s="1"/>
  <c r="R405" i="1" s="1"/>
  <c r="L406" i="1"/>
  <c r="M406" i="1" s="1"/>
  <c r="R406" i="1" s="1"/>
  <c r="L407" i="1"/>
  <c r="M407" i="1" s="1"/>
  <c r="R407" i="1" s="1"/>
  <c r="L408" i="1"/>
  <c r="M408" i="1" s="1"/>
  <c r="R408" i="1" s="1"/>
  <c r="L409" i="1"/>
  <c r="M409" i="1" s="1"/>
  <c r="R409" i="1" s="1"/>
  <c r="L410" i="1"/>
  <c r="M410" i="1" s="1"/>
  <c r="R410" i="1" s="1"/>
  <c r="L411" i="1"/>
  <c r="M411" i="1" s="1"/>
  <c r="R411" i="1" s="1"/>
  <c r="L412" i="1"/>
  <c r="M412" i="1" s="1"/>
  <c r="R412" i="1" s="1"/>
  <c r="L413" i="1"/>
  <c r="M413" i="1" s="1"/>
  <c r="R413" i="1" s="1"/>
  <c r="L414" i="1"/>
  <c r="M414" i="1" s="1"/>
  <c r="R414" i="1" s="1"/>
  <c r="L415" i="1"/>
  <c r="M415" i="1" s="1"/>
  <c r="R415" i="1" s="1"/>
  <c r="L416" i="1"/>
  <c r="M416" i="1" s="1"/>
  <c r="R416" i="1" s="1"/>
  <c r="L417" i="1"/>
  <c r="M417" i="1" s="1"/>
  <c r="R417" i="1" s="1"/>
  <c r="L418" i="1"/>
  <c r="M418" i="1" s="1"/>
  <c r="R418" i="1" s="1"/>
  <c r="L419" i="1"/>
  <c r="M419" i="1" s="1"/>
  <c r="R419" i="1" s="1"/>
  <c r="L420" i="1"/>
  <c r="M420" i="1" s="1"/>
  <c r="R420" i="1" s="1"/>
  <c r="L421" i="1"/>
  <c r="M421" i="1" s="1"/>
  <c r="R421" i="1" s="1"/>
  <c r="L422" i="1"/>
  <c r="M422" i="1" s="1"/>
  <c r="R422" i="1" s="1"/>
  <c r="L423" i="1"/>
  <c r="M423" i="1" s="1"/>
  <c r="R423" i="1" s="1"/>
  <c r="L424" i="1"/>
  <c r="M424" i="1" s="1"/>
  <c r="R424" i="1" s="1"/>
  <c r="L425" i="1"/>
  <c r="M425" i="1" s="1"/>
  <c r="R425" i="1" s="1"/>
  <c r="L426" i="1"/>
  <c r="M426" i="1" s="1"/>
  <c r="R426" i="1" s="1"/>
  <c r="L427" i="1"/>
  <c r="M427" i="1" s="1"/>
  <c r="R427" i="1" s="1"/>
  <c r="L428" i="1"/>
  <c r="M428" i="1" s="1"/>
  <c r="R428" i="1" s="1"/>
  <c r="L429" i="1"/>
  <c r="M429" i="1" s="1"/>
  <c r="R429" i="1" s="1"/>
  <c r="L430" i="1"/>
  <c r="M430" i="1" s="1"/>
  <c r="R430" i="1" s="1"/>
  <c r="L431" i="1"/>
  <c r="M431" i="1" s="1"/>
  <c r="R431" i="1" s="1"/>
  <c r="L432" i="1"/>
  <c r="M432" i="1" s="1"/>
  <c r="R432" i="1" s="1"/>
  <c r="L433" i="1"/>
  <c r="M433" i="1" s="1"/>
  <c r="R433" i="1" s="1"/>
  <c r="L434" i="1"/>
  <c r="M434" i="1" s="1"/>
  <c r="R434" i="1" s="1"/>
  <c r="L435" i="1"/>
  <c r="M435" i="1" s="1"/>
  <c r="R435" i="1" s="1"/>
  <c r="L436" i="1"/>
  <c r="M436" i="1" s="1"/>
  <c r="R436" i="1" s="1"/>
  <c r="L437" i="1"/>
  <c r="M437" i="1" s="1"/>
  <c r="R437" i="1" s="1"/>
  <c r="L438" i="1"/>
  <c r="M438" i="1" s="1"/>
  <c r="R438" i="1" s="1"/>
  <c r="L439" i="1"/>
  <c r="M439" i="1" s="1"/>
  <c r="R439" i="1" s="1"/>
  <c r="L440" i="1"/>
  <c r="M440" i="1" s="1"/>
  <c r="R440" i="1" s="1"/>
  <c r="L441" i="1"/>
  <c r="M441" i="1" s="1"/>
  <c r="R441" i="1" s="1"/>
  <c r="L442" i="1"/>
  <c r="M442" i="1" s="1"/>
  <c r="R442" i="1" s="1"/>
  <c r="L443" i="1"/>
  <c r="M443" i="1" s="1"/>
  <c r="R443" i="1" s="1"/>
  <c r="L444" i="1"/>
  <c r="M444" i="1" s="1"/>
  <c r="R444" i="1" s="1"/>
  <c r="L445" i="1"/>
  <c r="M445" i="1" s="1"/>
  <c r="R445" i="1" s="1"/>
  <c r="L446" i="1"/>
  <c r="M446" i="1" s="1"/>
  <c r="R446" i="1" s="1"/>
  <c r="L447" i="1"/>
  <c r="M447" i="1" s="1"/>
  <c r="R447" i="1" s="1"/>
  <c r="L448" i="1"/>
  <c r="M448" i="1" s="1"/>
  <c r="R448" i="1" s="1"/>
  <c r="L449" i="1"/>
  <c r="M449" i="1" s="1"/>
  <c r="R449" i="1" s="1"/>
  <c r="L450" i="1"/>
  <c r="M450" i="1" s="1"/>
  <c r="R450" i="1" s="1"/>
  <c r="L451" i="1"/>
  <c r="M451" i="1" s="1"/>
  <c r="R451" i="1" s="1"/>
  <c r="L452" i="1"/>
  <c r="M452" i="1" s="1"/>
  <c r="R452" i="1" s="1"/>
  <c r="L453" i="1"/>
  <c r="M453" i="1" s="1"/>
  <c r="R453" i="1" s="1"/>
  <c r="L454" i="1"/>
  <c r="M454" i="1" s="1"/>
  <c r="R454" i="1" s="1"/>
  <c r="L455" i="1"/>
  <c r="M455" i="1" s="1"/>
  <c r="R455" i="1" s="1"/>
  <c r="L456" i="1"/>
  <c r="M456" i="1" s="1"/>
  <c r="R456" i="1" s="1"/>
  <c r="L457" i="1"/>
  <c r="M457" i="1" s="1"/>
  <c r="R457" i="1" s="1"/>
  <c r="L458" i="1"/>
  <c r="M458" i="1" s="1"/>
  <c r="R458" i="1" s="1"/>
  <c r="L459" i="1"/>
  <c r="M459" i="1" s="1"/>
  <c r="R459" i="1" s="1"/>
  <c r="L460" i="1"/>
  <c r="M460" i="1" s="1"/>
  <c r="R460" i="1" s="1"/>
  <c r="L461" i="1"/>
  <c r="M461" i="1" s="1"/>
  <c r="R461" i="1" s="1"/>
  <c r="L462" i="1"/>
  <c r="M462" i="1" s="1"/>
  <c r="R462" i="1" s="1"/>
  <c r="L463" i="1"/>
  <c r="M463" i="1" s="1"/>
  <c r="R463" i="1" s="1"/>
  <c r="L464" i="1"/>
  <c r="M464" i="1" s="1"/>
  <c r="R464" i="1" s="1"/>
  <c r="L465" i="1"/>
  <c r="M465" i="1" s="1"/>
  <c r="R465" i="1" s="1"/>
  <c r="L466" i="1"/>
  <c r="M466" i="1" s="1"/>
  <c r="R466" i="1" s="1"/>
  <c r="L467" i="1"/>
  <c r="M467" i="1" s="1"/>
  <c r="R467" i="1" s="1"/>
  <c r="L468" i="1"/>
  <c r="M468" i="1" s="1"/>
  <c r="R468" i="1" s="1"/>
  <c r="L469" i="1"/>
  <c r="M469" i="1" s="1"/>
  <c r="R469" i="1" s="1"/>
  <c r="L470" i="1"/>
  <c r="M470" i="1" s="1"/>
  <c r="R470" i="1" s="1"/>
  <c r="L471" i="1"/>
  <c r="M471" i="1" s="1"/>
  <c r="R471" i="1" s="1"/>
  <c r="L472" i="1"/>
  <c r="M472" i="1" s="1"/>
  <c r="R472" i="1" s="1"/>
  <c r="L473" i="1"/>
  <c r="M473" i="1" s="1"/>
  <c r="R473" i="1" s="1"/>
  <c r="L474" i="1"/>
  <c r="M474" i="1" s="1"/>
  <c r="R474" i="1" s="1"/>
  <c r="L475" i="1"/>
  <c r="M475" i="1" s="1"/>
  <c r="R475" i="1" s="1"/>
  <c r="L476" i="1"/>
  <c r="M476" i="1" s="1"/>
  <c r="R476" i="1" s="1"/>
  <c r="L477" i="1"/>
  <c r="M477" i="1" s="1"/>
  <c r="R477" i="1" s="1"/>
  <c r="L478" i="1"/>
  <c r="M478" i="1" s="1"/>
  <c r="R478" i="1" s="1"/>
  <c r="L479" i="1"/>
  <c r="M479" i="1" s="1"/>
  <c r="R479" i="1" s="1"/>
  <c r="L480" i="1"/>
  <c r="M480" i="1" s="1"/>
  <c r="R480" i="1" s="1"/>
  <c r="L481" i="1"/>
  <c r="M481" i="1" s="1"/>
  <c r="R481" i="1" s="1"/>
  <c r="L482" i="1"/>
  <c r="M482" i="1" s="1"/>
  <c r="R482" i="1" s="1"/>
  <c r="L483" i="1"/>
  <c r="M483" i="1" s="1"/>
  <c r="R483" i="1" s="1"/>
  <c r="L484" i="1"/>
  <c r="M484" i="1" s="1"/>
  <c r="R484" i="1" s="1"/>
  <c r="L485" i="1"/>
  <c r="M485" i="1" s="1"/>
  <c r="R485" i="1" s="1"/>
  <c r="L486" i="1"/>
  <c r="M486" i="1" s="1"/>
  <c r="R486" i="1" s="1"/>
  <c r="L487" i="1"/>
  <c r="M487" i="1" s="1"/>
  <c r="R487" i="1" s="1"/>
  <c r="L488" i="1"/>
  <c r="M488" i="1" s="1"/>
  <c r="R488" i="1" s="1"/>
  <c r="L489" i="1"/>
  <c r="M489" i="1" s="1"/>
  <c r="R489" i="1" s="1"/>
  <c r="L490" i="1"/>
  <c r="M490" i="1" s="1"/>
  <c r="R490" i="1" s="1"/>
  <c r="L491" i="1"/>
  <c r="M491" i="1" s="1"/>
  <c r="R491" i="1" s="1"/>
  <c r="L492" i="1"/>
  <c r="M492" i="1" s="1"/>
  <c r="R492" i="1" s="1"/>
  <c r="L493" i="1"/>
  <c r="M493" i="1" s="1"/>
  <c r="R493" i="1" s="1"/>
  <c r="L494" i="1"/>
  <c r="M494" i="1" s="1"/>
  <c r="R494" i="1" s="1"/>
  <c r="L495" i="1"/>
  <c r="M495" i="1" s="1"/>
  <c r="R495" i="1" s="1"/>
  <c r="L496" i="1"/>
  <c r="M496" i="1" s="1"/>
  <c r="R496" i="1" s="1"/>
  <c r="L497" i="1"/>
  <c r="M497" i="1" s="1"/>
  <c r="R497" i="1" s="1"/>
  <c r="L498" i="1"/>
  <c r="M498" i="1" s="1"/>
  <c r="R498" i="1" s="1"/>
  <c r="L499" i="1"/>
  <c r="M499" i="1" s="1"/>
  <c r="R499" i="1" s="1"/>
  <c r="L500" i="1"/>
  <c r="M500" i="1" s="1"/>
  <c r="R500" i="1" s="1"/>
  <c r="L501" i="1"/>
  <c r="M501" i="1" s="1"/>
  <c r="R501" i="1" s="1"/>
  <c r="L502" i="1"/>
  <c r="M502" i="1" s="1"/>
  <c r="R502" i="1" s="1"/>
  <c r="L503" i="1"/>
  <c r="M503" i="1" s="1"/>
  <c r="R503" i="1" s="1"/>
  <c r="L504" i="1"/>
  <c r="M504" i="1" s="1"/>
  <c r="R504" i="1" s="1"/>
  <c r="L505" i="1"/>
  <c r="M505" i="1" s="1"/>
  <c r="R505" i="1" s="1"/>
  <c r="L506" i="1"/>
  <c r="M506" i="1" s="1"/>
  <c r="R506" i="1" s="1"/>
  <c r="L507" i="1"/>
  <c r="M507" i="1" s="1"/>
  <c r="R507" i="1" s="1"/>
  <c r="L508" i="1"/>
  <c r="M508" i="1" s="1"/>
  <c r="R508" i="1" s="1"/>
  <c r="L509" i="1"/>
  <c r="M509" i="1" s="1"/>
  <c r="R509" i="1" s="1"/>
  <c r="L510" i="1"/>
  <c r="M510" i="1" s="1"/>
  <c r="R510" i="1" s="1"/>
  <c r="L511" i="1"/>
  <c r="M511" i="1" s="1"/>
  <c r="R511" i="1" s="1"/>
  <c r="L512" i="1"/>
  <c r="M512" i="1" s="1"/>
  <c r="R512" i="1" s="1"/>
  <c r="L513" i="1"/>
  <c r="M513" i="1" s="1"/>
  <c r="R513" i="1" s="1"/>
  <c r="L514" i="1"/>
  <c r="M514" i="1" s="1"/>
  <c r="R514" i="1" s="1"/>
  <c r="L515" i="1"/>
  <c r="M515" i="1" s="1"/>
  <c r="R515" i="1" s="1"/>
  <c r="L516" i="1"/>
  <c r="M516" i="1" s="1"/>
  <c r="R516" i="1" s="1"/>
  <c r="L517" i="1"/>
  <c r="M517" i="1" s="1"/>
  <c r="R517" i="1" s="1"/>
  <c r="L518" i="1"/>
  <c r="M518" i="1" s="1"/>
  <c r="R518" i="1" s="1"/>
  <c r="L519" i="1"/>
  <c r="M519" i="1" s="1"/>
  <c r="R519" i="1" s="1"/>
  <c r="L520" i="1"/>
  <c r="M520" i="1" s="1"/>
  <c r="R520" i="1" s="1"/>
  <c r="L521" i="1"/>
  <c r="M521" i="1" s="1"/>
  <c r="R521" i="1" s="1"/>
  <c r="L522" i="1"/>
  <c r="M522" i="1" s="1"/>
  <c r="R522" i="1" s="1"/>
  <c r="L523" i="1"/>
  <c r="M523" i="1" s="1"/>
  <c r="R523" i="1" s="1"/>
  <c r="L524" i="1"/>
  <c r="M524" i="1" s="1"/>
  <c r="R524" i="1" s="1"/>
  <c r="L525" i="1"/>
  <c r="M525" i="1" s="1"/>
  <c r="R525" i="1" s="1"/>
  <c r="L526" i="1"/>
  <c r="M526" i="1" s="1"/>
  <c r="R526" i="1" s="1"/>
  <c r="L527" i="1"/>
  <c r="M527" i="1" s="1"/>
  <c r="R527" i="1" s="1"/>
  <c r="L528" i="1"/>
  <c r="M528" i="1" s="1"/>
  <c r="R528" i="1" s="1"/>
  <c r="L529" i="1"/>
  <c r="M529" i="1" s="1"/>
  <c r="R529" i="1" s="1"/>
  <c r="L530" i="1"/>
  <c r="M530" i="1" s="1"/>
  <c r="R530" i="1" s="1"/>
  <c r="L531" i="1"/>
  <c r="M531" i="1" s="1"/>
  <c r="R531" i="1" s="1"/>
  <c r="L532" i="1"/>
  <c r="M532" i="1" s="1"/>
  <c r="R532" i="1" s="1"/>
  <c r="L533" i="1"/>
  <c r="M533" i="1" s="1"/>
  <c r="R533" i="1" s="1"/>
  <c r="L534" i="1"/>
  <c r="M534" i="1" s="1"/>
  <c r="R534" i="1" s="1"/>
  <c r="L535" i="1"/>
  <c r="M535" i="1" s="1"/>
  <c r="R535" i="1" s="1"/>
  <c r="L536" i="1"/>
  <c r="M536" i="1" s="1"/>
  <c r="R536" i="1" s="1"/>
  <c r="L537" i="1"/>
  <c r="M537" i="1" s="1"/>
  <c r="R537" i="1" s="1"/>
  <c r="L538" i="1"/>
  <c r="M538" i="1" s="1"/>
  <c r="R538" i="1" s="1"/>
  <c r="L539" i="1"/>
  <c r="M539" i="1" s="1"/>
  <c r="R539" i="1" s="1"/>
  <c r="L540" i="1"/>
  <c r="M540" i="1" s="1"/>
  <c r="R540" i="1" s="1"/>
  <c r="L541" i="1"/>
  <c r="M541" i="1" s="1"/>
  <c r="R541" i="1" s="1"/>
  <c r="L542" i="1"/>
  <c r="M542" i="1" s="1"/>
  <c r="R542" i="1" s="1"/>
  <c r="L543" i="1"/>
  <c r="M543" i="1" s="1"/>
  <c r="R543" i="1" s="1"/>
  <c r="L544" i="1"/>
  <c r="M544" i="1" s="1"/>
  <c r="R544" i="1" s="1"/>
  <c r="L545" i="1"/>
  <c r="M545" i="1" s="1"/>
  <c r="R545" i="1" s="1"/>
  <c r="L546" i="1"/>
  <c r="M546" i="1" s="1"/>
  <c r="R546" i="1" s="1"/>
  <c r="L547" i="1"/>
  <c r="M547" i="1" s="1"/>
  <c r="R547" i="1" s="1"/>
  <c r="L548" i="1"/>
  <c r="M548" i="1" s="1"/>
  <c r="R548" i="1" s="1"/>
  <c r="L549" i="1"/>
  <c r="M549" i="1" s="1"/>
  <c r="R549" i="1" s="1"/>
  <c r="L550" i="1"/>
  <c r="M550" i="1" s="1"/>
  <c r="R550" i="1" s="1"/>
  <c r="L551" i="1"/>
  <c r="M551" i="1" s="1"/>
  <c r="R551" i="1" s="1"/>
  <c r="L552" i="1"/>
  <c r="M552" i="1" s="1"/>
  <c r="R552" i="1" s="1"/>
  <c r="L553" i="1"/>
  <c r="M553" i="1" s="1"/>
  <c r="R553" i="1" s="1"/>
  <c r="L554" i="1"/>
  <c r="M554" i="1" s="1"/>
  <c r="R554" i="1" s="1"/>
  <c r="L555" i="1"/>
  <c r="M555" i="1" s="1"/>
  <c r="R555" i="1" s="1"/>
  <c r="L556" i="1"/>
  <c r="M556" i="1" s="1"/>
  <c r="R556" i="1" s="1"/>
  <c r="L557" i="1"/>
  <c r="M557" i="1" s="1"/>
  <c r="R557" i="1" s="1"/>
  <c r="L558" i="1"/>
  <c r="M558" i="1" s="1"/>
  <c r="R558" i="1" s="1"/>
  <c r="L559" i="1"/>
  <c r="M559" i="1" s="1"/>
  <c r="R559" i="1" s="1"/>
  <c r="L560" i="1"/>
  <c r="M560" i="1" s="1"/>
  <c r="R560" i="1" s="1"/>
  <c r="L561" i="1"/>
  <c r="M561" i="1" s="1"/>
  <c r="R561" i="1" s="1"/>
  <c r="L562" i="1"/>
  <c r="M562" i="1" s="1"/>
  <c r="R562" i="1" s="1"/>
  <c r="L563" i="1"/>
  <c r="M563" i="1" s="1"/>
  <c r="R563" i="1" s="1"/>
  <c r="L564" i="1"/>
  <c r="M564" i="1" s="1"/>
  <c r="R564" i="1" s="1"/>
  <c r="L565" i="1"/>
  <c r="M565" i="1" s="1"/>
  <c r="R565" i="1" s="1"/>
  <c r="L566" i="1"/>
  <c r="M566" i="1" s="1"/>
  <c r="R566" i="1" s="1"/>
  <c r="L567" i="1"/>
  <c r="M567" i="1" s="1"/>
  <c r="R567" i="1" s="1"/>
  <c r="L568" i="1"/>
  <c r="M568" i="1" s="1"/>
  <c r="R568" i="1" s="1"/>
  <c r="L569" i="1"/>
  <c r="M569" i="1" s="1"/>
  <c r="R569" i="1" s="1"/>
  <c r="L570" i="1"/>
  <c r="M570" i="1" s="1"/>
  <c r="R570" i="1" s="1"/>
  <c r="L571" i="1"/>
  <c r="M571" i="1" s="1"/>
  <c r="R571" i="1" s="1"/>
  <c r="L572" i="1"/>
  <c r="M572" i="1" s="1"/>
  <c r="R572" i="1" s="1"/>
  <c r="L573" i="1"/>
  <c r="M573" i="1" s="1"/>
  <c r="R573" i="1" s="1"/>
  <c r="L574" i="1"/>
  <c r="M574" i="1" s="1"/>
  <c r="R574" i="1" s="1"/>
  <c r="L575" i="1"/>
  <c r="M575" i="1" s="1"/>
  <c r="R575" i="1" s="1"/>
  <c r="L576" i="1"/>
  <c r="M576" i="1" s="1"/>
  <c r="R576" i="1" s="1"/>
  <c r="L577" i="1"/>
  <c r="M577" i="1" s="1"/>
  <c r="R577" i="1" s="1"/>
  <c r="L578" i="1"/>
  <c r="M578" i="1" s="1"/>
  <c r="R578" i="1" s="1"/>
  <c r="L579" i="1"/>
  <c r="M579" i="1" s="1"/>
  <c r="R579" i="1" s="1"/>
  <c r="L580" i="1"/>
  <c r="M580" i="1" s="1"/>
  <c r="R580" i="1" s="1"/>
  <c r="L581" i="1"/>
  <c r="M581" i="1" s="1"/>
  <c r="R581" i="1" s="1"/>
  <c r="L582" i="1"/>
  <c r="M582" i="1" s="1"/>
  <c r="R582" i="1" s="1"/>
  <c r="L583" i="1"/>
  <c r="M583" i="1" s="1"/>
  <c r="R583" i="1" s="1"/>
  <c r="L584" i="1"/>
  <c r="M584" i="1" s="1"/>
  <c r="R584" i="1" s="1"/>
  <c r="L585" i="1"/>
  <c r="M585" i="1" s="1"/>
  <c r="R585" i="1" s="1"/>
  <c r="L586" i="1"/>
  <c r="M586" i="1" s="1"/>
  <c r="R586" i="1" s="1"/>
  <c r="L587" i="1"/>
  <c r="M587" i="1" s="1"/>
  <c r="R587" i="1" s="1"/>
  <c r="L588" i="1"/>
  <c r="M588" i="1" s="1"/>
  <c r="R588" i="1" s="1"/>
  <c r="L589" i="1"/>
  <c r="M589" i="1" s="1"/>
  <c r="R589" i="1" s="1"/>
  <c r="L590" i="1"/>
  <c r="M590" i="1" s="1"/>
  <c r="R590" i="1" s="1"/>
  <c r="L591" i="1"/>
  <c r="M591" i="1" s="1"/>
  <c r="R591" i="1" s="1"/>
  <c r="L592" i="1"/>
  <c r="M592" i="1" s="1"/>
  <c r="R592" i="1" s="1"/>
  <c r="L593" i="1"/>
  <c r="M593" i="1" s="1"/>
  <c r="R593" i="1" s="1"/>
  <c r="L594" i="1"/>
  <c r="M594" i="1" s="1"/>
  <c r="R594" i="1" s="1"/>
  <c r="L595" i="1"/>
  <c r="M595" i="1" s="1"/>
  <c r="R595" i="1" s="1"/>
  <c r="L596" i="1"/>
  <c r="M596" i="1" s="1"/>
  <c r="R596" i="1" s="1"/>
  <c r="L597" i="1"/>
  <c r="M597" i="1" s="1"/>
  <c r="R597" i="1" s="1"/>
  <c r="L598" i="1"/>
  <c r="M598" i="1" s="1"/>
  <c r="R598" i="1" s="1"/>
  <c r="L599" i="1"/>
  <c r="M599" i="1" s="1"/>
  <c r="R599" i="1" s="1"/>
  <c r="L600" i="1"/>
  <c r="M600" i="1" s="1"/>
  <c r="R600" i="1" s="1"/>
  <c r="L601" i="1"/>
  <c r="M601" i="1" s="1"/>
  <c r="R601" i="1" s="1"/>
  <c r="L602" i="1"/>
  <c r="M602" i="1" s="1"/>
  <c r="R602" i="1" s="1"/>
  <c r="L603" i="1"/>
  <c r="M603" i="1" s="1"/>
  <c r="R603" i="1" s="1"/>
  <c r="L604" i="1"/>
  <c r="M604" i="1" s="1"/>
  <c r="R604" i="1" s="1"/>
  <c r="L605" i="1"/>
  <c r="M605" i="1" s="1"/>
  <c r="R605" i="1" s="1"/>
  <c r="L606" i="1"/>
  <c r="M606" i="1" s="1"/>
  <c r="R606" i="1" s="1"/>
  <c r="L607" i="1"/>
  <c r="M607" i="1" s="1"/>
  <c r="R607" i="1" s="1"/>
  <c r="L608" i="1"/>
  <c r="M608" i="1" s="1"/>
  <c r="R608" i="1" s="1"/>
  <c r="L609" i="1"/>
  <c r="M609" i="1" s="1"/>
  <c r="R609" i="1" s="1"/>
  <c r="L610" i="1"/>
  <c r="M610" i="1" s="1"/>
  <c r="R610" i="1" s="1"/>
  <c r="L611" i="1"/>
  <c r="M611" i="1" s="1"/>
  <c r="R611" i="1" s="1"/>
  <c r="L612" i="1"/>
  <c r="M612" i="1" s="1"/>
  <c r="R612" i="1" s="1"/>
  <c r="L613" i="1"/>
  <c r="M613" i="1" s="1"/>
  <c r="R613" i="1" s="1"/>
  <c r="L614" i="1"/>
  <c r="M614" i="1" s="1"/>
  <c r="R614" i="1" s="1"/>
  <c r="L615" i="1"/>
  <c r="M615" i="1" s="1"/>
  <c r="R615" i="1" s="1"/>
  <c r="L616" i="1"/>
  <c r="M616" i="1" s="1"/>
  <c r="R616" i="1" s="1"/>
  <c r="L617" i="1"/>
  <c r="M617" i="1" s="1"/>
  <c r="R617" i="1" s="1"/>
  <c r="L618" i="1"/>
  <c r="M618" i="1" s="1"/>
  <c r="R618" i="1" s="1"/>
  <c r="L619" i="1"/>
  <c r="M619" i="1" s="1"/>
  <c r="R619" i="1" s="1"/>
  <c r="L620" i="1"/>
  <c r="M620" i="1" s="1"/>
  <c r="R620" i="1" s="1"/>
  <c r="L621" i="1"/>
  <c r="M621" i="1" s="1"/>
  <c r="R621" i="1" s="1"/>
  <c r="L622" i="1"/>
  <c r="M622" i="1" s="1"/>
  <c r="R622" i="1" s="1"/>
  <c r="L623" i="1"/>
  <c r="M623" i="1" s="1"/>
  <c r="R623" i="1" s="1"/>
  <c r="L624" i="1"/>
  <c r="M624" i="1" s="1"/>
  <c r="R624" i="1" s="1"/>
  <c r="L625" i="1"/>
  <c r="M625" i="1" s="1"/>
  <c r="R625" i="1" s="1"/>
  <c r="L626" i="1"/>
  <c r="M626" i="1" s="1"/>
  <c r="R626" i="1" s="1"/>
  <c r="L627" i="1"/>
  <c r="M627" i="1" s="1"/>
  <c r="R627" i="1" s="1"/>
  <c r="L628" i="1"/>
  <c r="M628" i="1" s="1"/>
  <c r="R628" i="1" s="1"/>
  <c r="L629" i="1"/>
  <c r="M629" i="1" s="1"/>
  <c r="R629" i="1" s="1"/>
  <c r="L630" i="1"/>
  <c r="M630" i="1" s="1"/>
  <c r="R630" i="1" s="1"/>
  <c r="L631" i="1"/>
  <c r="M631" i="1" s="1"/>
  <c r="R631" i="1" s="1"/>
  <c r="L632" i="1"/>
  <c r="M632" i="1" s="1"/>
  <c r="R632" i="1" s="1"/>
  <c r="L633" i="1"/>
  <c r="M633" i="1" s="1"/>
  <c r="R633" i="1" s="1"/>
  <c r="L634" i="1"/>
  <c r="M634" i="1" s="1"/>
  <c r="R634" i="1" s="1"/>
  <c r="L635" i="1"/>
  <c r="M635" i="1" s="1"/>
  <c r="R635" i="1" s="1"/>
  <c r="L636" i="1"/>
  <c r="M636" i="1" s="1"/>
  <c r="R636" i="1" s="1"/>
  <c r="L637" i="1"/>
  <c r="M637" i="1" s="1"/>
  <c r="R637" i="1" s="1"/>
  <c r="L638" i="1"/>
  <c r="M638" i="1" s="1"/>
  <c r="R638" i="1" s="1"/>
  <c r="L639" i="1"/>
  <c r="M639" i="1" s="1"/>
  <c r="R639" i="1" s="1"/>
  <c r="L640" i="1"/>
  <c r="M640" i="1" s="1"/>
  <c r="R640" i="1" s="1"/>
  <c r="L641" i="1"/>
  <c r="M641" i="1" s="1"/>
  <c r="R641" i="1" s="1"/>
  <c r="L642" i="1"/>
  <c r="M642" i="1" s="1"/>
  <c r="R642" i="1" s="1"/>
  <c r="L643" i="1"/>
  <c r="M643" i="1" s="1"/>
  <c r="R643" i="1" s="1"/>
  <c r="L644" i="1"/>
  <c r="M644" i="1" s="1"/>
  <c r="R644" i="1" s="1"/>
  <c r="L645" i="1"/>
  <c r="M645" i="1" s="1"/>
  <c r="R645" i="1" s="1"/>
  <c r="L646" i="1"/>
  <c r="M646" i="1" s="1"/>
  <c r="R646" i="1" s="1"/>
  <c r="L647" i="1"/>
  <c r="M647" i="1" s="1"/>
  <c r="R647" i="1" s="1"/>
  <c r="L648" i="1"/>
  <c r="M648" i="1" s="1"/>
  <c r="R648" i="1" s="1"/>
  <c r="L649" i="1"/>
  <c r="M649" i="1" s="1"/>
  <c r="R649" i="1" s="1"/>
  <c r="L650" i="1"/>
  <c r="M650" i="1" s="1"/>
  <c r="R650" i="1" s="1"/>
  <c r="L651" i="1"/>
  <c r="M651" i="1" s="1"/>
  <c r="R651" i="1" s="1"/>
  <c r="L652" i="1"/>
  <c r="M652" i="1" s="1"/>
  <c r="R652" i="1" s="1"/>
  <c r="L653" i="1"/>
  <c r="M653" i="1" s="1"/>
  <c r="R653" i="1" s="1"/>
  <c r="L654" i="1"/>
  <c r="M654" i="1" s="1"/>
  <c r="R654" i="1" s="1"/>
  <c r="L655" i="1"/>
  <c r="M655" i="1" s="1"/>
  <c r="R655" i="1" s="1"/>
  <c r="L656" i="1"/>
  <c r="M656" i="1" s="1"/>
  <c r="R656" i="1" s="1"/>
  <c r="L657" i="1"/>
  <c r="M657" i="1" s="1"/>
  <c r="R657" i="1" s="1"/>
  <c r="L658" i="1"/>
  <c r="M658" i="1" s="1"/>
  <c r="R658" i="1" s="1"/>
  <c r="L659" i="1"/>
  <c r="M659" i="1" s="1"/>
  <c r="R659" i="1" s="1"/>
  <c r="L660" i="1"/>
  <c r="M660" i="1" s="1"/>
  <c r="R660" i="1" s="1"/>
  <c r="L661" i="1"/>
  <c r="M661" i="1" s="1"/>
  <c r="R661" i="1" s="1"/>
  <c r="L662" i="1"/>
  <c r="M662" i="1" s="1"/>
  <c r="R662" i="1" s="1"/>
  <c r="L663" i="1"/>
  <c r="M663" i="1" s="1"/>
  <c r="R663" i="1" s="1"/>
  <c r="L664" i="1"/>
  <c r="M664" i="1" s="1"/>
  <c r="R664" i="1" s="1"/>
  <c r="L665" i="1"/>
  <c r="M665" i="1" s="1"/>
  <c r="R665" i="1" s="1"/>
  <c r="L666" i="1"/>
  <c r="M666" i="1" s="1"/>
  <c r="R666" i="1" s="1"/>
  <c r="L667" i="1"/>
  <c r="M667" i="1" s="1"/>
  <c r="R667" i="1" s="1"/>
  <c r="L668" i="1"/>
  <c r="M668" i="1" s="1"/>
  <c r="R668" i="1" s="1"/>
  <c r="L669" i="1"/>
  <c r="M669" i="1" s="1"/>
  <c r="R669" i="1" s="1"/>
  <c r="L670" i="1"/>
  <c r="M670" i="1" s="1"/>
  <c r="R670" i="1" s="1"/>
  <c r="L671" i="1"/>
  <c r="M671" i="1" s="1"/>
  <c r="R671" i="1" s="1"/>
  <c r="L672" i="1"/>
  <c r="M672" i="1" s="1"/>
  <c r="R672" i="1" s="1"/>
  <c r="L673" i="1"/>
  <c r="M673" i="1" s="1"/>
  <c r="R673" i="1" s="1"/>
  <c r="L674" i="1"/>
  <c r="M674" i="1" s="1"/>
  <c r="R674" i="1" s="1"/>
  <c r="L675" i="1"/>
  <c r="M675" i="1" s="1"/>
  <c r="R675" i="1" s="1"/>
  <c r="L676" i="1"/>
  <c r="M676" i="1" s="1"/>
  <c r="R676" i="1" s="1"/>
  <c r="L677" i="1"/>
  <c r="M677" i="1" s="1"/>
  <c r="R677" i="1" s="1"/>
  <c r="L678" i="1"/>
  <c r="M678" i="1" s="1"/>
  <c r="R678" i="1" s="1"/>
  <c r="L679" i="1"/>
  <c r="M679" i="1" s="1"/>
  <c r="R679" i="1" s="1"/>
  <c r="L680" i="1"/>
  <c r="M680" i="1" s="1"/>
  <c r="R680" i="1" s="1"/>
  <c r="L681" i="1"/>
  <c r="M681" i="1" s="1"/>
  <c r="R681" i="1" s="1"/>
  <c r="L682" i="1"/>
  <c r="M682" i="1" s="1"/>
  <c r="R682" i="1" s="1"/>
  <c r="L683" i="1"/>
  <c r="M683" i="1" s="1"/>
  <c r="R683" i="1" s="1"/>
  <c r="L684" i="1"/>
  <c r="M684" i="1" s="1"/>
  <c r="R684" i="1" s="1"/>
  <c r="L685" i="1"/>
  <c r="M685" i="1" s="1"/>
  <c r="R685" i="1" s="1"/>
  <c r="L686" i="1"/>
  <c r="M686" i="1" s="1"/>
  <c r="R686" i="1" s="1"/>
  <c r="L687" i="1"/>
  <c r="M687" i="1" s="1"/>
  <c r="R687" i="1" s="1"/>
  <c r="L688" i="1"/>
  <c r="M688" i="1" s="1"/>
  <c r="R688" i="1" s="1"/>
  <c r="L689" i="1"/>
  <c r="M689" i="1" s="1"/>
  <c r="R689" i="1" s="1"/>
  <c r="L690" i="1"/>
  <c r="M690" i="1" s="1"/>
  <c r="R690" i="1" s="1"/>
  <c r="L691" i="1"/>
  <c r="M691" i="1" s="1"/>
  <c r="R691" i="1" s="1"/>
  <c r="L692" i="1"/>
  <c r="M692" i="1" s="1"/>
  <c r="R692" i="1" s="1"/>
  <c r="L693" i="1"/>
  <c r="M693" i="1" s="1"/>
  <c r="R693" i="1" s="1"/>
  <c r="L694" i="1"/>
  <c r="M694" i="1" s="1"/>
  <c r="R694" i="1" s="1"/>
  <c r="L695" i="1"/>
  <c r="M695" i="1" s="1"/>
  <c r="R695" i="1" s="1"/>
  <c r="L696" i="1"/>
  <c r="M696" i="1" s="1"/>
  <c r="R696" i="1" s="1"/>
  <c r="L697" i="1"/>
  <c r="M697" i="1" s="1"/>
  <c r="R697" i="1" s="1"/>
  <c r="L698" i="1"/>
  <c r="M698" i="1" s="1"/>
  <c r="R698" i="1" s="1"/>
  <c r="L699" i="1"/>
  <c r="M699" i="1" s="1"/>
  <c r="R699" i="1" s="1"/>
  <c r="L700" i="1"/>
  <c r="M700" i="1" s="1"/>
  <c r="R700" i="1" s="1"/>
  <c r="L701" i="1"/>
  <c r="M701" i="1" s="1"/>
  <c r="R701" i="1" s="1"/>
  <c r="L702" i="1"/>
  <c r="M702" i="1" s="1"/>
  <c r="R702" i="1" s="1"/>
  <c r="L703" i="1"/>
  <c r="M703" i="1" s="1"/>
  <c r="R703" i="1" s="1"/>
  <c r="L704" i="1"/>
  <c r="M704" i="1" s="1"/>
  <c r="R704" i="1" s="1"/>
  <c r="L705" i="1"/>
  <c r="M705" i="1" s="1"/>
  <c r="R705" i="1" s="1"/>
  <c r="L706" i="1"/>
  <c r="M706" i="1" s="1"/>
  <c r="R706" i="1" s="1"/>
  <c r="L707" i="1"/>
  <c r="M707" i="1" s="1"/>
  <c r="R707" i="1" s="1"/>
  <c r="L708" i="1"/>
  <c r="M708" i="1" s="1"/>
  <c r="R708" i="1" s="1"/>
  <c r="L709" i="1"/>
  <c r="M709" i="1" s="1"/>
  <c r="R709" i="1" s="1"/>
  <c r="L710" i="1"/>
  <c r="M710" i="1" s="1"/>
  <c r="R710" i="1" s="1"/>
  <c r="L711" i="1"/>
  <c r="M711" i="1" s="1"/>
  <c r="R711" i="1" s="1"/>
  <c r="L712" i="1"/>
  <c r="M712" i="1" s="1"/>
  <c r="R712" i="1" s="1"/>
  <c r="L713" i="1"/>
  <c r="M713" i="1" s="1"/>
  <c r="R713" i="1" s="1"/>
  <c r="L714" i="1"/>
  <c r="M714" i="1" s="1"/>
  <c r="R714" i="1" s="1"/>
  <c r="L715" i="1"/>
  <c r="M715" i="1" s="1"/>
  <c r="R715" i="1" s="1"/>
  <c r="L716" i="1"/>
  <c r="M716" i="1" s="1"/>
  <c r="R716" i="1" s="1"/>
  <c r="L717" i="1"/>
  <c r="M717" i="1" s="1"/>
  <c r="R717" i="1" s="1"/>
  <c r="L718" i="1"/>
  <c r="M718" i="1" s="1"/>
  <c r="R718" i="1" s="1"/>
  <c r="L719" i="1"/>
  <c r="M719" i="1" s="1"/>
  <c r="R719" i="1" s="1"/>
  <c r="L720" i="1"/>
  <c r="M720" i="1" s="1"/>
  <c r="R720" i="1" s="1"/>
  <c r="L721" i="1"/>
  <c r="M721" i="1" s="1"/>
  <c r="R721" i="1" s="1"/>
  <c r="L722" i="1"/>
  <c r="M722" i="1" s="1"/>
  <c r="R722" i="1" s="1"/>
  <c r="L723" i="1"/>
  <c r="M723" i="1" s="1"/>
  <c r="R723" i="1" s="1"/>
  <c r="L724" i="1"/>
  <c r="M724" i="1" s="1"/>
  <c r="R724" i="1" s="1"/>
  <c r="L725" i="1"/>
  <c r="M725" i="1" s="1"/>
  <c r="R725" i="1" s="1"/>
  <c r="L726" i="1"/>
  <c r="M726" i="1" s="1"/>
  <c r="R726" i="1" s="1"/>
  <c r="L727" i="1"/>
  <c r="M727" i="1" s="1"/>
  <c r="R727" i="1" s="1"/>
  <c r="L728" i="1"/>
  <c r="M728" i="1" s="1"/>
  <c r="R728" i="1" s="1"/>
  <c r="L729" i="1"/>
  <c r="M729" i="1" s="1"/>
  <c r="R729" i="1" s="1"/>
  <c r="L730" i="1"/>
  <c r="M730" i="1" s="1"/>
  <c r="R730" i="1" s="1"/>
  <c r="L731" i="1"/>
  <c r="M731" i="1" s="1"/>
  <c r="R731" i="1" s="1"/>
  <c r="L732" i="1"/>
  <c r="M732" i="1" s="1"/>
  <c r="R732" i="1" s="1"/>
  <c r="L733" i="1"/>
  <c r="M733" i="1" s="1"/>
  <c r="R733" i="1" s="1"/>
  <c r="L734" i="1"/>
  <c r="M734" i="1" s="1"/>
  <c r="R734" i="1" s="1"/>
  <c r="L735" i="1"/>
  <c r="M735" i="1" s="1"/>
  <c r="R735" i="1" s="1"/>
  <c r="L736" i="1"/>
  <c r="M736" i="1" s="1"/>
  <c r="R736" i="1" s="1"/>
  <c r="L737" i="1"/>
  <c r="M737" i="1" s="1"/>
  <c r="R737" i="1" s="1"/>
  <c r="L738" i="1"/>
  <c r="M738" i="1" s="1"/>
  <c r="R738" i="1" s="1"/>
  <c r="L739" i="1"/>
  <c r="M739" i="1" s="1"/>
  <c r="R739" i="1" s="1"/>
  <c r="L740" i="1"/>
  <c r="M740" i="1" s="1"/>
  <c r="R740" i="1" s="1"/>
  <c r="L741" i="1"/>
  <c r="M741" i="1" s="1"/>
  <c r="R741" i="1" s="1"/>
  <c r="L742" i="1"/>
  <c r="M742" i="1" s="1"/>
  <c r="R742" i="1" s="1"/>
  <c r="L743" i="1"/>
  <c r="M743" i="1" s="1"/>
  <c r="R743" i="1" s="1"/>
  <c r="L744" i="1"/>
  <c r="M744" i="1" s="1"/>
  <c r="R744" i="1" s="1"/>
  <c r="L745" i="1"/>
  <c r="M745" i="1" s="1"/>
  <c r="R745" i="1" s="1"/>
  <c r="L746" i="1"/>
  <c r="M746" i="1" s="1"/>
  <c r="R746" i="1" s="1"/>
  <c r="L747" i="1"/>
  <c r="M747" i="1" s="1"/>
  <c r="R747" i="1" s="1"/>
  <c r="L748" i="1"/>
  <c r="M748" i="1" s="1"/>
  <c r="R748" i="1" s="1"/>
  <c r="L749" i="1"/>
  <c r="M749" i="1" s="1"/>
  <c r="R749" i="1" s="1"/>
  <c r="L750" i="1"/>
  <c r="M750" i="1" s="1"/>
  <c r="R750" i="1" s="1"/>
  <c r="L751" i="1"/>
  <c r="M751" i="1" s="1"/>
  <c r="R751" i="1" s="1"/>
  <c r="L752" i="1"/>
  <c r="M752" i="1" s="1"/>
  <c r="R752" i="1" s="1"/>
  <c r="L753" i="1"/>
  <c r="M753" i="1" s="1"/>
  <c r="R753" i="1" s="1"/>
  <c r="L754" i="1"/>
  <c r="M754" i="1" s="1"/>
  <c r="R754" i="1" s="1"/>
  <c r="L755" i="1"/>
  <c r="M755" i="1" s="1"/>
  <c r="R755" i="1" s="1"/>
  <c r="L756" i="1"/>
  <c r="M756" i="1" s="1"/>
  <c r="R756" i="1" s="1"/>
  <c r="L757" i="1"/>
  <c r="M757" i="1" s="1"/>
  <c r="R757" i="1" s="1"/>
  <c r="L758" i="1"/>
  <c r="M758" i="1" s="1"/>
  <c r="R758" i="1" s="1"/>
  <c r="L759" i="1"/>
  <c r="M759" i="1" s="1"/>
  <c r="R759" i="1" s="1"/>
  <c r="L760" i="1"/>
  <c r="M760" i="1" s="1"/>
  <c r="R760" i="1" s="1"/>
  <c r="L761" i="1"/>
  <c r="M761" i="1" s="1"/>
  <c r="R761" i="1" s="1"/>
  <c r="L762" i="1"/>
  <c r="M762" i="1" s="1"/>
  <c r="R762" i="1" s="1"/>
  <c r="L763" i="1"/>
  <c r="M763" i="1" s="1"/>
  <c r="R763" i="1" s="1"/>
  <c r="L764" i="1"/>
  <c r="M764" i="1" s="1"/>
  <c r="R764" i="1" s="1"/>
  <c r="L765" i="1"/>
  <c r="M765" i="1" s="1"/>
  <c r="R765" i="1" s="1"/>
  <c r="L766" i="1"/>
  <c r="M766" i="1" s="1"/>
  <c r="R766" i="1" s="1"/>
  <c r="L767" i="1"/>
  <c r="M767" i="1" s="1"/>
  <c r="R767" i="1" s="1"/>
  <c r="L768" i="1"/>
  <c r="M768" i="1" s="1"/>
  <c r="R768" i="1" s="1"/>
  <c r="L769" i="1"/>
  <c r="M769" i="1" s="1"/>
  <c r="R769" i="1" s="1"/>
  <c r="L770" i="1"/>
  <c r="M770" i="1" s="1"/>
  <c r="R770" i="1" s="1"/>
  <c r="L771" i="1"/>
  <c r="M771" i="1" s="1"/>
  <c r="R771" i="1" s="1"/>
  <c r="L772" i="1"/>
  <c r="M772" i="1" s="1"/>
  <c r="R772" i="1" s="1"/>
  <c r="L773" i="1"/>
  <c r="M773" i="1" s="1"/>
  <c r="R773" i="1" s="1"/>
  <c r="L774" i="1"/>
  <c r="M774" i="1" s="1"/>
  <c r="R774" i="1" s="1"/>
  <c r="L775" i="1"/>
  <c r="M775" i="1" s="1"/>
  <c r="R775" i="1" s="1"/>
  <c r="L776" i="1"/>
  <c r="M776" i="1" s="1"/>
  <c r="R776" i="1" s="1"/>
  <c r="L777" i="1"/>
  <c r="M777" i="1" s="1"/>
  <c r="R777" i="1" s="1"/>
  <c r="L778" i="1"/>
  <c r="M778" i="1" s="1"/>
  <c r="R778" i="1" s="1"/>
  <c r="L779" i="1"/>
  <c r="M779" i="1" s="1"/>
  <c r="R779" i="1" s="1"/>
  <c r="L780" i="1"/>
  <c r="M780" i="1" s="1"/>
  <c r="R780" i="1" s="1"/>
  <c r="L781" i="1"/>
  <c r="M781" i="1" s="1"/>
  <c r="R781" i="1" s="1"/>
  <c r="L782" i="1"/>
  <c r="M782" i="1" s="1"/>
  <c r="R782" i="1" s="1"/>
  <c r="L783" i="1"/>
  <c r="M783" i="1" s="1"/>
  <c r="R783" i="1" s="1"/>
  <c r="L784" i="1"/>
  <c r="M784" i="1" s="1"/>
  <c r="R784" i="1" s="1"/>
  <c r="L785" i="1"/>
  <c r="M785" i="1" s="1"/>
  <c r="R785" i="1" s="1"/>
  <c r="L786" i="1"/>
  <c r="M786" i="1" s="1"/>
  <c r="R786" i="1" s="1"/>
  <c r="L787" i="1"/>
  <c r="M787" i="1" s="1"/>
  <c r="R787" i="1" s="1"/>
  <c r="L788" i="1"/>
  <c r="M788" i="1" s="1"/>
  <c r="R788" i="1" s="1"/>
  <c r="L789" i="1"/>
  <c r="M789" i="1" s="1"/>
  <c r="R789" i="1" s="1"/>
  <c r="L790" i="1"/>
  <c r="M790" i="1" s="1"/>
  <c r="R790" i="1" s="1"/>
  <c r="L791" i="1"/>
  <c r="M791" i="1" s="1"/>
  <c r="R791" i="1" s="1"/>
  <c r="L792" i="1"/>
  <c r="M792" i="1" s="1"/>
  <c r="R792" i="1" s="1"/>
  <c r="L793" i="1"/>
  <c r="M793" i="1" s="1"/>
  <c r="R793" i="1" s="1"/>
  <c r="L794" i="1"/>
  <c r="M794" i="1" s="1"/>
  <c r="R794" i="1" s="1"/>
  <c r="L795" i="1"/>
  <c r="M795" i="1" s="1"/>
  <c r="R795" i="1" s="1"/>
  <c r="L796" i="1"/>
  <c r="M796" i="1" s="1"/>
  <c r="R796" i="1" s="1"/>
  <c r="L797" i="1"/>
  <c r="M797" i="1" s="1"/>
  <c r="R797" i="1" s="1"/>
  <c r="L798" i="1"/>
  <c r="M798" i="1" s="1"/>
  <c r="R798" i="1" s="1"/>
  <c r="L799" i="1"/>
  <c r="M799" i="1" s="1"/>
  <c r="R799" i="1" s="1"/>
  <c r="L800" i="1"/>
  <c r="M800" i="1" s="1"/>
  <c r="R800" i="1" s="1"/>
  <c r="L801" i="1"/>
  <c r="M801" i="1" s="1"/>
  <c r="R801" i="1" s="1"/>
  <c r="L802" i="1"/>
  <c r="M802" i="1" s="1"/>
  <c r="R802" i="1" s="1"/>
  <c r="L803" i="1"/>
  <c r="M803" i="1" s="1"/>
  <c r="R803" i="1" s="1"/>
  <c r="L804" i="1"/>
  <c r="M804" i="1" s="1"/>
  <c r="R804" i="1" s="1"/>
  <c r="L805" i="1"/>
  <c r="M805" i="1" s="1"/>
  <c r="R805" i="1" s="1"/>
  <c r="L806" i="1"/>
  <c r="M806" i="1" s="1"/>
  <c r="R806" i="1" s="1"/>
  <c r="L807" i="1"/>
  <c r="M807" i="1" s="1"/>
  <c r="R807" i="1" s="1"/>
  <c r="L808" i="1"/>
  <c r="M808" i="1" s="1"/>
  <c r="R808" i="1" s="1"/>
  <c r="L809" i="1"/>
  <c r="M809" i="1" s="1"/>
  <c r="R809" i="1" s="1"/>
  <c r="L810" i="1"/>
  <c r="M810" i="1" s="1"/>
  <c r="R810" i="1" s="1"/>
  <c r="L811" i="1"/>
  <c r="M811" i="1" s="1"/>
  <c r="R811" i="1" s="1"/>
  <c r="L812" i="1"/>
  <c r="M812" i="1" s="1"/>
  <c r="R812" i="1" s="1"/>
  <c r="L813" i="1"/>
  <c r="M813" i="1" s="1"/>
  <c r="R813" i="1" s="1"/>
  <c r="L814" i="1"/>
  <c r="M814" i="1" s="1"/>
  <c r="R814" i="1" s="1"/>
  <c r="L815" i="1"/>
  <c r="M815" i="1" s="1"/>
  <c r="R815" i="1" s="1"/>
  <c r="L816" i="1"/>
  <c r="M816" i="1" s="1"/>
  <c r="R816" i="1" s="1"/>
  <c r="L817" i="1"/>
  <c r="M817" i="1" s="1"/>
  <c r="R817" i="1" s="1"/>
  <c r="L818" i="1"/>
  <c r="M818" i="1" s="1"/>
  <c r="R818" i="1" s="1"/>
  <c r="L819" i="1"/>
  <c r="M819" i="1" s="1"/>
  <c r="R819" i="1" s="1"/>
  <c r="L820" i="1"/>
  <c r="M820" i="1" s="1"/>
  <c r="R820" i="1" s="1"/>
  <c r="L821" i="1"/>
  <c r="M821" i="1" s="1"/>
  <c r="R821" i="1" s="1"/>
  <c r="L822" i="1"/>
  <c r="M822" i="1" s="1"/>
  <c r="R822" i="1" s="1"/>
  <c r="L823" i="1"/>
  <c r="M823" i="1" s="1"/>
  <c r="R823" i="1" s="1"/>
  <c r="L824" i="1"/>
  <c r="M824" i="1" s="1"/>
  <c r="R824" i="1" s="1"/>
  <c r="L825" i="1"/>
  <c r="M825" i="1" s="1"/>
  <c r="R825" i="1" s="1"/>
  <c r="L826" i="1"/>
  <c r="M826" i="1" s="1"/>
  <c r="R826" i="1" s="1"/>
  <c r="L827" i="1"/>
  <c r="M827" i="1" s="1"/>
  <c r="R827" i="1" s="1"/>
  <c r="L828" i="1"/>
  <c r="M828" i="1" s="1"/>
  <c r="R828" i="1" s="1"/>
  <c r="L829" i="1"/>
  <c r="M829" i="1" s="1"/>
  <c r="R829" i="1" s="1"/>
  <c r="L830" i="1"/>
  <c r="M830" i="1" s="1"/>
  <c r="R830" i="1" s="1"/>
  <c r="L831" i="1"/>
  <c r="M831" i="1" s="1"/>
  <c r="R831" i="1" s="1"/>
  <c r="L832" i="1"/>
  <c r="M832" i="1" s="1"/>
  <c r="R832" i="1" s="1"/>
  <c r="L833" i="1"/>
  <c r="M833" i="1" s="1"/>
  <c r="R833" i="1" s="1"/>
  <c r="L834" i="1"/>
  <c r="M834" i="1" s="1"/>
  <c r="R834" i="1" s="1"/>
  <c r="L835" i="1"/>
  <c r="M835" i="1" s="1"/>
  <c r="R835" i="1" s="1"/>
  <c r="L836" i="1"/>
  <c r="M836" i="1" s="1"/>
  <c r="R836" i="1" s="1"/>
  <c r="L837" i="1"/>
  <c r="M837" i="1" s="1"/>
  <c r="R837" i="1" s="1"/>
  <c r="L838" i="1"/>
  <c r="M838" i="1" s="1"/>
  <c r="R838" i="1" s="1"/>
  <c r="L839" i="1"/>
  <c r="M839" i="1" s="1"/>
  <c r="R839" i="1" s="1"/>
  <c r="L840" i="1"/>
  <c r="M840" i="1" s="1"/>
  <c r="R840" i="1" s="1"/>
  <c r="L841" i="1"/>
  <c r="M841" i="1" s="1"/>
  <c r="R841" i="1" s="1"/>
  <c r="L842" i="1"/>
  <c r="M842" i="1" s="1"/>
  <c r="R842" i="1" s="1"/>
  <c r="L843" i="1"/>
  <c r="M843" i="1" s="1"/>
  <c r="R843" i="1" s="1"/>
  <c r="L844" i="1"/>
  <c r="M844" i="1" s="1"/>
  <c r="R844" i="1" s="1"/>
  <c r="L845" i="1"/>
  <c r="M845" i="1" s="1"/>
  <c r="R845" i="1" s="1"/>
  <c r="L846" i="1"/>
  <c r="M846" i="1" s="1"/>
  <c r="R846" i="1" s="1"/>
  <c r="L847" i="1"/>
  <c r="M847" i="1" s="1"/>
  <c r="R847" i="1" s="1"/>
  <c r="L848" i="1"/>
  <c r="M848" i="1" s="1"/>
  <c r="R848" i="1" s="1"/>
  <c r="L849" i="1"/>
  <c r="M849" i="1" s="1"/>
  <c r="R849" i="1" s="1"/>
  <c r="L850" i="1"/>
  <c r="M850" i="1" s="1"/>
  <c r="R850" i="1" s="1"/>
  <c r="L851" i="1"/>
  <c r="M851" i="1" s="1"/>
  <c r="R851" i="1" s="1"/>
  <c r="L852" i="1"/>
  <c r="M852" i="1" s="1"/>
  <c r="R852" i="1" s="1"/>
  <c r="L853" i="1"/>
  <c r="M853" i="1" s="1"/>
  <c r="R853" i="1" s="1"/>
  <c r="L854" i="1"/>
  <c r="M854" i="1" s="1"/>
  <c r="R854" i="1" s="1"/>
  <c r="L855" i="1"/>
  <c r="M855" i="1" s="1"/>
  <c r="R855" i="1" s="1"/>
  <c r="L856" i="1"/>
  <c r="M856" i="1" s="1"/>
  <c r="R856" i="1" s="1"/>
  <c r="L857" i="1"/>
  <c r="M857" i="1" s="1"/>
  <c r="R857" i="1" s="1"/>
  <c r="L858" i="1"/>
  <c r="M858" i="1" s="1"/>
  <c r="R858" i="1" s="1"/>
  <c r="L859" i="1"/>
  <c r="M859" i="1" s="1"/>
  <c r="R859" i="1" s="1"/>
  <c r="L860" i="1"/>
  <c r="M860" i="1" s="1"/>
  <c r="R860" i="1" s="1"/>
  <c r="L861" i="1"/>
  <c r="M861" i="1" s="1"/>
  <c r="R861" i="1" s="1"/>
  <c r="L862" i="1"/>
  <c r="M862" i="1" s="1"/>
  <c r="R862" i="1" s="1"/>
  <c r="L863" i="1"/>
  <c r="M863" i="1" s="1"/>
  <c r="R863" i="1" s="1"/>
  <c r="L864" i="1"/>
  <c r="M864" i="1" s="1"/>
  <c r="R864" i="1" s="1"/>
  <c r="L865" i="1"/>
  <c r="M865" i="1" s="1"/>
  <c r="R865" i="1" s="1"/>
  <c r="L866" i="1"/>
  <c r="M866" i="1" s="1"/>
  <c r="R866" i="1" s="1"/>
  <c r="L867" i="1"/>
  <c r="M867" i="1" s="1"/>
  <c r="R867" i="1" s="1"/>
  <c r="L868" i="1"/>
  <c r="M868" i="1" s="1"/>
  <c r="R868" i="1" s="1"/>
  <c r="L869" i="1"/>
  <c r="M869" i="1" s="1"/>
  <c r="R869" i="1" s="1"/>
  <c r="L870" i="1"/>
  <c r="M870" i="1" s="1"/>
  <c r="R870" i="1" s="1"/>
  <c r="L871" i="1"/>
  <c r="M871" i="1" s="1"/>
  <c r="R871" i="1" s="1"/>
  <c r="L872" i="1"/>
  <c r="M872" i="1" s="1"/>
  <c r="R872" i="1" s="1"/>
  <c r="L873" i="1"/>
  <c r="M873" i="1" s="1"/>
  <c r="R873" i="1" s="1"/>
  <c r="L874" i="1"/>
  <c r="M874" i="1" s="1"/>
  <c r="R874" i="1" s="1"/>
  <c r="L875" i="1"/>
  <c r="M875" i="1" s="1"/>
  <c r="R875" i="1" s="1"/>
  <c r="L876" i="1"/>
  <c r="M876" i="1" s="1"/>
  <c r="R876" i="1" s="1"/>
  <c r="L877" i="1"/>
  <c r="M877" i="1" s="1"/>
  <c r="R877" i="1" s="1"/>
  <c r="L878" i="1"/>
  <c r="M878" i="1" s="1"/>
  <c r="R878" i="1" s="1"/>
  <c r="L879" i="1"/>
  <c r="M879" i="1" s="1"/>
  <c r="R879" i="1" s="1"/>
  <c r="L880" i="1"/>
  <c r="M880" i="1" s="1"/>
  <c r="R880" i="1" s="1"/>
  <c r="L881" i="1"/>
  <c r="M881" i="1" s="1"/>
  <c r="R881" i="1" s="1"/>
  <c r="L882" i="1"/>
  <c r="M882" i="1" s="1"/>
  <c r="R882" i="1" s="1"/>
  <c r="L883" i="1"/>
  <c r="M883" i="1" s="1"/>
  <c r="R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R947" i="1" s="1"/>
  <c r="L948" i="1"/>
  <c r="M948" i="1" s="1"/>
  <c r="L949" i="1"/>
  <c r="M949" i="1" s="1"/>
  <c r="L950" i="1"/>
  <c r="M950" i="1" s="1"/>
  <c r="R950" i="1" s="1"/>
  <c r="L951" i="1"/>
  <c r="M951" i="1" s="1"/>
  <c r="L952" i="1"/>
  <c r="M952" i="1" s="1"/>
  <c r="R952" i="1" s="1"/>
  <c r="L953" i="1"/>
  <c r="M953" i="1" s="1"/>
  <c r="L954" i="1"/>
  <c r="M954" i="1" s="1"/>
  <c r="L955" i="1"/>
  <c r="M955" i="1" s="1"/>
  <c r="L956" i="1"/>
  <c r="M956" i="1" s="1"/>
  <c r="L957" i="1"/>
  <c r="M957" i="1" s="1"/>
  <c r="R957" i="1" s="1"/>
  <c r="L958" i="1"/>
  <c r="M958" i="1" s="1"/>
  <c r="L959" i="1"/>
  <c r="M959" i="1" s="1"/>
  <c r="R959" i="1" s="1"/>
  <c r="L960" i="1"/>
  <c r="M960" i="1" s="1"/>
  <c r="L961" i="1"/>
  <c r="M961" i="1" s="1"/>
  <c r="L962" i="1"/>
  <c r="M962" i="1" s="1"/>
  <c r="R962" i="1" s="1"/>
  <c r="L963" i="1"/>
  <c r="M963" i="1" s="1"/>
  <c r="L964" i="1"/>
  <c r="M964" i="1" s="1"/>
  <c r="L965" i="1"/>
  <c r="M965" i="1" s="1"/>
  <c r="L966" i="1"/>
  <c r="M966" i="1" s="1"/>
  <c r="L967" i="1"/>
  <c r="M967" i="1" s="1"/>
  <c r="L968" i="1"/>
  <c r="M968" i="1" s="1"/>
  <c r="R968" i="1" s="1"/>
  <c r="L969" i="1"/>
  <c r="M969" i="1" s="1"/>
  <c r="R969" i="1" s="1"/>
  <c r="L970" i="1"/>
  <c r="M970" i="1" s="1"/>
  <c r="R970" i="1" s="1"/>
  <c r="L971" i="1"/>
  <c r="M971" i="1" s="1"/>
  <c r="R971" i="1" s="1"/>
  <c r="L972" i="1"/>
  <c r="M972" i="1" s="1"/>
  <c r="R972" i="1" s="1"/>
  <c r="L973" i="1"/>
  <c r="M973" i="1" s="1"/>
  <c r="R973" i="1" s="1"/>
  <c r="L974" i="1"/>
  <c r="M974" i="1" s="1"/>
  <c r="R974" i="1" s="1"/>
  <c r="L975" i="1"/>
  <c r="M975" i="1" s="1"/>
  <c r="R975" i="1" s="1"/>
  <c r="L976" i="1"/>
  <c r="M976" i="1" s="1"/>
  <c r="R976" i="1" s="1"/>
  <c r="L977" i="1"/>
  <c r="M977" i="1" s="1"/>
  <c r="R977" i="1" s="1"/>
  <c r="L978" i="1"/>
  <c r="M978" i="1" s="1"/>
  <c r="R978" i="1" s="1"/>
  <c r="L979" i="1"/>
  <c r="M979" i="1" s="1"/>
  <c r="R979" i="1" s="1"/>
  <c r="L980" i="1"/>
  <c r="M980" i="1" s="1"/>
  <c r="R980" i="1" s="1"/>
  <c r="L981" i="1"/>
  <c r="M981" i="1" s="1"/>
  <c r="R981" i="1" s="1"/>
  <c r="L982" i="1"/>
  <c r="M982" i="1" s="1"/>
  <c r="R982" i="1" s="1"/>
  <c r="L983" i="1"/>
  <c r="M983" i="1" s="1"/>
  <c r="R983" i="1" s="1"/>
  <c r="L984" i="1"/>
  <c r="M984" i="1" s="1"/>
  <c r="R984" i="1" s="1"/>
  <c r="L985" i="1"/>
  <c r="M985" i="1" s="1"/>
  <c r="R985" i="1" s="1"/>
  <c r="L986" i="1"/>
  <c r="M986" i="1" s="1"/>
  <c r="R986" i="1" s="1"/>
  <c r="L987" i="1"/>
  <c r="M987" i="1" s="1"/>
  <c r="R987" i="1" s="1"/>
  <c r="L988" i="1"/>
  <c r="M988" i="1" s="1"/>
  <c r="R988" i="1" s="1"/>
  <c r="L989" i="1"/>
  <c r="M989" i="1" s="1"/>
  <c r="R989" i="1" s="1"/>
  <c r="L990" i="1"/>
  <c r="M990" i="1" s="1"/>
  <c r="R990" i="1" s="1"/>
  <c r="L991" i="1"/>
  <c r="M991" i="1" s="1"/>
  <c r="R991" i="1" s="1"/>
  <c r="L992" i="1"/>
  <c r="M992" i="1" s="1"/>
  <c r="R992" i="1" s="1"/>
  <c r="L993" i="1"/>
  <c r="M993" i="1" s="1"/>
  <c r="R993" i="1" s="1"/>
  <c r="L994" i="1"/>
  <c r="M994" i="1" s="1"/>
  <c r="R994" i="1" s="1"/>
  <c r="L995" i="1"/>
  <c r="M995" i="1" s="1"/>
  <c r="R995" i="1" s="1"/>
  <c r="L996" i="1"/>
  <c r="M996" i="1" s="1"/>
  <c r="R996" i="1" s="1"/>
  <c r="L997" i="1"/>
  <c r="M997" i="1" s="1"/>
  <c r="R997" i="1" s="1"/>
  <c r="L998" i="1"/>
  <c r="M998" i="1" s="1"/>
  <c r="R998" i="1" s="1"/>
  <c r="L999" i="1"/>
  <c r="M999" i="1" s="1"/>
  <c r="R999" i="1" s="1"/>
  <c r="L1000" i="1"/>
  <c r="M1000" i="1" s="1"/>
  <c r="R1000" i="1" s="1"/>
  <c r="L1001" i="1"/>
  <c r="M1001" i="1" s="1"/>
  <c r="R1001" i="1" s="1"/>
  <c r="L1002" i="1"/>
  <c r="M1002" i="1" s="1"/>
  <c r="R1002" i="1" s="1"/>
  <c r="L1003" i="1"/>
  <c r="M1003" i="1" s="1"/>
  <c r="R1003" i="1" s="1"/>
  <c r="L1004" i="1"/>
  <c r="M1004" i="1" s="1"/>
  <c r="R1004" i="1" s="1"/>
  <c r="L1005" i="1"/>
  <c r="M1005" i="1" s="1"/>
  <c r="R1005" i="1" s="1"/>
  <c r="L1006" i="1"/>
  <c r="M1006" i="1" s="1"/>
  <c r="R1006" i="1" s="1"/>
  <c r="L1007" i="1"/>
  <c r="M1007" i="1" s="1"/>
  <c r="R1007" i="1" s="1"/>
  <c r="L1008" i="1"/>
  <c r="M1008" i="1" s="1"/>
  <c r="R1008" i="1" s="1"/>
  <c r="L1009" i="1"/>
  <c r="M1009" i="1" s="1"/>
  <c r="R1009" i="1" s="1"/>
  <c r="L1010" i="1"/>
  <c r="M1010" i="1" s="1"/>
  <c r="R1010" i="1" s="1"/>
  <c r="L1011" i="1"/>
  <c r="M1011" i="1" s="1"/>
  <c r="R1011" i="1" s="1"/>
  <c r="L1012" i="1"/>
  <c r="M1012" i="1" s="1"/>
  <c r="R1012" i="1" s="1"/>
  <c r="L1013" i="1"/>
  <c r="M1013" i="1" s="1"/>
  <c r="R1013" i="1" s="1"/>
  <c r="L1014" i="1"/>
  <c r="M1014" i="1" s="1"/>
  <c r="R1014" i="1" s="1"/>
  <c r="L1015" i="1"/>
  <c r="M1015" i="1" s="1"/>
  <c r="R1015" i="1" s="1"/>
  <c r="L1016" i="1"/>
  <c r="M1016" i="1" s="1"/>
  <c r="R1016" i="1" s="1"/>
  <c r="L1017" i="1"/>
  <c r="M1017" i="1" s="1"/>
  <c r="R1017" i="1" s="1"/>
  <c r="L1018" i="1"/>
  <c r="M1018" i="1" s="1"/>
  <c r="R1018" i="1" s="1"/>
  <c r="L1019" i="1"/>
  <c r="M1019" i="1" s="1"/>
  <c r="R1019" i="1" s="1"/>
  <c r="L1020" i="1"/>
  <c r="M1020" i="1" s="1"/>
  <c r="R1020" i="1" s="1"/>
  <c r="L1021" i="1"/>
  <c r="M1021" i="1" s="1"/>
  <c r="R1021" i="1" s="1"/>
  <c r="L1022" i="1"/>
  <c r="M1022" i="1" s="1"/>
  <c r="R1022" i="1" s="1"/>
  <c r="L1023" i="1"/>
  <c r="M1023" i="1" s="1"/>
  <c r="R1023" i="1" s="1"/>
  <c r="L1024" i="1"/>
  <c r="M1024" i="1" s="1"/>
  <c r="R1024" i="1" s="1"/>
  <c r="L1025" i="1"/>
  <c r="M1025" i="1" s="1"/>
  <c r="R1025" i="1" s="1"/>
  <c r="L1026" i="1"/>
  <c r="M1026" i="1" s="1"/>
  <c r="R1026" i="1" s="1"/>
  <c r="L1027" i="1"/>
  <c r="M1027" i="1" s="1"/>
  <c r="R1027" i="1" s="1"/>
  <c r="L1028" i="1"/>
  <c r="M1028" i="1" s="1"/>
  <c r="R1028" i="1" s="1"/>
  <c r="L1029" i="1"/>
  <c r="M1029" i="1" s="1"/>
  <c r="R1029" i="1" s="1"/>
  <c r="L1030" i="1"/>
  <c r="M1030" i="1" s="1"/>
  <c r="R1030" i="1" s="1"/>
  <c r="L1031" i="1"/>
  <c r="M1031" i="1" s="1"/>
  <c r="R1031" i="1" s="1"/>
  <c r="L1032" i="1"/>
  <c r="M1032" i="1" s="1"/>
  <c r="R1032" i="1" s="1"/>
  <c r="L1033" i="1"/>
  <c r="M1033" i="1" s="1"/>
  <c r="R1033" i="1" s="1"/>
  <c r="L1034" i="1"/>
  <c r="M1034" i="1" s="1"/>
  <c r="R1034" i="1" s="1"/>
  <c r="L1035" i="1"/>
  <c r="M1035" i="1" s="1"/>
  <c r="R1035" i="1" s="1"/>
  <c r="L1036" i="1"/>
  <c r="M1036" i="1" s="1"/>
  <c r="R1036" i="1" s="1"/>
  <c r="L1037" i="1"/>
  <c r="M1037" i="1" s="1"/>
  <c r="R1037" i="1" s="1"/>
  <c r="L1038" i="1"/>
  <c r="M1038" i="1" s="1"/>
  <c r="R1038" i="1" s="1"/>
  <c r="L1039" i="1"/>
  <c r="M1039" i="1" s="1"/>
  <c r="R1039" i="1" s="1"/>
  <c r="L1040" i="1"/>
  <c r="M1040" i="1" s="1"/>
  <c r="R1040" i="1" s="1"/>
  <c r="L1041" i="1"/>
  <c r="M1041" i="1" s="1"/>
  <c r="R1041" i="1" s="1"/>
  <c r="L1042" i="1"/>
  <c r="M1042" i="1" s="1"/>
  <c r="R1042" i="1" s="1"/>
  <c r="L1043" i="1"/>
  <c r="M1043" i="1" s="1"/>
  <c r="R1043" i="1" s="1"/>
  <c r="L1044" i="1"/>
  <c r="M1044" i="1" s="1"/>
  <c r="R1044" i="1" s="1"/>
  <c r="L1045" i="1"/>
  <c r="M1045" i="1" s="1"/>
  <c r="R1045" i="1" s="1"/>
  <c r="L1046" i="1"/>
  <c r="M1046" i="1" s="1"/>
  <c r="R1046" i="1" s="1"/>
  <c r="L1047" i="1"/>
  <c r="M1047" i="1" s="1"/>
  <c r="R1047" i="1" s="1"/>
  <c r="L1048" i="1"/>
  <c r="M1048" i="1" s="1"/>
  <c r="R1048" i="1" s="1"/>
  <c r="L1049" i="1"/>
  <c r="M1049" i="1" s="1"/>
  <c r="R1049" i="1" s="1"/>
  <c r="L1050" i="1"/>
  <c r="M1050" i="1" s="1"/>
  <c r="R1050" i="1" s="1"/>
  <c r="L1051" i="1"/>
  <c r="M1051" i="1" s="1"/>
  <c r="R1051" i="1" s="1"/>
  <c r="L1052" i="1"/>
  <c r="M1052" i="1" s="1"/>
  <c r="R1052" i="1" s="1"/>
  <c r="L1053" i="1"/>
  <c r="M1053" i="1" s="1"/>
  <c r="R1053" i="1" s="1"/>
  <c r="L1054" i="1"/>
  <c r="M1054" i="1" s="1"/>
  <c r="R1054" i="1" s="1"/>
  <c r="L1055" i="1"/>
  <c r="M1055" i="1" s="1"/>
  <c r="R1055" i="1" s="1"/>
  <c r="L1056" i="1"/>
  <c r="M1056" i="1" s="1"/>
  <c r="R1056" i="1" s="1"/>
  <c r="L1057" i="1"/>
  <c r="M1057" i="1" s="1"/>
  <c r="R1057" i="1" s="1"/>
  <c r="L1058" i="1"/>
  <c r="M1058" i="1" s="1"/>
  <c r="R1058" i="1" s="1"/>
  <c r="L1059" i="1"/>
  <c r="M1059" i="1" s="1"/>
  <c r="R1059" i="1" s="1"/>
  <c r="L1060" i="1"/>
  <c r="M1060" i="1" s="1"/>
  <c r="R1060" i="1" s="1"/>
  <c r="L1061" i="1"/>
  <c r="M1061" i="1" s="1"/>
  <c r="R1061" i="1" s="1"/>
  <c r="L1062" i="1"/>
  <c r="M1062" i="1" s="1"/>
  <c r="R1062" i="1" s="1"/>
  <c r="L1063" i="1"/>
  <c r="M1063" i="1" s="1"/>
  <c r="R1063" i="1" s="1"/>
  <c r="L1064" i="1"/>
  <c r="M1064" i="1" s="1"/>
  <c r="R1064" i="1" s="1"/>
  <c r="L1065" i="1"/>
  <c r="M1065" i="1" s="1"/>
  <c r="R1065" i="1" s="1"/>
  <c r="L1066" i="1"/>
  <c r="M1066" i="1" s="1"/>
  <c r="R1066" i="1" s="1"/>
  <c r="L1067" i="1"/>
  <c r="M1067" i="1" s="1"/>
  <c r="R1067" i="1" s="1"/>
  <c r="L1068" i="1"/>
  <c r="M1068" i="1" s="1"/>
  <c r="R1068" i="1" s="1"/>
  <c r="L1069" i="1"/>
  <c r="M1069" i="1" s="1"/>
  <c r="R1069" i="1" s="1"/>
  <c r="L1070" i="1"/>
  <c r="M1070" i="1" s="1"/>
  <c r="R1070" i="1" s="1"/>
  <c r="L1071" i="1"/>
  <c r="M1071" i="1" s="1"/>
  <c r="R1071" i="1" s="1"/>
  <c r="L1072" i="1"/>
  <c r="M1072" i="1" s="1"/>
  <c r="R1072" i="1" s="1"/>
  <c r="L1073" i="1"/>
  <c r="M1073" i="1" s="1"/>
  <c r="R1073" i="1" s="1"/>
  <c r="L1074" i="1"/>
  <c r="M1074" i="1" s="1"/>
  <c r="R1074" i="1" s="1"/>
  <c r="L1075" i="1"/>
  <c r="M1075" i="1" s="1"/>
  <c r="R1075" i="1" s="1"/>
  <c r="L1076" i="1"/>
  <c r="M1076" i="1" s="1"/>
  <c r="R1076" i="1" s="1"/>
  <c r="L1077" i="1"/>
  <c r="M1077" i="1" s="1"/>
  <c r="R1077" i="1" s="1"/>
  <c r="L1078" i="1"/>
  <c r="M1078" i="1" s="1"/>
  <c r="R1078" i="1" s="1"/>
  <c r="L1079" i="1"/>
  <c r="M1079" i="1" s="1"/>
  <c r="R1079" i="1" s="1"/>
  <c r="L1080" i="1"/>
  <c r="M1080" i="1" s="1"/>
  <c r="R1080" i="1" s="1"/>
  <c r="L1081" i="1"/>
  <c r="M1081" i="1" s="1"/>
  <c r="R1081" i="1" s="1"/>
  <c r="L1082" i="1"/>
  <c r="M1082" i="1" s="1"/>
  <c r="R1082" i="1" s="1"/>
  <c r="L1083" i="1"/>
  <c r="M1083" i="1" s="1"/>
  <c r="R1083" i="1" s="1"/>
  <c r="L1084" i="1"/>
  <c r="M1084" i="1" s="1"/>
  <c r="R1084" i="1" s="1"/>
  <c r="L1085" i="1"/>
  <c r="M1085" i="1" s="1"/>
  <c r="R1085" i="1" s="1"/>
  <c r="L1086" i="1"/>
  <c r="M1086" i="1" s="1"/>
  <c r="R1086" i="1" s="1"/>
  <c r="L1087" i="1"/>
  <c r="M1087" i="1" s="1"/>
  <c r="R1087" i="1" s="1"/>
  <c r="L1088" i="1"/>
  <c r="M1088" i="1" s="1"/>
  <c r="R1088" i="1" s="1"/>
  <c r="L1089" i="1"/>
  <c r="M1089" i="1" s="1"/>
  <c r="R1089" i="1" s="1"/>
  <c r="L1090" i="1"/>
  <c r="M1090" i="1" s="1"/>
  <c r="R1090" i="1" s="1"/>
  <c r="L1091" i="1"/>
  <c r="M1091" i="1" s="1"/>
  <c r="R1091" i="1" s="1"/>
  <c r="L1092" i="1"/>
  <c r="M1092" i="1" s="1"/>
  <c r="R1092" i="1" s="1"/>
  <c r="L1093" i="1"/>
  <c r="M1093" i="1" s="1"/>
  <c r="R1093" i="1" s="1"/>
  <c r="L1094" i="1"/>
  <c r="M1094" i="1" s="1"/>
  <c r="R1094" i="1" s="1"/>
  <c r="L1095" i="1"/>
  <c r="M1095" i="1" s="1"/>
  <c r="R1095" i="1" s="1"/>
  <c r="L1096" i="1"/>
  <c r="M1096" i="1" s="1"/>
  <c r="R1096" i="1" s="1"/>
  <c r="L1097" i="1"/>
  <c r="M1097" i="1" s="1"/>
  <c r="R1097" i="1" s="1"/>
  <c r="L1098" i="1"/>
  <c r="M1098" i="1" s="1"/>
  <c r="R1098" i="1" s="1"/>
  <c r="L1099" i="1"/>
  <c r="M1099" i="1" s="1"/>
  <c r="R1099" i="1" s="1"/>
  <c r="L1100" i="1"/>
  <c r="M1100" i="1" s="1"/>
  <c r="R1100" i="1" s="1"/>
  <c r="L1101" i="1"/>
  <c r="M1101" i="1" s="1"/>
  <c r="R1101" i="1" s="1"/>
  <c r="L1102" i="1"/>
  <c r="M1102" i="1" s="1"/>
  <c r="R1102" i="1" s="1"/>
  <c r="L1103" i="1"/>
  <c r="M1103" i="1" s="1"/>
  <c r="R1103" i="1" s="1"/>
  <c r="L1104" i="1"/>
  <c r="M1104" i="1" s="1"/>
  <c r="R1104" i="1" s="1"/>
  <c r="L1105" i="1"/>
  <c r="M1105" i="1" s="1"/>
  <c r="R1105" i="1" s="1"/>
  <c r="L1106" i="1"/>
  <c r="M1106" i="1" s="1"/>
  <c r="R1106" i="1" s="1"/>
  <c r="L1107" i="1"/>
  <c r="M1107" i="1" s="1"/>
  <c r="R1107" i="1" s="1"/>
  <c r="L1108" i="1"/>
  <c r="M1108" i="1" s="1"/>
  <c r="R1108" i="1" s="1"/>
  <c r="L1109" i="1"/>
  <c r="M1109" i="1" s="1"/>
  <c r="R1109" i="1" s="1"/>
  <c r="L1110" i="1"/>
  <c r="M1110" i="1" s="1"/>
  <c r="R1110" i="1" s="1"/>
  <c r="L1111" i="1"/>
  <c r="M1111" i="1" s="1"/>
  <c r="R1111" i="1" s="1"/>
  <c r="L1112" i="1"/>
  <c r="M1112" i="1" s="1"/>
  <c r="R1112" i="1" s="1"/>
  <c r="L1113" i="1"/>
  <c r="M1113" i="1" s="1"/>
  <c r="R1113" i="1" s="1"/>
  <c r="L1114" i="1"/>
  <c r="M1114" i="1" s="1"/>
  <c r="R1114" i="1" s="1"/>
  <c r="L1115" i="1"/>
  <c r="M1115" i="1" s="1"/>
  <c r="R1115" i="1" s="1"/>
  <c r="L1116" i="1"/>
  <c r="M1116" i="1" s="1"/>
  <c r="R1116" i="1" s="1"/>
  <c r="L1117" i="1"/>
  <c r="M1117" i="1" s="1"/>
  <c r="R1117" i="1" s="1"/>
  <c r="L1118" i="1"/>
  <c r="M1118" i="1" s="1"/>
  <c r="R1118" i="1" s="1"/>
  <c r="L1119" i="1"/>
  <c r="M1119" i="1" s="1"/>
  <c r="R1119" i="1" s="1"/>
  <c r="L1120" i="1"/>
  <c r="M1120" i="1" s="1"/>
  <c r="R1120" i="1" s="1"/>
  <c r="L1121" i="1"/>
  <c r="M1121" i="1" s="1"/>
  <c r="R1121" i="1" s="1"/>
  <c r="L1122" i="1"/>
  <c r="M1122" i="1" s="1"/>
  <c r="R1122" i="1" s="1"/>
  <c r="L1123" i="1"/>
  <c r="M1123" i="1" s="1"/>
  <c r="R1123" i="1" s="1"/>
  <c r="L1124" i="1"/>
  <c r="M1124" i="1" s="1"/>
  <c r="R1124" i="1" s="1"/>
  <c r="L1125" i="1"/>
  <c r="M1125" i="1" s="1"/>
  <c r="R1125" i="1" s="1"/>
  <c r="L1126" i="1"/>
  <c r="M1126" i="1" s="1"/>
  <c r="R1126" i="1" s="1"/>
  <c r="L1127" i="1"/>
  <c r="M1127" i="1" s="1"/>
  <c r="R1127" i="1" s="1"/>
  <c r="L1128" i="1"/>
  <c r="M1128" i="1" s="1"/>
  <c r="R1128" i="1" s="1"/>
  <c r="L1129" i="1"/>
  <c r="M1129" i="1" s="1"/>
  <c r="R1129" i="1" s="1"/>
  <c r="L1130" i="1"/>
  <c r="M1130" i="1" s="1"/>
  <c r="R1130" i="1" s="1"/>
  <c r="L1131" i="1"/>
  <c r="M1131" i="1" s="1"/>
  <c r="R1131" i="1" s="1"/>
  <c r="L1132" i="1"/>
  <c r="M1132" i="1" s="1"/>
  <c r="R1132" i="1" s="1"/>
  <c r="L1133" i="1"/>
  <c r="M1133" i="1" s="1"/>
  <c r="R1133" i="1" s="1"/>
  <c r="L1134" i="1"/>
  <c r="M1134" i="1" s="1"/>
  <c r="R1134" i="1" s="1"/>
  <c r="L1135" i="1"/>
  <c r="M1135" i="1" s="1"/>
  <c r="R1135" i="1" s="1"/>
  <c r="L1136" i="1"/>
  <c r="M1136" i="1" s="1"/>
  <c r="R1136" i="1" s="1"/>
  <c r="L1137" i="1"/>
  <c r="M1137" i="1" s="1"/>
  <c r="R1137" i="1" s="1"/>
  <c r="L1138" i="1"/>
  <c r="M1138" i="1" s="1"/>
  <c r="R1138" i="1" s="1"/>
  <c r="L1139" i="1"/>
  <c r="M1139" i="1" s="1"/>
  <c r="R1139" i="1" s="1"/>
  <c r="L1140" i="1"/>
  <c r="M1140" i="1" s="1"/>
  <c r="R1140" i="1" s="1"/>
  <c r="L1141" i="1"/>
  <c r="M1141" i="1" s="1"/>
  <c r="R1141" i="1" s="1"/>
  <c r="L1142" i="1"/>
  <c r="M1142" i="1" s="1"/>
  <c r="R1142" i="1" s="1"/>
  <c r="L1143" i="1"/>
  <c r="M1143" i="1" s="1"/>
  <c r="R1143" i="1" s="1"/>
  <c r="L1144" i="1"/>
  <c r="M1144" i="1" s="1"/>
  <c r="R1144" i="1" s="1"/>
  <c r="L1145" i="1"/>
  <c r="M1145" i="1" s="1"/>
  <c r="R1145" i="1" s="1"/>
  <c r="L1146" i="1"/>
  <c r="M1146" i="1" s="1"/>
  <c r="R1146" i="1" s="1"/>
  <c r="L1147" i="1"/>
  <c r="M1147" i="1" s="1"/>
  <c r="R1147" i="1" s="1"/>
  <c r="L1148" i="1"/>
  <c r="M1148" i="1" s="1"/>
  <c r="R1148" i="1" s="1"/>
  <c r="L1149" i="1"/>
  <c r="M1149" i="1" s="1"/>
  <c r="R1149" i="1" s="1"/>
  <c r="L1150" i="1"/>
  <c r="M1150" i="1" s="1"/>
  <c r="R1150" i="1" s="1"/>
  <c r="L1151" i="1"/>
  <c r="M1151" i="1" s="1"/>
  <c r="R1151" i="1" s="1"/>
  <c r="L1152" i="1"/>
  <c r="M1152" i="1" s="1"/>
  <c r="R1152" i="1" s="1"/>
  <c r="L1153" i="1"/>
  <c r="M1153" i="1" s="1"/>
  <c r="R1153" i="1" s="1"/>
  <c r="L1154" i="1"/>
  <c r="M1154" i="1" s="1"/>
  <c r="R1154" i="1" s="1"/>
  <c r="L1155" i="1"/>
  <c r="M1155" i="1" s="1"/>
  <c r="R1155" i="1" s="1"/>
  <c r="L1156" i="1"/>
  <c r="M1156" i="1" s="1"/>
  <c r="R1156" i="1" s="1"/>
  <c r="L1157" i="1"/>
  <c r="M1157" i="1" s="1"/>
  <c r="R1157" i="1" s="1"/>
  <c r="L1158" i="1"/>
  <c r="M1158" i="1" s="1"/>
  <c r="R1158" i="1" s="1"/>
  <c r="L1159" i="1"/>
  <c r="M1159" i="1" s="1"/>
  <c r="R1159" i="1" s="1"/>
  <c r="L1160" i="1"/>
  <c r="M1160" i="1" s="1"/>
  <c r="R1160" i="1" s="1"/>
  <c r="L1161" i="1"/>
  <c r="M1161" i="1" s="1"/>
  <c r="R1161" i="1" s="1"/>
  <c r="L1162" i="1"/>
  <c r="M1162" i="1" s="1"/>
  <c r="R1162" i="1" s="1"/>
  <c r="L1163" i="1"/>
  <c r="M1163" i="1" s="1"/>
  <c r="R1163" i="1" s="1"/>
  <c r="L1164" i="1"/>
  <c r="M1164" i="1" s="1"/>
  <c r="R1164" i="1" s="1"/>
  <c r="L1165" i="1"/>
  <c r="M1165" i="1" s="1"/>
  <c r="R1165" i="1" s="1"/>
  <c r="L1166" i="1"/>
  <c r="M1166" i="1" s="1"/>
  <c r="R1166" i="1" s="1"/>
  <c r="L1167" i="1"/>
  <c r="M1167" i="1" s="1"/>
  <c r="R1167" i="1" s="1"/>
  <c r="L1168" i="1"/>
  <c r="M1168" i="1" s="1"/>
  <c r="R1168" i="1" s="1"/>
  <c r="L1169" i="1"/>
  <c r="M1169" i="1" s="1"/>
  <c r="R1169" i="1" s="1"/>
  <c r="L1170" i="1"/>
  <c r="M1170" i="1" s="1"/>
  <c r="R1170" i="1" s="1"/>
  <c r="L1171" i="1"/>
  <c r="M1171" i="1" s="1"/>
  <c r="R1171" i="1" s="1"/>
  <c r="L1172" i="1"/>
  <c r="M1172" i="1" s="1"/>
  <c r="R1172" i="1" s="1"/>
  <c r="L1173" i="1"/>
  <c r="M1173" i="1" s="1"/>
  <c r="R1173" i="1" s="1"/>
  <c r="L1174" i="1"/>
  <c r="M1174" i="1" s="1"/>
  <c r="R1174" i="1" s="1"/>
  <c r="L1175" i="1"/>
  <c r="M1175" i="1" s="1"/>
  <c r="R1175" i="1" s="1"/>
  <c r="L1176" i="1"/>
  <c r="M1176" i="1" s="1"/>
  <c r="R1176" i="1" s="1"/>
  <c r="L1177" i="1"/>
  <c r="M1177" i="1" s="1"/>
  <c r="R1177" i="1" s="1"/>
  <c r="L1178" i="1"/>
  <c r="M1178" i="1" s="1"/>
  <c r="R1178" i="1" s="1"/>
  <c r="L1179" i="1"/>
  <c r="M1179" i="1" s="1"/>
  <c r="R1179" i="1" s="1"/>
  <c r="L1180" i="1"/>
  <c r="M1180" i="1" s="1"/>
  <c r="R1180" i="1" s="1"/>
  <c r="L1181" i="1"/>
  <c r="M1181" i="1" s="1"/>
  <c r="R1181" i="1" s="1"/>
  <c r="L1182" i="1"/>
  <c r="M1182" i="1" s="1"/>
  <c r="R1182" i="1" s="1"/>
  <c r="L1183" i="1"/>
  <c r="M1183" i="1" s="1"/>
  <c r="R1183" i="1" s="1"/>
  <c r="L1184" i="1"/>
  <c r="M1184" i="1" s="1"/>
  <c r="R1184" i="1" s="1"/>
  <c r="L1185" i="1"/>
  <c r="M1185" i="1" s="1"/>
  <c r="R1185" i="1" s="1"/>
  <c r="L1186" i="1"/>
  <c r="M1186" i="1" s="1"/>
  <c r="R1186" i="1" s="1"/>
  <c r="L1187" i="1"/>
  <c r="M1187" i="1" s="1"/>
  <c r="R1187" i="1" s="1"/>
  <c r="L1188" i="1"/>
  <c r="M1188" i="1" s="1"/>
  <c r="R1188" i="1" s="1"/>
  <c r="L1189" i="1"/>
  <c r="M1189" i="1" s="1"/>
  <c r="R1189" i="1" s="1"/>
  <c r="L1190" i="1"/>
  <c r="M1190" i="1" s="1"/>
  <c r="R1190" i="1" s="1"/>
  <c r="L1191" i="1"/>
  <c r="M1191" i="1" s="1"/>
  <c r="R1191" i="1" s="1"/>
  <c r="L1192" i="1"/>
  <c r="M1192" i="1" s="1"/>
  <c r="R1192" i="1" s="1"/>
  <c r="L1193" i="1"/>
  <c r="M1193" i="1" s="1"/>
  <c r="R1193" i="1" s="1"/>
  <c r="L1194" i="1"/>
  <c r="M1194" i="1" s="1"/>
  <c r="R1194" i="1" s="1"/>
  <c r="L1195" i="1"/>
  <c r="M1195" i="1" s="1"/>
  <c r="R1195" i="1" s="1"/>
  <c r="L1196" i="1"/>
  <c r="M1196" i="1" s="1"/>
  <c r="R1196" i="1" s="1"/>
  <c r="L1197" i="1"/>
  <c r="M1197" i="1" s="1"/>
  <c r="R1197" i="1" s="1"/>
  <c r="L1198" i="1"/>
  <c r="M1198" i="1" s="1"/>
  <c r="R1198" i="1" s="1"/>
  <c r="L1199" i="1"/>
  <c r="M1199" i="1" s="1"/>
  <c r="R1199" i="1" s="1"/>
  <c r="L1200" i="1"/>
  <c r="M1200" i="1" s="1"/>
  <c r="R1200" i="1" s="1"/>
  <c r="L1201" i="1"/>
  <c r="M1201" i="1" s="1"/>
  <c r="R1201" i="1" s="1"/>
  <c r="L1202" i="1"/>
  <c r="M1202" i="1" s="1"/>
  <c r="R1202" i="1" s="1"/>
  <c r="L1203" i="1"/>
  <c r="M1203" i="1" s="1"/>
  <c r="R1203" i="1" s="1"/>
  <c r="L1204" i="1"/>
  <c r="M1204" i="1" s="1"/>
  <c r="R1204" i="1" s="1"/>
  <c r="L1205" i="1"/>
  <c r="M1205" i="1" s="1"/>
  <c r="R1205" i="1" s="1"/>
  <c r="L1206" i="1"/>
  <c r="M1206" i="1" s="1"/>
  <c r="R1206" i="1" s="1"/>
  <c r="L1207" i="1"/>
  <c r="M1207" i="1" s="1"/>
  <c r="R1207" i="1" s="1"/>
  <c r="L1208" i="1"/>
  <c r="M1208" i="1" s="1"/>
  <c r="R1208" i="1" s="1"/>
  <c r="L1209" i="1"/>
  <c r="M1209" i="1" s="1"/>
  <c r="R1209" i="1" s="1"/>
  <c r="L1210" i="1"/>
  <c r="M1210" i="1" s="1"/>
  <c r="R1210" i="1" s="1"/>
  <c r="L1211" i="1"/>
  <c r="M1211" i="1" s="1"/>
  <c r="R1211" i="1" s="1"/>
  <c r="L1212" i="1"/>
  <c r="M1212" i="1" s="1"/>
  <c r="R1212" i="1" s="1"/>
  <c r="L1213" i="1"/>
  <c r="M1213" i="1" s="1"/>
  <c r="R1213" i="1" s="1"/>
  <c r="L1214" i="1"/>
  <c r="M1214" i="1" s="1"/>
  <c r="R1214" i="1" s="1"/>
  <c r="L1215" i="1"/>
  <c r="M1215" i="1" s="1"/>
  <c r="R1215" i="1" s="1"/>
  <c r="L1216" i="1"/>
  <c r="M1216" i="1" s="1"/>
  <c r="R1216" i="1" s="1"/>
  <c r="L1217" i="1"/>
  <c r="M1217" i="1" s="1"/>
  <c r="R1217" i="1" s="1"/>
  <c r="L1218" i="1"/>
  <c r="M1218" i="1" s="1"/>
  <c r="R1218" i="1" s="1"/>
  <c r="L1219" i="1"/>
  <c r="M1219" i="1" s="1"/>
  <c r="R1219" i="1" s="1"/>
  <c r="L1220" i="1"/>
  <c r="M1220" i="1" s="1"/>
  <c r="R1220" i="1" s="1"/>
  <c r="L1221" i="1"/>
  <c r="M1221" i="1" s="1"/>
  <c r="R1221" i="1" s="1"/>
  <c r="L1222" i="1"/>
  <c r="M1222" i="1" s="1"/>
  <c r="R1222" i="1" s="1"/>
  <c r="L1223" i="1"/>
  <c r="M1223" i="1" s="1"/>
  <c r="R1223" i="1" s="1"/>
  <c r="L1224" i="1"/>
  <c r="M1224" i="1" s="1"/>
  <c r="R1224" i="1" s="1"/>
  <c r="L1225" i="1"/>
  <c r="M1225" i="1" s="1"/>
  <c r="R1225" i="1" s="1"/>
  <c r="L1226" i="1"/>
  <c r="M1226" i="1" s="1"/>
  <c r="R1226" i="1" s="1"/>
  <c r="L1227" i="1"/>
  <c r="M1227" i="1" s="1"/>
  <c r="R1227" i="1" s="1"/>
  <c r="L1228" i="1"/>
  <c r="M1228" i="1" s="1"/>
  <c r="R1228" i="1" s="1"/>
  <c r="L1229" i="1"/>
  <c r="M1229" i="1" s="1"/>
  <c r="R1229" i="1" s="1"/>
  <c r="L1230" i="1"/>
  <c r="M1230" i="1" s="1"/>
  <c r="R1230" i="1" s="1"/>
  <c r="L1231" i="1"/>
  <c r="M1231" i="1" s="1"/>
  <c r="R1231" i="1" s="1"/>
  <c r="L1232" i="1"/>
  <c r="M1232" i="1" s="1"/>
  <c r="R1232" i="1" s="1"/>
  <c r="L1233" i="1"/>
  <c r="M1233" i="1" s="1"/>
  <c r="R1233" i="1" s="1"/>
  <c r="L1234" i="1"/>
  <c r="M1234" i="1" s="1"/>
  <c r="R1234" i="1" s="1"/>
  <c r="L1235" i="1"/>
  <c r="M1235" i="1" s="1"/>
  <c r="R1235" i="1" s="1"/>
  <c r="L1236" i="1"/>
  <c r="M1236" i="1" s="1"/>
  <c r="R1236" i="1" s="1"/>
  <c r="L1237" i="1"/>
  <c r="M1237" i="1" s="1"/>
  <c r="R1237" i="1" s="1"/>
  <c r="L1238" i="1"/>
  <c r="M1238" i="1" s="1"/>
  <c r="R1238" i="1" s="1"/>
  <c r="L1239" i="1"/>
  <c r="M1239" i="1" s="1"/>
  <c r="R1239" i="1" s="1"/>
  <c r="L1240" i="1"/>
  <c r="M1240" i="1" s="1"/>
  <c r="R1240" i="1" s="1"/>
  <c r="L1241" i="1"/>
  <c r="M1241" i="1" s="1"/>
  <c r="R1241" i="1" s="1"/>
  <c r="L1242" i="1"/>
  <c r="M1242" i="1" s="1"/>
  <c r="R1242" i="1" s="1"/>
  <c r="L1243" i="1"/>
  <c r="M1243" i="1" s="1"/>
  <c r="R1243" i="1" s="1"/>
  <c r="L1244" i="1"/>
  <c r="M1244" i="1" s="1"/>
  <c r="R1244" i="1" s="1"/>
  <c r="L1245" i="1"/>
  <c r="M1245" i="1" s="1"/>
  <c r="R1245" i="1" s="1"/>
  <c r="L1246" i="1"/>
  <c r="M1246" i="1" s="1"/>
  <c r="R1246" i="1" s="1"/>
  <c r="L1247" i="1"/>
  <c r="M1247" i="1" s="1"/>
  <c r="R1247" i="1" s="1"/>
  <c r="L1248" i="1"/>
  <c r="M1248" i="1" s="1"/>
  <c r="R1248" i="1" s="1"/>
  <c r="L1249" i="1"/>
  <c r="M1249" i="1" s="1"/>
  <c r="R1249" i="1" s="1"/>
  <c r="L1250" i="1"/>
  <c r="M1250" i="1" s="1"/>
  <c r="R1250" i="1" s="1"/>
  <c r="L1251" i="1"/>
  <c r="M1251" i="1" s="1"/>
  <c r="R1251" i="1" s="1"/>
  <c r="L1252" i="1"/>
  <c r="M1252" i="1" s="1"/>
  <c r="R1252" i="1" s="1"/>
  <c r="L1253" i="1"/>
  <c r="M1253" i="1" s="1"/>
  <c r="R1253" i="1" s="1"/>
  <c r="L1254" i="1"/>
  <c r="M1254" i="1" s="1"/>
  <c r="R1254" i="1" s="1"/>
  <c r="L1255" i="1"/>
  <c r="M1255" i="1" s="1"/>
  <c r="R1255" i="1" s="1"/>
  <c r="L1256" i="1"/>
  <c r="M1256" i="1" s="1"/>
  <c r="R1256" i="1" s="1"/>
  <c r="L1257" i="1"/>
  <c r="M1257" i="1" s="1"/>
  <c r="R1257" i="1" s="1"/>
  <c r="L1258" i="1"/>
  <c r="M1258" i="1" s="1"/>
  <c r="R1258" i="1" s="1"/>
  <c r="L1259" i="1"/>
  <c r="M1259" i="1" s="1"/>
  <c r="R1259" i="1" s="1"/>
  <c r="L1260" i="1"/>
  <c r="M1260" i="1" s="1"/>
  <c r="R1260" i="1" s="1"/>
  <c r="L1261" i="1"/>
  <c r="M1261" i="1" s="1"/>
  <c r="R1261" i="1" s="1"/>
  <c r="L1262" i="1"/>
  <c r="M1262" i="1" s="1"/>
  <c r="R1262" i="1" s="1"/>
  <c r="L1263" i="1"/>
  <c r="M1263" i="1" s="1"/>
  <c r="R1263" i="1" s="1"/>
  <c r="L1264" i="1"/>
  <c r="M1264" i="1" s="1"/>
  <c r="R1264" i="1" s="1"/>
  <c r="L1265" i="1"/>
  <c r="M1265" i="1" s="1"/>
  <c r="R1265" i="1" s="1"/>
  <c r="L1266" i="1"/>
  <c r="M1266" i="1" s="1"/>
  <c r="R1266" i="1" s="1"/>
  <c r="L1267" i="1"/>
  <c r="M1267" i="1" s="1"/>
  <c r="R1267" i="1" s="1"/>
  <c r="L1268" i="1"/>
  <c r="M1268" i="1" s="1"/>
  <c r="R1268" i="1" s="1"/>
  <c r="L1269" i="1"/>
  <c r="M1269" i="1" s="1"/>
  <c r="R1269" i="1" s="1"/>
  <c r="L1270" i="1"/>
  <c r="M1270" i="1" s="1"/>
  <c r="R1270" i="1" s="1"/>
  <c r="L1271" i="1"/>
  <c r="M1271" i="1" s="1"/>
  <c r="R1271" i="1" s="1"/>
  <c r="L1272" i="1"/>
  <c r="M1272" i="1" s="1"/>
  <c r="R1272" i="1" s="1"/>
  <c r="L1273" i="1"/>
  <c r="M1273" i="1" s="1"/>
  <c r="R1273" i="1" s="1"/>
  <c r="L1274" i="1"/>
  <c r="M1274" i="1" s="1"/>
  <c r="R1274" i="1" s="1"/>
  <c r="L1275" i="1"/>
  <c r="M1275" i="1" s="1"/>
  <c r="R1275" i="1" s="1"/>
  <c r="L1276" i="1"/>
  <c r="M1276" i="1" s="1"/>
  <c r="R1276" i="1" s="1"/>
  <c r="L1277" i="1"/>
  <c r="M1277" i="1" s="1"/>
  <c r="R1277" i="1" s="1"/>
  <c r="L1278" i="1"/>
  <c r="M1278" i="1" s="1"/>
  <c r="R1278" i="1" s="1"/>
  <c r="L1279" i="1"/>
  <c r="M1279" i="1" s="1"/>
  <c r="R1279" i="1" s="1"/>
  <c r="L1280" i="1"/>
  <c r="M1280" i="1" s="1"/>
  <c r="R1280" i="1" s="1"/>
  <c r="L1281" i="1"/>
  <c r="M1281" i="1" s="1"/>
  <c r="R1281" i="1" s="1"/>
  <c r="L1282" i="1"/>
  <c r="M1282" i="1" s="1"/>
  <c r="R1282" i="1" s="1"/>
  <c r="L1283" i="1"/>
  <c r="M1283" i="1" s="1"/>
  <c r="R1283" i="1" s="1"/>
  <c r="L1284" i="1"/>
  <c r="M1284" i="1" s="1"/>
  <c r="R1284" i="1" s="1"/>
  <c r="L1285" i="1"/>
  <c r="M1285" i="1" s="1"/>
  <c r="R1285" i="1" s="1"/>
  <c r="L1286" i="1"/>
  <c r="M1286" i="1" s="1"/>
  <c r="R1286" i="1" s="1"/>
  <c r="L1287" i="1"/>
  <c r="M1287" i="1" s="1"/>
  <c r="R1287" i="1" s="1"/>
  <c r="L1288" i="1"/>
  <c r="M1288" i="1" s="1"/>
  <c r="R1288" i="1" s="1"/>
  <c r="L1289" i="1"/>
  <c r="M1289" i="1" s="1"/>
  <c r="R1289" i="1" s="1"/>
  <c r="L1290" i="1"/>
  <c r="M1290" i="1" s="1"/>
  <c r="R1290" i="1" s="1"/>
  <c r="L1291" i="1"/>
  <c r="M1291" i="1" s="1"/>
  <c r="R1291" i="1" s="1"/>
  <c r="L1292" i="1"/>
  <c r="M1292" i="1" s="1"/>
  <c r="R1292" i="1" s="1"/>
  <c r="L1293" i="1"/>
  <c r="M1293" i="1" s="1"/>
  <c r="R1293" i="1" s="1"/>
  <c r="L1294" i="1"/>
  <c r="M1294" i="1" s="1"/>
  <c r="R1294" i="1" s="1"/>
  <c r="L1295" i="1"/>
  <c r="M1295" i="1" s="1"/>
  <c r="R1295" i="1" s="1"/>
  <c r="L1296" i="1"/>
  <c r="M1296" i="1" s="1"/>
  <c r="R1296" i="1" s="1"/>
  <c r="L1297" i="1"/>
  <c r="M1297" i="1" s="1"/>
  <c r="R1297" i="1" s="1"/>
  <c r="L1298" i="1"/>
  <c r="M1298" i="1" s="1"/>
  <c r="R1298" i="1" s="1"/>
  <c r="L1299" i="1"/>
  <c r="M1299" i="1" s="1"/>
  <c r="R1299" i="1" s="1"/>
  <c r="L1300" i="1"/>
  <c r="M1300" i="1" s="1"/>
  <c r="R1300" i="1" s="1"/>
  <c r="L1301" i="1"/>
  <c r="M1301" i="1" s="1"/>
  <c r="R1301" i="1" s="1"/>
  <c r="L1302" i="1"/>
  <c r="M1302" i="1" s="1"/>
  <c r="R1302" i="1" s="1"/>
  <c r="L1303" i="1"/>
  <c r="M1303" i="1" s="1"/>
  <c r="R1303" i="1" s="1"/>
  <c r="L1304" i="1"/>
  <c r="M1304" i="1" s="1"/>
  <c r="R1304" i="1" s="1"/>
  <c r="L1305" i="1"/>
  <c r="M1305" i="1" s="1"/>
  <c r="R1305" i="1" s="1"/>
  <c r="L1306" i="1"/>
  <c r="M1306" i="1" s="1"/>
  <c r="R1306" i="1" s="1"/>
  <c r="L1307" i="1"/>
  <c r="M1307" i="1" s="1"/>
  <c r="R1307" i="1" s="1"/>
  <c r="L1308" i="1"/>
  <c r="M1308" i="1" s="1"/>
  <c r="R1308" i="1" s="1"/>
  <c r="L1309" i="1"/>
  <c r="M1309" i="1" s="1"/>
  <c r="R1309" i="1" s="1"/>
  <c r="L1310" i="1"/>
  <c r="M1310" i="1" s="1"/>
  <c r="R1310" i="1" s="1"/>
  <c r="L1311" i="1"/>
  <c r="M1311" i="1" s="1"/>
  <c r="R1311" i="1" s="1"/>
  <c r="L1312" i="1"/>
  <c r="M1312" i="1" s="1"/>
  <c r="R1312" i="1" s="1"/>
  <c r="L1313" i="1"/>
  <c r="M1313" i="1" s="1"/>
  <c r="R1313" i="1" s="1"/>
  <c r="L1314" i="1"/>
  <c r="M1314" i="1" s="1"/>
  <c r="R1314" i="1" s="1"/>
  <c r="L1315" i="1"/>
  <c r="M1315" i="1" s="1"/>
  <c r="R1315" i="1" s="1"/>
  <c r="L1316" i="1"/>
  <c r="M1316" i="1" s="1"/>
  <c r="R1316" i="1" s="1"/>
  <c r="L1317" i="1"/>
  <c r="M1317" i="1" s="1"/>
  <c r="R1317" i="1" s="1"/>
  <c r="L1318" i="1"/>
  <c r="M1318" i="1" s="1"/>
  <c r="R1318" i="1" s="1"/>
  <c r="L1319" i="1"/>
  <c r="M1319" i="1" s="1"/>
  <c r="R1319" i="1" s="1"/>
  <c r="L1320" i="1"/>
  <c r="M1320" i="1" s="1"/>
  <c r="R1320" i="1" s="1"/>
  <c r="L1321" i="1"/>
  <c r="M1321" i="1" s="1"/>
  <c r="R1321" i="1" s="1"/>
  <c r="L1322" i="1"/>
  <c r="M1322" i="1" s="1"/>
  <c r="R1322" i="1" s="1"/>
  <c r="L1323" i="1"/>
  <c r="M1323" i="1" s="1"/>
  <c r="R1323" i="1" s="1"/>
  <c r="L1324" i="1"/>
  <c r="M1324" i="1" s="1"/>
  <c r="R1324" i="1" s="1"/>
  <c r="L1325" i="1"/>
  <c r="M1325" i="1" s="1"/>
  <c r="R1325" i="1" s="1"/>
  <c r="L1326" i="1"/>
  <c r="M1326" i="1" s="1"/>
  <c r="R1326" i="1" s="1"/>
  <c r="L1327" i="1"/>
  <c r="M1327" i="1" s="1"/>
  <c r="R1327" i="1" s="1"/>
  <c r="L1328" i="1"/>
  <c r="M1328" i="1" s="1"/>
  <c r="R1328" i="1" s="1"/>
  <c r="L1329" i="1"/>
  <c r="M1329" i="1" s="1"/>
  <c r="R1329" i="1" s="1"/>
  <c r="L1330" i="1"/>
  <c r="M1330" i="1" s="1"/>
  <c r="R1330" i="1" s="1"/>
  <c r="L1331" i="1"/>
  <c r="M1331" i="1" s="1"/>
  <c r="R1331" i="1" s="1"/>
  <c r="L1332" i="1"/>
  <c r="M1332" i="1" s="1"/>
  <c r="R1332" i="1" s="1"/>
  <c r="L1333" i="1"/>
  <c r="M1333" i="1" s="1"/>
  <c r="R1333" i="1" s="1"/>
  <c r="L1334" i="1"/>
  <c r="M1334" i="1" s="1"/>
  <c r="R1334" i="1" s="1"/>
  <c r="L1335" i="1"/>
  <c r="M1335" i="1" s="1"/>
  <c r="R1335" i="1" s="1"/>
  <c r="L1336" i="1"/>
  <c r="M1336" i="1" s="1"/>
  <c r="R1336" i="1" s="1"/>
  <c r="L1337" i="1"/>
  <c r="M1337" i="1" s="1"/>
  <c r="R1337" i="1" s="1"/>
  <c r="L1338" i="1"/>
  <c r="M1338" i="1" s="1"/>
  <c r="R1338" i="1" s="1"/>
  <c r="L1339" i="1"/>
  <c r="M1339" i="1" s="1"/>
  <c r="R1339" i="1" s="1"/>
  <c r="L1340" i="1"/>
  <c r="M1340" i="1" s="1"/>
  <c r="R1340" i="1" s="1"/>
  <c r="L1341" i="1"/>
  <c r="M1341" i="1" s="1"/>
  <c r="R1341" i="1" s="1"/>
  <c r="L1342" i="1"/>
  <c r="M1342" i="1" s="1"/>
  <c r="R1342" i="1" s="1"/>
  <c r="L1343" i="1"/>
  <c r="M1343" i="1" s="1"/>
  <c r="R1343" i="1" s="1"/>
  <c r="L1344" i="1"/>
  <c r="M1344" i="1" s="1"/>
  <c r="R1344" i="1" s="1"/>
  <c r="L1345" i="1"/>
  <c r="M1345" i="1" s="1"/>
  <c r="R1345" i="1" s="1"/>
  <c r="L1346" i="1"/>
  <c r="M1346" i="1" s="1"/>
  <c r="R1346" i="1" s="1"/>
  <c r="L1347" i="1"/>
  <c r="M1347" i="1" s="1"/>
  <c r="R1347" i="1" s="1"/>
  <c r="L1348" i="1"/>
  <c r="M1348" i="1" s="1"/>
  <c r="R1348" i="1" s="1"/>
  <c r="L1349" i="1"/>
  <c r="M1349" i="1" s="1"/>
  <c r="R1349" i="1" s="1"/>
  <c r="L1350" i="1"/>
  <c r="M1350" i="1" s="1"/>
  <c r="R1350" i="1" s="1"/>
  <c r="L1351" i="1"/>
  <c r="M1351" i="1" s="1"/>
  <c r="R1351" i="1" s="1"/>
  <c r="L1352" i="1"/>
  <c r="M1352" i="1" s="1"/>
  <c r="R1352" i="1" s="1"/>
  <c r="L1353" i="1"/>
  <c r="M1353" i="1" s="1"/>
  <c r="R1353" i="1" s="1"/>
  <c r="L1354" i="1"/>
  <c r="M1354" i="1" s="1"/>
  <c r="R1354" i="1" s="1"/>
  <c r="L1355" i="1"/>
  <c r="M1355" i="1" s="1"/>
  <c r="R1355" i="1" s="1"/>
  <c r="L1356" i="1"/>
  <c r="M1356" i="1" s="1"/>
  <c r="R1356" i="1" s="1"/>
  <c r="L1357" i="1"/>
  <c r="M1357" i="1" s="1"/>
  <c r="R1357" i="1" s="1"/>
  <c r="L1358" i="1"/>
  <c r="M1358" i="1" s="1"/>
  <c r="R1358" i="1" s="1"/>
  <c r="L1359" i="1"/>
  <c r="M1359" i="1" s="1"/>
  <c r="R1359" i="1" s="1"/>
  <c r="L1360" i="1"/>
  <c r="M1360" i="1" s="1"/>
  <c r="R1360" i="1" s="1"/>
  <c r="L1361" i="1"/>
  <c r="M1361" i="1" s="1"/>
  <c r="R1361" i="1" s="1"/>
  <c r="L1362" i="1"/>
  <c r="M1362" i="1" s="1"/>
  <c r="R1362" i="1" s="1"/>
  <c r="L1363" i="1"/>
  <c r="M1363" i="1" s="1"/>
  <c r="R1363" i="1" s="1"/>
  <c r="L1364" i="1"/>
  <c r="M1364" i="1" s="1"/>
  <c r="R1364" i="1" s="1"/>
  <c r="L1365" i="1"/>
  <c r="M1365" i="1" s="1"/>
  <c r="R1365" i="1" s="1"/>
  <c r="L1366" i="1"/>
  <c r="M1366" i="1" s="1"/>
  <c r="R1366" i="1" s="1"/>
  <c r="L1367" i="1"/>
  <c r="M1367" i="1" s="1"/>
  <c r="R1367" i="1" s="1"/>
  <c r="L1368" i="1"/>
  <c r="M1368" i="1" s="1"/>
  <c r="R1368" i="1" s="1"/>
  <c r="L1369" i="1"/>
  <c r="M1369" i="1" s="1"/>
  <c r="R1369" i="1" s="1"/>
  <c r="L1370" i="1"/>
  <c r="M1370" i="1" s="1"/>
  <c r="R1370" i="1" s="1"/>
  <c r="L1371" i="1"/>
  <c r="M1371" i="1" s="1"/>
  <c r="R1371" i="1" s="1"/>
  <c r="L1372" i="1"/>
  <c r="M1372" i="1" s="1"/>
  <c r="R1372" i="1" s="1"/>
  <c r="L1373" i="1"/>
  <c r="M1373" i="1" s="1"/>
  <c r="R1373" i="1" s="1"/>
  <c r="L1374" i="1"/>
  <c r="M1374" i="1" s="1"/>
  <c r="R1374" i="1" s="1"/>
  <c r="L1375" i="1"/>
  <c r="M1375" i="1" s="1"/>
  <c r="R1375" i="1" s="1"/>
  <c r="L1376" i="1"/>
  <c r="M1376" i="1" s="1"/>
  <c r="R1376" i="1" s="1"/>
  <c r="L1377" i="1"/>
  <c r="M1377" i="1" s="1"/>
  <c r="R1377" i="1" s="1"/>
  <c r="L1378" i="1"/>
  <c r="M1378" i="1" s="1"/>
  <c r="R1378" i="1" s="1"/>
  <c r="L1379" i="1"/>
  <c r="M1379" i="1" s="1"/>
  <c r="R1379" i="1" s="1"/>
  <c r="L1380" i="1"/>
  <c r="M1380" i="1" s="1"/>
  <c r="R1380" i="1" s="1"/>
  <c r="L1381" i="1"/>
  <c r="M1381" i="1" s="1"/>
  <c r="R1381" i="1" s="1"/>
  <c r="L1382" i="1"/>
  <c r="M1382" i="1" s="1"/>
  <c r="R1382" i="1" s="1"/>
  <c r="L1383" i="1"/>
  <c r="M1383" i="1" s="1"/>
  <c r="R1383" i="1" s="1"/>
  <c r="L1384" i="1"/>
  <c r="M1384" i="1" s="1"/>
  <c r="R1384" i="1" s="1"/>
  <c r="L1385" i="1"/>
  <c r="M1385" i="1" s="1"/>
  <c r="R1385" i="1" s="1"/>
  <c r="L1386" i="1"/>
  <c r="M1386" i="1" s="1"/>
  <c r="R1386" i="1" s="1"/>
  <c r="L1387" i="1"/>
  <c r="M1387" i="1" s="1"/>
  <c r="R1387" i="1" s="1"/>
  <c r="L1388" i="1"/>
  <c r="M1388" i="1" s="1"/>
  <c r="R1388" i="1" s="1"/>
  <c r="L1389" i="1"/>
  <c r="M1389" i="1" s="1"/>
  <c r="R1389" i="1" s="1"/>
  <c r="L1390" i="1"/>
  <c r="M1390" i="1" s="1"/>
  <c r="R1390" i="1" s="1"/>
  <c r="L1391" i="1"/>
  <c r="M1391" i="1" s="1"/>
  <c r="R1391" i="1" s="1"/>
  <c r="L1392" i="1"/>
  <c r="M1392" i="1" s="1"/>
  <c r="R1392" i="1" s="1"/>
  <c r="L1393" i="1"/>
  <c r="M1393" i="1" s="1"/>
  <c r="R1393" i="1" s="1"/>
  <c r="L1394" i="1"/>
  <c r="M1394" i="1" s="1"/>
  <c r="R1394" i="1" s="1"/>
  <c r="L1395" i="1"/>
  <c r="M1395" i="1" s="1"/>
  <c r="R1395" i="1" s="1"/>
  <c r="L1396" i="1"/>
  <c r="M1396" i="1" s="1"/>
  <c r="R1396" i="1" s="1"/>
  <c r="L1397" i="1"/>
  <c r="M1397" i="1" s="1"/>
  <c r="R1397" i="1" s="1"/>
  <c r="L1398" i="1"/>
  <c r="M1398" i="1" s="1"/>
  <c r="R1398" i="1" s="1"/>
  <c r="L1399" i="1"/>
  <c r="M1399" i="1" s="1"/>
  <c r="R1399" i="1" s="1"/>
  <c r="L1400" i="1"/>
  <c r="M1400" i="1" s="1"/>
  <c r="R1400" i="1" s="1"/>
  <c r="L1401" i="1"/>
  <c r="M1401" i="1" s="1"/>
  <c r="R1401" i="1" s="1"/>
  <c r="L1402" i="1"/>
  <c r="M1402" i="1" s="1"/>
  <c r="R1402" i="1" s="1"/>
  <c r="L1403" i="1"/>
  <c r="M1403" i="1" s="1"/>
  <c r="R1403" i="1" s="1"/>
  <c r="L1404" i="1"/>
  <c r="M1404" i="1" s="1"/>
  <c r="R1404" i="1" s="1"/>
  <c r="L1405" i="1"/>
  <c r="M1405" i="1" s="1"/>
  <c r="R1405" i="1" s="1"/>
  <c r="L1406" i="1"/>
  <c r="M1406" i="1" s="1"/>
  <c r="R1406" i="1" s="1"/>
  <c r="L1407" i="1"/>
  <c r="M1407" i="1" s="1"/>
  <c r="R1407" i="1" s="1"/>
  <c r="L1408" i="1"/>
  <c r="M1408" i="1" s="1"/>
  <c r="R1408" i="1" s="1"/>
  <c r="L1409" i="1"/>
  <c r="M1409" i="1" s="1"/>
  <c r="R1409" i="1" s="1"/>
  <c r="L1410" i="1"/>
  <c r="M1410" i="1" s="1"/>
  <c r="R1410" i="1" s="1"/>
  <c r="L1411" i="1"/>
  <c r="M1411" i="1" s="1"/>
  <c r="R1411" i="1" s="1"/>
  <c r="L1412" i="1"/>
  <c r="M1412" i="1" s="1"/>
  <c r="R1412" i="1" s="1"/>
  <c r="L1413" i="1"/>
  <c r="M1413" i="1" s="1"/>
  <c r="R1413" i="1" s="1"/>
  <c r="L1414" i="1"/>
  <c r="M1414" i="1" s="1"/>
  <c r="R1414" i="1" s="1"/>
  <c r="L1415" i="1"/>
  <c r="M1415" i="1" s="1"/>
  <c r="R1415" i="1" s="1"/>
  <c r="L1416" i="1"/>
  <c r="M1416" i="1" s="1"/>
  <c r="R1416" i="1" s="1"/>
  <c r="L1417" i="1"/>
  <c r="M1417" i="1" s="1"/>
  <c r="R1417" i="1" s="1"/>
  <c r="L1418" i="1"/>
  <c r="M1418" i="1" s="1"/>
  <c r="R1418" i="1" s="1"/>
  <c r="L1419" i="1"/>
  <c r="M1419" i="1" s="1"/>
  <c r="R1419" i="1" s="1"/>
  <c r="L1420" i="1"/>
  <c r="M1420" i="1" s="1"/>
  <c r="R1420" i="1" s="1"/>
  <c r="L1421" i="1"/>
  <c r="M1421" i="1" s="1"/>
  <c r="R1421" i="1" s="1"/>
  <c r="L1422" i="1"/>
  <c r="M1422" i="1" s="1"/>
  <c r="R1422" i="1" s="1"/>
  <c r="L1423" i="1"/>
  <c r="M1423" i="1" s="1"/>
  <c r="R1423" i="1" s="1"/>
  <c r="L1424" i="1"/>
  <c r="M1424" i="1" s="1"/>
  <c r="R1424" i="1" s="1"/>
  <c r="L1425" i="1"/>
  <c r="M1425" i="1" s="1"/>
  <c r="R1425" i="1" s="1"/>
  <c r="L1426" i="1"/>
  <c r="M1426" i="1" s="1"/>
  <c r="R1426" i="1" s="1"/>
  <c r="L1427" i="1"/>
  <c r="M1427" i="1" s="1"/>
  <c r="R1427" i="1" s="1"/>
  <c r="L1428" i="1"/>
  <c r="M1428" i="1" s="1"/>
  <c r="R1428" i="1" s="1"/>
  <c r="L1429" i="1"/>
  <c r="M1429" i="1" s="1"/>
  <c r="R1429" i="1" s="1"/>
  <c r="L1430" i="1"/>
  <c r="M1430" i="1" s="1"/>
  <c r="R1430" i="1" s="1"/>
  <c r="L1431" i="1"/>
  <c r="M1431" i="1" s="1"/>
  <c r="R1431" i="1" s="1"/>
  <c r="L1432" i="1"/>
  <c r="M1432" i="1" s="1"/>
  <c r="R1432" i="1" s="1"/>
  <c r="L1433" i="1"/>
  <c r="M1433" i="1" s="1"/>
  <c r="R1433" i="1" s="1"/>
  <c r="L1434" i="1"/>
  <c r="M1434" i="1" s="1"/>
  <c r="R1434" i="1" s="1"/>
  <c r="L1435" i="1"/>
  <c r="M1435" i="1" s="1"/>
  <c r="R1435" i="1" s="1"/>
  <c r="L1436" i="1"/>
  <c r="M1436" i="1" s="1"/>
  <c r="R1436" i="1" s="1"/>
  <c r="L1437" i="1"/>
  <c r="M1437" i="1" s="1"/>
  <c r="R1437" i="1" s="1"/>
  <c r="L1438" i="1"/>
  <c r="M1438" i="1" s="1"/>
  <c r="R1438" i="1" s="1"/>
  <c r="L1439" i="1"/>
  <c r="M1439" i="1" s="1"/>
  <c r="R1439" i="1" s="1"/>
  <c r="L1440" i="1"/>
  <c r="M1440" i="1" s="1"/>
  <c r="R1440" i="1" s="1"/>
  <c r="L1441" i="1"/>
  <c r="M1441" i="1" s="1"/>
  <c r="R1441" i="1" s="1"/>
  <c r="L1442" i="1"/>
  <c r="M1442" i="1" s="1"/>
  <c r="R1442" i="1" s="1"/>
  <c r="L1443" i="1"/>
  <c r="M1443" i="1" s="1"/>
  <c r="R1443" i="1" s="1"/>
  <c r="L1444" i="1"/>
  <c r="M1444" i="1" s="1"/>
  <c r="R1444" i="1" s="1"/>
  <c r="L1445" i="1"/>
  <c r="M1445" i="1" s="1"/>
  <c r="R1445" i="1" s="1"/>
  <c r="L1446" i="1"/>
  <c r="M1446" i="1" s="1"/>
  <c r="R1446" i="1" s="1"/>
  <c r="L1447" i="1"/>
  <c r="M1447" i="1" s="1"/>
  <c r="R1447" i="1" s="1"/>
  <c r="L1448" i="1"/>
  <c r="M1448" i="1" s="1"/>
  <c r="R1448" i="1" s="1"/>
  <c r="L1449" i="1"/>
  <c r="M1449" i="1" s="1"/>
  <c r="R1449" i="1" s="1"/>
  <c r="L1450" i="1"/>
  <c r="M1450" i="1" s="1"/>
  <c r="R1450" i="1" s="1"/>
  <c r="L1451" i="1"/>
  <c r="M1451" i="1" s="1"/>
  <c r="R1451" i="1" s="1"/>
  <c r="L1452" i="1"/>
  <c r="M1452" i="1" s="1"/>
  <c r="R1452" i="1" s="1"/>
  <c r="L1453" i="1"/>
  <c r="M1453" i="1" s="1"/>
  <c r="R1453" i="1" s="1"/>
  <c r="L1454" i="1"/>
  <c r="M1454" i="1" s="1"/>
  <c r="R1454" i="1" s="1"/>
  <c r="L1455" i="1"/>
  <c r="M1455" i="1" s="1"/>
  <c r="R1455" i="1" s="1"/>
  <c r="L1456" i="1"/>
  <c r="M1456" i="1" s="1"/>
  <c r="R1456" i="1" s="1"/>
  <c r="L1457" i="1"/>
  <c r="M1457" i="1" s="1"/>
  <c r="R1457" i="1" s="1"/>
  <c r="L1458" i="1"/>
  <c r="M1458" i="1" s="1"/>
  <c r="R1458" i="1" s="1"/>
  <c r="L1459" i="1"/>
  <c r="M1459" i="1" s="1"/>
  <c r="R1459" i="1" s="1"/>
  <c r="L1460" i="1"/>
  <c r="M1460" i="1" s="1"/>
  <c r="R1460" i="1" s="1"/>
  <c r="L1461" i="1"/>
  <c r="M1461" i="1" s="1"/>
  <c r="R1461" i="1" s="1"/>
  <c r="L1462" i="1"/>
  <c r="M1462" i="1" s="1"/>
  <c r="R1462" i="1" s="1"/>
  <c r="L1463" i="1"/>
  <c r="M1463" i="1" s="1"/>
  <c r="R1463" i="1" s="1"/>
  <c r="L1464" i="1"/>
  <c r="M1464" i="1" s="1"/>
  <c r="R1464" i="1" s="1"/>
  <c r="L1465" i="1"/>
  <c r="M1465" i="1" s="1"/>
  <c r="R1465" i="1" s="1"/>
  <c r="L1466" i="1"/>
  <c r="M1466" i="1" s="1"/>
  <c r="R1466" i="1" s="1"/>
  <c r="L1467" i="1"/>
  <c r="M1467" i="1" s="1"/>
  <c r="R1467" i="1" s="1"/>
  <c r="L1468" i="1"/>
  <c r="M1468" i="1" s="1"/>
  <c r="R1468" i="1" s="1"/>
  <c r="L1469" i="1"/>
  <c r="M1469" i="1" s="1"/>
  <c r="R1469" i="1" s="1"/>
  <c r="L1470" i="1"/>
  <c r="M1470" i="1" s="1"/>
  <c r="R1470" i="1" s="1"/>
  <c r="L1471" i="1"/>
  <c r="M1471" i="1" s="1"/>
  <c r="R1471" i="1" s="1"/>
  <c r="L1472" i="1"/>
  <c r="M1472" i="1" s="1"/>
  <c r="R1472" i="1" s="1"/>
  <c r="L1473" i="1"/>
  <c r="M1473" i="1" s="1"/>
  <c r="R1473" i="1" s="1"/>
  <c r="L1474" i="1"/>
  <c r="M1474" i="1" s="1"/>
  <c r="R1474" i="1" s="1"/>
  <c r="L1475" i="1"/>
  <c r="M1475" i="1" s="1"/>
  <c r="R1475" i="1" s="1"/>
  <c r="L1476" i="1"/>
  <c r="M1476" i="1" s="1"/>
  <c r="R1476" i="1" s="1"/>
  <c r="L1477" i="1"/>
  <c r="M1477" i="1" s="1"/>
  <c r="R1477" i="1" s="1"/>
  <c r="L1478" i="1"/>
  <c r="M1478" i="1" s="1"/>
  <c r="R1478" i="1" s="1"/>
  <c r="L1479" i="1"/>
  <c r="M1479" i="1" s="1"/>
  <c r="R1479" i="1" s="1"/>
  <c r="L1480" i="1"/>
  <c r="M1480" i="1" s="1"/>
  <c r="R1480" i="1" s="1"/>
  <c r="L1481" i="1"/>
  <c r="M1481" i="1" s="1"/>
  <c r="R1481" i="1" s="1"/>
  <c r="L1482" i="1"/>
  <c r="M1482" i="1" s="1"/>
  <c r="R1482" i="1" s="1"/>
  <c r="L1483" i="1"/>
  <c r="M1483" i="1" s="1"/>
  <c r="R1483" i="1" s="1"/>
  <c r="L1484" i="1"/>
  <c r="M1484" i="1" s="1"/>
  <c r="R1484" i="1" s="1"/>
  <c r="L1485" i="1"/>
  <c r="M1485" i="1" s="1"/>
  <c r="R1485" i="1" s="1"/>
  <c r="L1486" i="1"/>
  <c r="M1486" i="1" s="1"/>
  <c r="R1486" i="1" s="1"/>
  <c r="L1487" i="1"/>
  <c r="M1487" i="1" s="1"/>
  <c r="R1487" i="1" s="1"/>
  <c r="L1488" i="1"/>
  <c r="M1488" i="1" s="1"/>
  <c r="R1488" i="1" s="1"/>
  <c r="L1489" i="1"/>
  <c r="M1489" i="1" s="1"/>
  <c r="R1489" i="1" s="1"/>
  <c r="L1490" i="1"/>
  <c r="M1490" i="1" s="1"/>
  <c r="R1490" i="1" s="1"/>
  <c r="L1491" i="1"/>
  <c r="M1491" i="1" s="1"/>
  <c r="R1491" i="1" s="1"/>
  <c r="L1492" i="1"/>
  <c r="M1492" i="1" s="1"/>
  <c r="R1492" i="1" s="1"/>
  <c r="L1493" i="1"/>
  <c r="M1493" i="1" s="1"/>
  <c r="R1493" i="1" s="1"/>
  <c r="L1494" i="1"/>
  <c r="M1494" i="1" s="1"/>
  <c r="R1494" i="1" s="1"/>
  <c r="L1495" i="1"/>
  <c r="M1495" i="1" s="1"/>
  <c r="R1495" i="1" s="1"/>
  <c r="L1496" i="1"/>
  <c r="M1496" i="1" s="1"/>
  <c r="R1496" i="1" s="1"/>
  <c r="L1497" i="1"/>
  <c r="M1497" i="1" s="1"/>
  <c r="R1497" i="1" s="1"/>
  <c r="L1498" i="1"/>
  <c r="M1498" i="1" s="1"/>
  <c r="R1498" i="1" s="1"/>
  <c r="L1499" i="1"/>
  <c r="M1499" i="1" s="1"/>
  <c r="R1499" i="1" s="1"/>
  <c r="L1500" i="1"/>
  <c r="M1500" i="1" s="1"/>
  <c r="R1500" i="1" s="1"/>
  <c r="L1501" i="1"/>
  <c r="M1501" i="1" s="1"/>
  <c r="R1501" i="1" s="1"/>
  <c r="O884" i="1" l="1"/>
  <c r="R884" i="1"/>
  <c r="O885" i="1"/>
  <c r="R885" i="1"/>
  <c r="O886" i="1"/>
  <c r="R886" i="1"/>
  <c r="O887" i="1"/>
  <c r="R887" i="1"/>
  <c r="O888" i="1"/>
  <c r="R888" i="1"/>
  <c r="O889" i="1"/>
  <c r="R889" i="1"/>
  <c r="O890" i="1"/>
  <c r="R890" i="1"/>
  <c r="O891" i="1"/>
  <c r="R891" i="1"/>
  <c r="O892" i="1"/>
  <c r="R892" i="1"/>
  <c r="O893" i="1"/>
  <c r="R893" i="1"/>
  <c r="O894" i="1"/>
  <c r="R894" i="1"/>
  <c r="O895" i="1"/>
  <c r="R895" i="1"/>
  <c r="O896" i="1"/>
  <c r="R896" i="1"/>
  <c r="O897" i="1"/>
  <c r="R897" i="1"/>
  <c r="O898" i="1"/>
  <c r="R898" i="1"/>
  <c r="O899" i="1"/>
  <c r="R899" i="1"/>
  <c r="O900" i="1"/>
  <c r="R900" i="1"/>
  <c r="O901" i="1"/>
  <c r="R901" i="1"/>
  <c r="O902" i="1"/>
  <c r="R902" i="1"/>
  <c r="O903" i="1"/>
  <c r="R903" i="1"/>
  <c r="O904" i="1"/>
  <c r="R904" i="1"/>
  <c r="O905" i="1"/>
  <c r="R905" i="1"/>
  <c r="O906" i="1"/>
  <c r="R906" i="1"/>
  <c r="O907" i="1"/>
  <c r="R907" i="1"/>
  <c r="O908" i="1"/>
  <c r="R908" i="1"/>
  <c r="O909" i="1"/>
  <c r="R909" i="1"/>
  <c r="O910" i="1"/>
  <c r="R910" i="1"/>
  <c r="O911" i="1"/>
  <c r="R911" i="1"/>
  <c r="O912" i="1"/>
  <c r="R912" i="1"/>
  <c r="O913" i="1"/>
  <c r="R913" i="1"/>
  <c r="O914" i="1"/>
  <c r="R914" i="1"/>
  <c r="O915" i="1"/>
  <c r="R915" i="1"/>
  <c r="O916" i="1"/>
  <c r="R916" i="1"/>
  <c r="O917" i="1"/>
  <c r="R917" i="1"/>
  <c r="O918" i="1"/>
  <c r="R918" i="1"/>
  <c r="O919" i="1"/>
  <c r="R919" i="1"/>
  <c r="O920" i="1"/>
  <c r="R920" i="1"/>
  <c r="O921" i="1"/>
  <c r="R921" i="1"/>
  <c r="O922" i="1"/>
  <c r="R922" i="1"/>
  <c r="O923" i="1"/>
  <c r="R923" i="1"/>
  <c r="O924" i="1"/>
  <c r="R924" i="1"/>
  <c r="O925" i="1"/>
  <c r="R925" i="1"/>
  <c r="O926" i="1"/>
  <c r="R926" i="1"/>
  <c r="O927" i="1"/>
  <c r="R927" i="1"/>
  <c r="O928" i="1"/>
  <c r="R928" i="1"/>
  <c r="O929" i="1"/>
  <c r="R929" i="1"/>
  <c r="O930" i="1"/>
  <c r="R930" i="1"/>
  <c r="O931" i="1"/>
  <c r="R931" i="1"/>
  <c r="O932" i="1"/>
  <c r="R932" i="1"/>
  <c r="O933" i="1"/>
  <c r="R933" i="1"/>
  <c r="O934" i="1"/>
  <c r="R934" i="1"/>
  <c r="O935" i="1"/>
  <c r="R935" i="1"/>
  <c r="O936" i="1"/>
  <c r="R936" i="1"/>
  <c r="O937" i="1"/>
  <c r="R937" i="1"/>
  <c r="O938" i="1"/>
  <c r="R938" i="1"/>
  <c r="O939" i="1"/>
  <c r="R939" i="1"/>
  <c r="O940" i="1"/>
  <c r="R940" i="1"/>
  <c r="O941" i="1"/>
  <c r="R941" i="1"/>
  <c r="O942" i="1"/>
  <c r="R942" i="1"/>
  <c r="O943" i="1"/>
  <c r="R943" i="1"/>
  <c r="O944" i="1"/>
  <c r="R944" i="1"/>
  <c r="O945" i="1"/>
  <c r="R945" i="1"/>
  <c r="O946" i="1"/>
  <c r="R946" i="1"/>
  <c r="O948" i="1"/>
  <c r="R948" i="1"/>
  <c r="O949" i="1"/>
  <c r="R949" i="1"/>
  <c r="O951" i="1"/>
  <c r="R951" i="1"/>
  <c r="O953" i="1"/>
  <c r="R953" i="1"/>
  <c r="O954" i="1"/>
  <c r="R954" i="1"/>
  <c r="O955" i="1"/>
  <c r="R955" i="1"/>
  <c r="O956" i="1"/>
  <c r="R956" i="1"/>
  <c r="O958" i="1"/>
  <c r="R958" i="1"/>
  <c r="O960" i="1"/>
  <c r="R960" i="1"/>
  <c r="O961" i="1"/>
  <c r="R961" i="1"/>
  <c r="O963" i="1"/>
  <c r="R963" i="1"/>
  <c r="O964" i="1"/>
  <c r="R964" i="1"/>
  <c r="O965" i="1"/>
  <c r="R965" i="1"/>
  <c r="O966" i="1"/>
  <c r="R966" i="1"/>
  <c r="O967" i="1"/>
  <c r="R967" i="1"/>
  <c r="O848" i="1"/>
  <c r="O849" i="1"/>
  <c r="O850" i="1"/>
  <c r="O851" i="1"/>
  <c r="O852" i="1"/>
  <c r="O853" i="1"/>
  <c r="O865" i="1"/>
  <c r="O869" i="1"/>
  <c r="O870" i="1"/>
  <c r="O873" i="1"/>
  <c r="O874" i="1"/>
  <c r="O875" i="1"/>
  <c r="O876" i="1"/>
  <c r="O877" i="1"/>
  <c r="O878" i="1"/>
  <c r="O879" i="1"/>
  <c r="O880" i="1"/>
  <c r="O881" i="1"/>
  <c r="O882" i="1"/>
  <c r="O883" i="1"/>
  <c r="O642" i="1"/>
  <c r="O644" i="1"/>
  <c r="O645" i="1"/>
  <c r="O646" i="1"/>
  <c r="O647" i="1"/>
  <c r="O648" i="1"/>
  <c r="O649" i="1"/>
  <c r="O650" i="1"/>
  <c r="O651" i="1"/>
  <c r="O652" i="1"/>
  <c r="O653" i="1"/>
  <c r="O655" i="1"/>
  <c r="O656" i="1"/>
  <c r="O657" i="1"/>
  <c r="O659" i="1"/>
  <c r="O660" i="1"/>
  <c r="O661" i="1"/>
  <c r="O662" i="1"/>
  <c r="O663" i="1"/>
  <c r="O664" i="1"/>
  <c r="O666" i="1"/>
  <c r="O667" i="1"/>
  <c r="O669" i="1"/>
  <c r="O670" i="1"/>
  <c r="O671" i="1"/>
  <c r="O673" i="1"/>
  <c r="O674" i="1"/>
  <c r="O675" i="1"/>
  <c r="O676" i="1"/>
  <c r="O677" i="1"/>
  <c r="O678" i="1"/>
  <c r="O679" i="1"/>
  <c r="O680" i="1"/>
  <c r="O682" i="1"/>
  <c r="O683" i="1"/>
  <c r="O685" i="1"/>
  <c r="O686" i="1"/>
  <c r="O689" i="1"/>
  <c r="O690" i="1"/>
  <c r="O691" i="1"/>
  <c r="O692" i="1"/>
  <c r="O693" i="1"/>
  <c r="O694" i="1"/>
  <c r="O695" i="1"/>
  <c r="O697" i="1"/>
  <c r="O698" i="1"/>
  <c r="O699" i="1"/>
  <c r="O700" i="1"/>
  <c r="O701" i="1"/>
  <c r="O702" i="1"/>
  <c r="O703" i="1"/>
  <c r="O704" i="1"/>
  <c r="O705" i="1"/>
  <c r="O707" i="1"/>
  <c r="O708" i="1"/>
  <c r="O710" i="1"/>
  <c r="O711" i="1"/>
  <c r="O713" i="1"/>
  <c r="O714" i="1"/>
  <c r="O715" i="1"/>
  <c r="O716" i="1"/>
  <c r="O717" i="1"/>
  <c r="O719" i="1"/>
  <c r="O720" i="1"/>
  <c r="O721" i="1"/>
  <c r="O722" i="1"/>
  <c r="O723" i="1"/>
  <c r="O726" i="1"/>
  <c r="O727" i="1"/>
  <c r="O729" i="1"/>
  <c r="O731" i="1"/>
  <c r="O732" i="1"/>
  <c r="O733" i="1"/>
  <c r="O735" i="1"/>
  <c r="O736" i="1"/>
  <c r="O741" i="1"/>
  <c r="O742" i="1"/>
  <c r="O743" i="1"/>
  <c r="O744" i="1"/>
  <c r="O745" i="1"/>
  <c r="O746" i="1"/>
  <c r="O747"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9" i="1"/>
  <c r="O360" i="1"/>
  <c r="O361" i="1"/>
  <c r="O362" i="1"/>
  <c r="O363" i="1"/>
  <c r="O367" i="1"/>
  <c r="O368" i="1"/>
  <c r="O369" i="1"/>
  <c r="O372" i="1"/>
  <c r="O374" i="1"/>
  <c r="O375" i="1"/>
  <c r="O376" i="1"/>
  <c r="O377" i="1"/>
  <c r="O379" i="1"/>
  <c r="O381" i="1"/>
  <c r="O384" i="1"/>
  <c r="O385" i="1"/>
  <c r="O386" i="1"/>
  <c r="O387" i="1"/>
  <c r="O388" i="1"/>
  <c r="O389" i="1"/>
  <c r="O390" i="1"/>
  <c r="O391" i="1"/>
  <c r="O394" i="1"/>
  <c r="O395" i="1"/>
  <c r="O397" i="1"/>
  <c r="O399" i="1"/>
  <c r="O400" i="1"/>
  <c r="O401" i="1"/>
  <c r="O404" i="1"/>
  <c r="O405" i="1"/>
  <c r="O406" i="1"/>
  <c r="O408" i="1"/>
  <c r="O409" i="1"/>
  <c r="O410" i="1"/>
  <c r="O411" i="1"/>
  <c r="O412" i="1"/>
  <c r="O415" i="1"/>
  <c r="O416" i="1"/>
  <c r="O417" i="1"/>
  <c r="O419" i="1"/>
  <c r="O420" i="1"/>
  <c r="O421" i="1"/>
  <c r="O422" i="1"/>
  <c r="O423" i="1"/>
  <c r="O425" i="1"/>
  <c r="O426" i="1"/>
  <c r="O427" i="1"/>
  <c r="O429" i="1"/>
  <c r="O430" i="1"/>
  <c r="O431" i="1"/>
  <c r="O432" i="1"/>
  <c r="O433" i="1"/>
  <c r="O434" i="1"/>
  <c r="O435" i="1"/>
  <c r="O436" i="1"/>
  <c r="O437" i="1"/>
  <c r="O441" i="1"/>
  <c r="O442" i="1"/>
  <c r="O444" i="1"/>
  <c r="O445" i="1"/>
  <c r="O446" i="1"/>
  <c r="O447" i="1"/>
  <c r="O448" i="1"/>
  <c r="O450" i="1"/>
  <c r="O453" i="1"/>
  <c r="O454" i="1"/>
  <c r="O456" i="1"/>
  <c r="O457" i="1"/>
  <c r="O458" i="1"/>
  <c r="O463" i="1"/>
  <c r="O465" i="1"/>
  <c r="O466" i="1"/>
  <c r="O468" i="1"/>
  <c r="O469" i="1"/>
  <c r="O473" i="1"/>
  <c r="O474" i="1"/>
  <c r="O476" i="1"/>
  <c r="O477" i="1"/>
  <c r="O478" i="1"/>
  <c r="O480" i="1"/>
  <c r="O482" i="1"/>
  <c r="O483" i="1"/>
  <c r="O484" i="1"/>
  <c r="O485" i="1"/>
  <c r="O486" i="1"/>
  <c r="O487" i="1"/>
  <c r="O488" i="1"/>
  <c r="O490" i="1"/>
  <c r="O492" i="1"/>
  <c r="O493" i="1"/>
  <c r="O496" i="1"/>
  <c r="O497" i="1"/>
  <c r="O498" i="1"/>
  <c r="O500" i="1"/>
  <c r="O501" i="1"/>
  <c r="O502" i="1"/>
  <c r="O503" i="1"/>
  <c r="O504" i="1"/>
  <c r="O505" i="1"/>
  <c r="O506" i="1"/>
  <c r="O507" i="1"/>
  <c r="O508" i="1"/>
  <c r="O509" i="1"/>
  <c r="O510" i="1"/>
  <c r="O511" i="1"/>
  <c r="O513" i="1"/>
  <c r="O514" i="1"/>
  <c r="O515" i="1"/>
  <c r="O516" i="1"/>
  <c r="O517" i="1"/>
  <c r="O519" i="1"/>
  <c r="O520" i="1"/>
  <c r="O523" i="1"/>
  <c r="O524" i="1"/>
  <c r="O525" i="1"/>
  <c r="O526" i="1"/>
  <c r="O527" i="1"/>
  <c r="O528" i="1"/>
  <c r="O530" i="1"/>
  <c r="O533" i="1"/>
  <c r="O534" i="1"/>
  <c r="O535" i="1"/>
  <c r="O537" i="1"/>
  <c r="O538" i="1"/>
  <c r="O540" i="1"/>
  <c r="O542" i="1"/>
  <c r="O544" i="1"/>
  <c r="O545" i="1"/>
  <c r="O547" i="1"/>
  <c r="O548" i="1"/>
  <c r="O549" i="1"/>
  <c r="O550" i="1"/>
  <c r="O555" i="1"/>
  <c r="O557" i="1"/>
  <c r="O558" i="1"/>
  <c r="O559" i="1"/>
  <c r="O560" i="1"/>
  <c r="O562" i="1"/>
  <c r="O563" i="1"/>
  <c r="O564" i="1"/>
  <c r="O565" i="1"/>
  <c r="O567" i="1"/>
  <c r="O568" i="1"/>
  <c r="O569" i="1"/>
  <c r="O571" i="1"/>
  <c r="O573" i="1"/>
  <c r="O574" i="1"/>
  <c r="O575" i="1"/>
  <c r="O577" i="1"/>
  <c r="O578" i="1"/>
  <c r="O579" i="1"/>
  <c r="O581" i="1"/>
  <c r="O582" i="1"/>
  <c r="O583" i="1"/>
  <c r="O584" i="1"/>
  <c r="O585" i="1"/>
  <c r="O586" i="1"/>
  <c r="O587" i="1"/>
  <c r="O589" i="1"/>
  <c r="O590" i="1"/>
  <c r="O591" i="1"/>
  <c r="O592" i="1"/>
  <c r="O595" i="1"/>
  <c r="O599" i="1"/>
  <c r="O600" i="1"/>
  <c r="O601" i="1"/>
  <c r="O602" i="1"/>
  <c r="O603" i="1"/>
  <c r="O605" i="1"/>
  <c r="O606" i="1"/>
  <c r="O607" i="1"/>
  <c r="O608" i="1"/>
  <c r="O609" i="1"/>
  <c r="O611" i="1"/>
  <c r="O612" i="1"/>
  <c r="O614" i="1"/>
  <c r="O615" i="1"/>
  <c r="O616" i="1"/>
  <c r="O617" i="1"/>
  <c r="O621" i="1"/>
  <c r="O622" i="1"/>
  <c r="O625" i="1"/>
  <c r="O627" i="1"/>
  <c r="O628" i="1"/>
  <c r="O630" i="1"/>
  <c r="O631" i="1"/>
  <c r="O632" i="1"/>
  <c r="O633" i="1"/>
  <c r="O634" i="1"/>
  <c r="O635" i="1"/>
  <c r="O636" i="1"/>
  <c r="O637" i="1"/>
  <c r="O638" i="1"/>
  <c r="O639" i="1"/>
  <c r="O640" i="1"/>
  <c r="O641"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968" i="1"/>
  <c r="O971" i="1"/>
  <c r="O974" i="1"/>
  <c r="O975" i="1"/>
  <c r="O976" i="1"/>
  <c r="O977" i="1"/>
  <c r="O979" i="1"/>
  <c r="O981" i="1"/>
  <c r="O982" i="1"/>
  <c r="O983" i="1"/>
  <c r="O984" i="1"/>
  <c r="O985" i="1"/>
  <c r="O986" i="1"/>
  <c r="O987" i="1"/>
  <c r="O991" i="1"/>
  <c r="O992" i="1"/>
  <c r="O994" i="1"/>
  <c r="O996" i="1"/>
  <c r="O997" i="1"/>
  <c r="O998" i="1"/>
  <c r="O999" i="1"/>
  <c r="O1000" i="1"/>
  <c r="O1002" i="1"/>
  <c r="O1003" i="1"/>
  <c r="O1005" i="1"/>
  <c r="O1006" i="1"/>
  <c r="O1007" i="1"/>
  <c r="O1009" i="1"/>
  <c r="O1010" i="1"/>
  <c r="O1011" i="1"/>
  <c r="O1013" i="1"/>
  <c r="O1015" i="1"/>
  <c r="O1019" i="1"/>
  <c r="O1020" i="1"/>
  <c r="O1022" i="1"/>
  <c r="O1023" i="1"/>
  <c r="O1024" i="1"/>
  <c r="O1025" i="1"/>
  <c r="O1026" i="1"/>
  <c r="X4" i="1"/>
  <c r="Y4" i="1" s="1"/>
  <c r="X6" i="1"/>
  <c r="Y6" i="1" s="1"/>
  <c r="X5" i="1"/>
  <c r="Y5" i="1" s="1"/>
  <c r="X3" i="1"/>
  <c r="Y3" i="1" s="1"/>
  <c r="O3" i="1"/>
  <c r="O4" i="1"/>
  <c r="O5" i="1"/>
  <c r="O6" i="1"/>
  <c r="O7" i="1"/>
  <c r="O8" i="1"/>
  <c r="O9" i="1"/>
  <c r="O10" i="1"/>
  <c r="O11" i="1"/>
  <c r="O12" i="1"/>
  <c r="O13" i="1"/>
  <c r="O14" i="1"/>
  <c r="O15" i="1"/>
  <c r="O16" i="1"/>
  <c r="O17" i="1"/>
  <c r="O18" i="1"/>
  <c r="O19" i="1"/>
  <c r="O1028" i="1"/>
  <c r="O1029" i="1"/>
  <c r="O1030" i="1"/>
  <c r="O1031" i="1"/>
  <c r="O1032" i="1"/>
  <c r="O1036" i="1"/>
  <c r="O1037" i="1"/>
  <c r="O1038" i="1"/>
  <c r="O1039" i="1"/>
  <c r="O1040" i="1"/>
  <c r="O1042" i="1"/>
  <c r="O1043" i="1"/>
  <c r="O1045" i="1"/>
  <c r="O1047" i="1"/>
  <c r="O1048" i="1"/>
  <c r="O1049" i="1"/>
  <c r="O1050" i="1"/>
  <c r="O1051" i="1"/>
  <c r="O1053" i="1"/>
  <c r="O1054" i="1"/>
  <c r="O1057" i="1"/>
  <c r="O1058" i="1"/>
  <c r="O1061" i="1"/>
  <c r="O1063" i="1"/>
  <c r="O1064" i="1"/>
  <c r="O1065" i="1"/>
  <c r="O1066" i="1"/>
  <c r="O1068" i="1"/>
  <c r="O1070" i="1"/>
  <c r="O1073" i="1"/>
  <c r="O1074" i="1"/>
  <c r="O1075" i="1"/>
  <c r="O1077" i="1"/>
  <c r="O1078" i="1"/>
  <c r="O1079" i="1"/>
  <c r="O1080" i="1"/>
  <c r="O1081" i="1"/>
  <c r="O1083" i="1"/>
  <c r="O1085" i="1"/>
  <c r="O1086" i="1"/>
  <c r="O1087" i="1"/>
  <c r="O1088" i="1"/>
  <c r="O1089" i="1"/>
  <c r="O1092" i="1"/>
  <c r="O1093" i="1"/>
  <c r="O1094" i="1"/>
  <c r="O1095" i="1"/>
  <c r="O1098" i="1"/>
  <c r="O1099" i="1"/>
  <c r="O1101" i="1"/>
  <c r="O1102" i="1"/>
  <c r="O1103" i="1"/>
  <c r="O1104" i="1"/>
  <c r="O1108" i="1"/>
  <c r="O1109" i="1"/>
  <c r="O1110" i="1"/>
  <c r="O1111" i="1"/>
  <c r="O1113" i="1"/>
  <c r="O1115" i="1"/>
  <c r="O1116" i="1"/>
  <c r="O1117" i="1"/>
  <c r="O1118" i="1"/>
  <c r="O1119" i="1"/>
  <c r="O1120" i="1"/>
  <c r="O1122" i="1"/>
  <c r="O1124" i="1"/>
  <c r="O1125" i="1"/>
  <c r="O1126" i="1"/>
  <c r="O1129" i="1"/>
  <c r="O1130" i="1"/>
  <c r="O1132" i="1"/>
  <c r="O1135" i="1"/>
  <c r="O1136" i="1"/>
  <c r="O1140" i="1"/>
  <c r="O1142" i="1"/>
  <c r="O1143" i="1"/>
  <c r="O1146" i="1"/>
  <c r="O1147" i="1"/>
  <c r="O1148" i="1"/>
  <c r="O1151" i="1"/>
  <c r="O1152" i="1"/>
  <c r="O1154" i="1"/>
  <c r="O1155" i="1"/>
  <c r="O1157" i="1"/>
  <c r="O1158" i="1"/>
  <c r="O1160" i="1"/>
  <c r="O1161" i="1"/>
  <c r="O1162" i="1"/>
  <c r="O1163" i="1"/>
  <c r="O1165" i="1"/>
  <c r="O1166" i="1"/>
  <c r="O1167" i="1"/>
  <c r="O1170" i="1"/>
  <c r="O1171" i="1"/>
  <c r="O1174" i="1"/>
  <c r="O1175" i="1"/>
  <c r="O1176" i="1"/>
  <c r="O1177" i="1"/>
  <c r="O1178" i="1"/>
  <c r="O1179" i="1"/>
  <c r="O1180" i="1"/>
  <c r="O1181" i="1"/>
  <c r="O1182" i="1"/>
  <c r="O1185" i="1"/>
  <c r="O1187" i="1"/>
  <c r="O1188" i="1"/>
  <c r="O1189" i="1"/>
  <c r="O1190" i="1"/>
  <c r="O1193" i="1"/>
  <c r="O1195" i="1"/>
  <c r="O1196" i="1"/>
  <c r="O1197" i="1"/>
  <c r="O1198" i="1"/>
  <c r="O1199" i="1"/>
  <c r="O1200" i="1"/>
  <c r="O1202" i="1"/>
  <c r="O1203" i="1"/>
  <c r="O1204" i="1"/>
  <c r="O1205" i="1"/>
  <c r="O1206" i="1"/>
  <c r="O1207" i="1"/>
  <c r="O1208" i="1"/>
  <c r="O1209" i="1"/>
  <c r="O1210" i="1"/>
  <c r="O1211" i="1"/>
  <c r="O1212" i="1"/>
  <c r="O1213" i="1"/>
  <c r="O1214" i="1"/>
  <c r="O1215" i="1"/>
  <c r="O1216" i="1"/>
  <c r="O1217" i="1"/>
  <c r="O1218" i="1"/>
  <c r="O1220" i="1"/>
  <c r="O1221" i="1"/>
  <c r="O1222" i="1"/>
  <c r="O1223" i="1"/>
  <c r="O1226" i="1"/>
  <c r="O1227" i="1"/>
  <c r="O1228" i="1"/>
  <c r="O1230" i="1"/>
  <c r="O1232" i="1"/>
  <c r="O1233" i="1"/>
  <c r="O1234" i="1"/>
  <c r="O1235" i="1"/>
  <c r="O1236" i="1"/>
  <c r="O1238" i="1"/>
  <c r="O1239" i="1"/>
  <c r="O1241" i="1"/>
  <c r="O1242" i="1"/>
  <c r="O1243" i="1"/>
  <c r="O1245" i="1"/>
  <c r="O1246" i="1"/>
  <c r="O1247" i="1"/>
  <c r="O1248" i="1"/>
  <c r="O1249" i="1"/>
  <c r="O1250" i="1"/>
  <c r="O1251" i="1"/>
  <c r="O1254" i="1"/>
  <c r="O1256" i="1"/>
  <c r="O1257" i="1"/>
  <c r="O1258" i="1"/>
  <c r="O1259" i="1"/>
  <c r="O1262" i="1"/>
  <c r="O1263" i="1"/>
  <c r="O1264" i="1"/>
  <c r="O1265" i="1"/>
  <c r="O1267" i="1"/>
  <c r="O1268" i="1"/>
  <c r="O1269" i="1"/>
  <c r="O1271" i="1"/>
  <c r="O1272" i="1"/>
  <c r="O1273" i="1"/>
  <c r="O1274" i="1"/>
  <c r="O1275" i="1"/>
  <c r="O1276" i="1"/>
  <c r="O1278" i="1"/>
  <c r="O1279" i="1"/>
  <c r="O1280" i="1"/>
  <c r="O1282" i="1"/>
  <c r="O1283" i="1"/>
  <c r="O1284" i="1"/>
  <c r="O1285" i="1"/>
  <c r="O1286" i="1"/>
  <c r="O1287" i="1"/>
  <c r="O1288" i="1"/>
  <c r="O1291" i="1"/>
  <c r="O1292" i="1"/>
  <c r="O1293" i="1"/>
  <c r="O1295" i="1"/>
  <c r="O1296" i="1"/>
  <c r="O1298" i="1"/>
  <c r="O1300" i="1"/>
  <c r="O1301" i="1"/>
  <c r="O1302" i="1"/>
  <c r="O1305" i="1"/>
  <c r="O1307" i="1"/>
  <c r="O1308" i="1"/>
  <c r="O1309" i="1"/>
  <c r="O1311" i="1"/>
  <c r="O1312" i="1"/>
  <c r="O1313" i="1"/>
  <c r="O1314" i="1"/>
  <c r="O1315" i="1"/>
  <c r="O1317" i="1"/>
  <c r="O1318" i="1"/>
  <c r="O1319" i="1"/>
  <c r="O1320" i="1"/>
  <c r="O1321" i="1"/>
  <c r="O1323" i="1"/>
  <c r="O1324" i="1"/>
  <c r="O1326" i="1"/>
  <c r="O1328" i="1"/>
  <c r="O1329" i="1"/>
  <c r="O1330" i="1"/>
  <c r="O1331" i="1"/>
  <c r="O1332" i="1"/>
  <c r="O1333" i="1"/>
  <c r="O1334" i="1"/>
  <c r="O1335" i="1"/>
  <c r="O1336" i="1"/>
  <c r="O1337" i="1"/>
  <c r="O1339" i="1"/>
  <c r="O1340" i="1"/>
  <c r="O1341" i="1"/>
  <c r="O1342" i="1"/>
  <c r="O1344" i="1"/>
  <c r="O1345" i="1"/>
  <c r="O1346" i="1"/>
  <c r="O1348" i="1"/>
  <c r="O1350" i="1"/>
  <c r="O1351" i="1"/>
  <c r="O1352" i="1"/>
  <c r="O1353" i="1"/>
  <c r="O1354" i="1"/>
  <c r="O1356" i="1"/>
  <c r="O1357" i="1"/>
  <c r="O1358" i="1"/>
  <c r="O1359" i="1"/>
  <c r="O1360" i="1"/>
  <c r="O1361" i="1"/>
  <c r="O1362" i="1"/>
  <c r="O1364" i="1"/>
  <c r="O1366" i="1"/>
  <c r="O1368" i="1"/>
  <c r="O1370" i="1"/>
  <c r="O1371" i="1"/>
  <c r="O1372" i="1"/>
  <c r="O1373" i="1"/>
  <c r="O1376" i="1"/>
  <c r="O1377" i="1"/>
  <c r="O1380" i="1"/>
  <c r="O1381" i="1"/>
  <c r="O1386" i="1"/>
  <c r="O1390" i="1"/>
  <c r="O1394" i="1"/>
  <c r="O1396" i="1"/>
  <c r="O1397" i="1"/>
  <c r="O1398" i="1"/>
  <c r="O1399" i="1"/>
  <c r="O1401" i="1"/>
  <c r="O1402" i="1"/>
  <c r="O1404" i="1"/>
  <c r="O1405" i="1"/>
  <c r="O1406" i="1"/>
  <c r="O1407" i="1"/>
  <c r="O1408" i="1"/>
  <c r="O1409" i="1"/>
  <c r="O1414" i="1"/>
  <c r="O1415" i="1"/>
  <c r="O1416" i="1"/>
  <c r="O1419" i="1"/>
  <c r="O1420" i="1"/>
  <c r="O1425" i="1"/>
  <c r="O1428" i="1"/>
  <c r="O1429" i="1"/>
  <c r="O1430" i="1"/>
  <c r="O1435" i="1"/>
  <c r="O1436" i="1"/>
  <c r="O1440" i="1"/>
  <c r="O1442" i="1"/>
  <c r="O1444" i="1"/>
  <c r="O1445" i="1"/>
  <c r="O1447" i="1"/>
  <c r="O1448" i="1"/>
  <c r="O1450" i="1"/>
  <c r="O1452" i="1"/>
  <c r="O1453" i="1"/>
  <c r="O1454" i="1"/>
  <c r="O1455" i="1"/>
  <c r="P715" i="1"/>
  <c r="P716" i="1"/>
  <c r="P717" i="1"/>
  <c r="P719" i="1"/>
  <c r="P720" i="1"/>
  <c r="P721" i="1"/>
  <c r="P723" i="1"/>
  <c r="P1015" i="1"/>
  <c r="P1019" i="1"/>
  <c r="P1020" i="1"/>
  <c r="P1022" i="1"/>
  <c r="P1023" i="1"/>
  <c r="P1024" i="1"/>
  <c r="P1025" i="1"/>
  <c r="P1026" i="1"/>
  <c r="P1028" i="1"/>
  <c r="P662" i="1"/>
  <c r="P663" i="1"/>
  <c r="P664" i="1"/>
  <c r="P666" i="1"/>
  <c r="P667" i="1"/>
  <c r="P669" i="1"/>
  <c r="P670" i="1"/>
  <c r="P671" i="1"/>
  <c r="P673" i="1"/>
  <c r="P674" i="1"/>
  <c r="P675" i="1"/>
  <c r="P676" i="1"/>
  <c r="P677" i="1"/>
  <c r="P678" i="1"/>
  <c r="P679" i="1"/>
  <c r="P680" i="1"/>
  <c r="P682" i="1"/>
  <c r="P683" i="1"/>
  <c r="P685" i="1"/>
  <c r="P686" i="1"/>
  <c r="P689" i="1"/>
  <c r="P690" i="1"/>
  <c r="P691" i="1"/>
  <c r="P692" i="1"/>
  <c r="P693" i="1"/>
  <c r="P694" i="1"/>
  <c r="P695" i="1"/>
  <c r="P697" i="1"/>
  <c r="P698" i="1"/>
  <c r="P699" i="1"/>
  <c r="P700" i="1"/>
  <c r="P701" i="1"/>
  <c r="P702" i="1"/>
  <c r="P703" i="1"/>
  <c r="P704" i="1"/>
  <c r="P705" i="1"/>
  <c r="P707" i="1"/>
  <c r="P708" i="1"/>
  <c r="P710" i="1"/>
  <c r="P711" i="1"/>
  <c r="P713" i="1"/>
  <c r="P714" i="1"/>
  <c r="P879" i="1"/>
  <c r="P880" i="1"/>
  <c r="P881" i="1"/>
  <c r="P953" i="1"/>
  <c r="P954" i="1"/>
  <c r="P955" i="1"/>
  <c r="P956" i="1"/>
  <c r="P958" i="1"/>
  <c r="P960" i="1"/>
  <c r="P961" i="1"/>
  <c r="P963" i="1"/>
  <c r="P964" i="1"/>
  <c r="P965" i="1"/>
  <c r="P966" i="1"/>
  <c r="P967" i="1"/>
  <c r="P968" i="1"/>
  <c r="P971" i="1"/>
  <c r="P974" i="1"/>
  <c r="P975" i="1"/>
  <c r="P976" i="1"/>
  <c r="P977" i="1"/>
  <c r="P979" i="1"/>
  <c r="P981" i="1"/>
  <c r="P982" i="1"/>
  <c r="P983" i="1"/>
  <c r="P984" i="1"/>
  <c r="P985" i="1"/>
  <c r="P986" i="1"/>
  <c r="P987" i="1"/>
  <c r="P991" i="1"/>
  <c r="P992" i="1"/>
  <c r="P994" i="1"/>
  <c r="P996" i="1"/>
  <c r="P997" i="1"/>
  <c r="P998" i="1"/>
  <c r="P999" i="1"/>
  <c r="P1000" i="1"/>
  <c r="P1002" i="1"/>
  <c r="P1003" i="1"/>
  <c r="P1005" i="1"/>
  <c r="P1006" i="1"/>
  <c r="P1007" i="1"/>
  <c r="P1009" i="1"/>
  <c r="P1010" i="1"/>
  <c r="P1011" i="1"/>
  <c r="P1013" i="1"/>
  <c r="P874" i="1"/>
  <c r="P875" i="1"/>
  <c r="P876" i="1"/>
  <c r="P877" i="1"/>
  <c r="P878" i="1"/>
  <c r="P504" i="1"/>
  <c r="P505" i="1"/>
  <c r="P506" i="1"/>
  <c r="P507" i="1"/>
  <c r="P508" i="1"/>
  <c r="P509" i="1"/>
  <c r="P510" i="1"/>
  <c r="P511" i="1"/>
  <c r="P513" i="1"/>
  <c r="P514" i="1"/>
  <c r="P515" i="1"/>
  <c r="P516" i="1"/>
  <c r="P229" i="1"/>
  <c r="P230" i="1"/>
  <c r="P231" i="1"/>
  <c r="P233" i="1"/>
  <c r="P234" i="1"/>
  <c r="P235" i="1"/>
  <c r="P236" i="1"/>
  <c r="P237" i="1"/>
  <c r="P238" i="1"/>
  <c r="P239" i="1"/>
  <c r="P240" i="1"/>
  <c r="P241" i="1"/>
  <c r="P242" i="1"/>
  <c r="P243" i="1"/>
  <c r="P244" i="1"/>
  <c r="P246" i="1"/>
  <c r="P247" i="1"/>
  <c r="P248" i="1"/>
  <c r="P249" i="1"/>
  <c r="P250" i="1"/>
  <c r="P253" i="1"/>
  <c r="P254" i="1"/>
  <c r="P256" i="1"/>
  <c r="P257" i="1"/>
  <c r="P258" i="1"/>
  <c r="P261" i="1"/>
  <c r="P262" i="1"/>
  <c r="P263" i="1"/>
  <c r="P264" i="1"/>
  <c r="P267" i="1"/>
  <c r="P268" i="1"/>
  <c r="P269" i="1"/>
  <c r="P270" i="1"/>
  <c r="P272" i="1"/>
  <c r="P273" i="1"/>
  <c r="P274" i="1"/>
  <c r="P275" i="1"/>
  <c r="P276" i="1"/>
  <c r="P277" i="1"/>
  <c r="P278" i="1"/>
  <c r="P283" i="1"/>
  <c r="P284" i="1"/>
  <c r="P286" i="1"/>
  <c r="P287" i="1"/>
  <c r="P288" i="1"/>
  <c r="P289" i="1"/>
  <c r="P291" i="1"/>
  <c r="P292" i="1"/>
  <c r="P293" i="1"/>
  <c r="P294" i="1"/>
  <c r="P295" i="1"/>
  <c r="P296" i="1"/>
  <c r="P297" i="1"/>
  <c r="P298" i="1"/>
  <c r="P301" i="1"/>
  <c r="P302" i="1"/>
  <c r="P304" i="1"/>
  <c r="P305" i="1"/>
  <c r="P306" i="1"/>
  <c r="P307" i="1"/>
  <c r="P308" i="1"/>
  <c r="P309" i="1"/>
  <c r="P310" i="1"/>
  <c r="P311" i="1"/>
  <c r="P312" i="1"/>
  <c r="P313" i="1"/>
  <c r="P314" i="1"/>
  <c r="P315" i="1"/>
  <c r="P316" i="1"/>
  <c r="P317" i="1"/>
  <c r="P318" i="1"/>
  <c r="P319" i="1"/>
  <c r="P320" i="1"/>
  <c r="P321" i="1"/>
  <c r="P322" i="1"/>
  <c r="P324" i="1"/>
  <c r="P326" i="1"/>
  <c r="P328" i="1"/>
  <c r="P329" i="1"/>
  <c r="P330" i="1"/>
  <c r="P331" i="1"/>
  <c r="P333" i="1"/>
  <c r="P334" i="1"/>
  <c r="P335" i="1"/>
  <c r="P336" i="1"/>
  <c r="P519" i="1"/>
  <c r="P520" i="1"/>
  <c r="P524" i="1"/>
  <c r="P526" i="1"/>
  <c r="P528" i="1"/>
  <c r="P533" i="1"/>
  <c r="P535" i="1"/>
  <c r="P538" i="1"/>
  <c r="P542" i="1"/>
  <c r="P545" i="1"/>
  <c r="P548" i="1"/>
  <c r="P550" i="1"/>
  <c r="P517" i="1"/>
  <c r="P523" i="1"/>
  <c r="P525" i="1"/>
  <c r="P527" i="1"/>
  <c r="P530" i="1"/>
  <c r="P534" i="1"/>
  <c r="P537" i="1"/>
  <c r="P540" i="1"/>
  <c r="P544" i="1"/>
  <c r="P547" i="1"/>
  <c r="P549" i="1"/>
  <c r="P722" i="1"/>
  <c r="P848" i="1"/>
  <c r="P849" i="1"/>
  <c r="P850" i="1"/>
  <c r="P851" i="1"/>
  <c r="P852" i="1"/>
  <c r="P555" i="1"/>
  <c r="P647" i="1"/>
  <c r="P648" i="1"/>
  <c r="P649" i="1"/>
  <c r="P650" i="1"/>
  <c r="P651" i="1"/>
  <c r="P652" i="1"/>
  <c r="P653" i="1"/>
  <c r="P655" i="1"/>
  <c r="P656" i="1"/>
  <c r="P657" i="1"/>
  <c r="P659" i="1"/>
  <c r="P660" i="1"/>
  <c r="P661" i="1"/>
  <c r="P726" i="1"/>
  <c r="P727" i="1"/>
  <c r="P729" i="1"/>
  <c r="P731" i="1"/>
  <c r="P732" i="1"/>
  <c r="P733" i="1"/>
  <c r="P735" i="1"/>
  <c r="P736" i="1"/>
  <c r="P741" i="1"/>
  <c r="P742" i="1"/>
  <c r="P743" i="1"/>
  <c r="P744" i="1"/>
  <c r="P745" i="1"/>
  <c r="P746" i="1"/>
  <c r="P747" i="1"/>
  <c r="P749" i="1"/>
  <c r="P750" i="1"/>
  <c r="P751" i="1"/>
  <c r="P752" i="1"/>
  <c r="P753" i="1"/>
  <c r="P756" i="1"/>
  <c r="P758" i="1"/>
  <c r="P760" i="1"/>
  <c r="P762" i="1"/>
  <c r="P763" i="1"/>
  <c r="P764" i="1"/>
  <c r="P765" i="1"/>
  <c r="P766" i="1"/>
  <c r="P767" i="1"/>
  <c r="P768" i="1"/>
  <c r="P769" i="1"/>
  <c r="P772" i="1"/>
  <c r="P773" i="1"/>
  <c r="P774" i="1"/>
  <c r="P775" i="1"/>
  <c r="P776" i="1"/>
  <c r="P777" i="1"/>
  <c r="P778" i="1"/>
  <c r="P780" i="1"/>
  <c r="P782" i="1"/>
  <c r="P784" i="1"/>
  <c r="P785" i="1"/>
  <c r="P787" i="1"/>
  <c r="P788" i="1"/>
  <c r="P789" i="1"/>
  <c r="P790" i="1"/>
  <c r="P791" i="1"/>
  <c r="P792" i="1"/>
  <c r="P793" i="1"/>
  <c r="P796" i="1"/>
  <c r="P798" i="1"/>
  <c r="P799" i="1"/>
  <c r="P800" i="1"/>
  <c r="P801" i="1"/>
  <c r="P804" i="1"/>
  <c r="P805" i="1"/>
  <c r="P807" i="1"/>
  <c r="P809" i="1"/>
  <c r="P811" i="1"/>
  <c r="P812" i="1"/>
  <c r="P813" i="1"/>
  <c r="P815" i="1"/>
  <c r="P817" i="1"/>
  <c r="P818" i="1"/>
  <c r="P1029" i="1"/>
  <c r="P1030" i="1"/>
  <c r="P1031" i="1"/>
  <c r="P1032" i="1"/>
  <c r="P1036" i="1"/>
  <c r="P1037" i="1"/>
  <c r="P1038" i="1"/>
  <c r="P1039" i="1"/>
  <c r="P1040" i="1"/>
  <c r="P1042" i="1"/>
  <c r="P1043" i="1"/>
  <c r="P1045" i="1"/>
  <c r="P1047" i="1"/>
  <c r="P1048" i="1"/>
  <c r="P1049" i="1"/>
  <c r="P1050" i="1"/>
  <c r="P1051" i="1"/>
  <c r="P1053" i="1"/>
  <c r="P1054" i="1"/>
  <c r="P1057" i="1"/>
  <c r="P1058" i="1"/>
  <c r="P1061" i="1"/>
  <c r="P1063" i="1"/>
  <c r="P1064" i="1"/>
  <c r="P1065" i="1"/>
  <c r="P1066" i="1"/>
  <c r="P1068" i="1"/>
  <c r="P1070" i="1"/>
  <c r="P1073" i="1"/>
  <c r="P1074" i="1"/>
  <c r="P1075" i="1"/>
  <c r="P1077" i="1"/>
  <c r="P1078" i="1"/>
  <c r="P1079" i="1"/>
  <c r="P1080" i="1"/>
  <c r="P1081" i="1"/>
  <c r="P1083" i="1"/>
  <c r="P1085" i="1"/>
  <c r="P1086" i="1"/>
  <c r="P1087" i="1"/>
  <c r="P1088" i="1"/>
  <c r="P1089" i="1"/>
  <c r="P1092" i="1"/>
  <c r="P1093" i="1"/>
  <c r="P1094" i="1"/>
  <c r="P1095" i="1"/>
  <c r="P1098" i="1"/>
  <c r="P1099" i="1"/>
  <c r="P1101" i="1"/>
  <c r="P1102" i="1"/>
  <c r="P1103" i="1"/>
  <c r="P1104" i="1"/>
  <c r="P1108" i="1"/>
  <c r="P1109" i="1"/>
  <c r="P89" i="1"/>
  <c r="P91" i="1"/>
  <c r="P93" i="1"/>
  <c r="P96" i="1"/>
  <c r="P97" i="1"/>
  <c r="P98" i="1"/>
  <c r="P100" i="1"/>
  <c r="P101" i="1"/>
  <c r="P102" i="1"/>
  <c r="P104" i="1"/>
  <c r="P105" i="1"/>
  <c r="P106" i="1"/>
  <c r="P108" i="1"/>
  <c r="P109" i="1"/>
  <c r="P110" i="1"/>
  <c r="P113" i="1"/>
  <c r="P115" i="1"/>
  <c r="P116" i="1"/>
  <c r="P119" i="1"/>
  <c r="P122" i="1"/>
  <c r="P123" i="1"/>
  <c r="P124" i="1"/>
  <c r="P126" i="1"/>
  <c r="P127" i="1"/>
  <c r="P128" i="1"/>
  <c r="P129" i="1"/>
  <c r="P132" i="1"/>
  <c r="P133" i="1"/>
  <c r="P136" i="1"/>
  <c r="P138" i="1"/>
  <c r="P139" i="1"/>
  <c r="P140" i="1"/>
  <c r="P141" i="1"/>
  <c r="P142" i="1"/>
  <c r="P143" i="1"/>
  <c r="P144" i="1"/>
  <c r="P145" i="1"/>
  <c r="P146" i="1"/>
  <c r="P337" i="1"/>
  <c r="P338" i="1"/>
  <c r="P339" i="1"/>
  <c r="P340" i="1"/>
  <c r="P341" i="1"/>
  <c r="P343" i="1"/>
  <c r="P344" i="1"/>
  <c r="P345" i="1"/>
  <c r="P346" i="1"/>
  <c r="P349" i="1"/>
  <c r="P350" i="1"/>
  <c r="P351" i="1"/>
  <c r="P353" i="1"/>
  <c r="P354" i="1"/>
  <c r="P355" i="1"/>
  <c r="P356" i="1"/>
  <c r="P357" i="1"/>
  <c r="P359" i="1"/>
  <c r="P360" i="1"/>
  <c r="P361" i="1"/>
  <c r="P362" i="1"/>
  <c r="P363" i="1"/>
  <c r="P367" i="1"/>
  <c r="P368" i="1"/>
  <c r="P369" i="1"/>
  <c r="P372" i="1"/>
  <c r="P374" i="1"/>
  <c r="P375" i="1"/>
  <c r="P376" i="1"/>
  <c r="P379" i="1"/>
  <c r="P381" i="1"/>
  <c r="P384" i="1"/>
  <c r="P385" i="1"/>
  <c r="P386" i="1"/>
  <c r="P387" i="1"/>
  <c r="P388" i="1"/>
  <c r="P389" i="1"/>
  <c r="P390" i="1"/>
  <c r="P391" i="1"/>
  <c r="P394" i="1"/>
  <c r="P395" i="1"/>
  <c r="P397" i="1"/>
  <c r="P399" i="1"/>
  <c r="P400" i="1"/>
  <c r="P401" i="1"/>
  <c r="P404" i="1"/>
  <c r="P405" i="1"/>
  <c r="P406" i="1"/>
  <c r="P408" i="1"/>
  <c r="P409" i="1"/>
  <c r="P410" i="1"/>
  <c r="P411" i="1"/>
  <c r="P412" i="1"/>
  <c r="P415" i="1"/>
  <c r="P416" i="1"/>
  <c r="P417" i="1"/>
  <c r="P419" i="1"/>
  <c r="P420" i="1"/>
  <c r="P421" i="1"/>
  <c r="P422" i="1"/>
  <c r="P423" i="1"/>
  <c r="P425" i="1"/>
  <c r="P426" i="1"/>
  <c r="P427" i="1"/>
  <c r="P429" i="1"/>
  <c r="P430" i="1"/>
  <c r="P431" i="1"/>
  <c r="P432" i="1"/>
  <c r="P433" i="1"/>
  <c r="P434" i="1"/>
  <c r="P435" i="1"/>
  <c r="P436" i="1"/>
  <c r="P437" i="1"/>
  <c r="P441" i="1"/>
  <c r="P442" i="1"/>
  <c r="P444" i="1"/>
  <c r="P445" i="1"/>
  <c r="P446" i="1"/>
  <c r="P447" i="1"/>
  <c r="P448" i="1"/>
  <c r="P1475" i="1"/>
  <c r="P1486" i="1"/>
  <c r="P1494" i="1"/>
  <c r="P1487" i="1"/>
  <c r="P1496" i="1"/>
  <c r="P1477" i="1"/>
  <c r="P1493" i="1"/>
  <c r="P1498" i="1"/>
  <c r="P1488" i="1"/>
  <c r="P1473" i="1"/>
  <c r="P1492" i="1"/>
  <c r="P1495" i="1"/>
  <c r="P4" i="1"/>
  <c r="P5" i="1"/>
  <c r="P6" i="1"/>
  <c r="P8" i="1"/>
  <c r="P9" i="1"/>
  <c r="P11" i="1"/>
  <c r="P12" i="1"/>
  <c r="P13" i="1"/>
  <c r="P15" i="1"/>
  <c r="P16" i="1"/>
  <c r="P17" i="1"/>
  <c r="P18" i="1"/>
  <c r="P19" i="1"/>
  <c r="P20" i="1"/>
  <c r="P21" i="1"/>
  <c r="P22" i="1"/>
  <c r="P24" i="1"/>
  <c r="P25" i="1"/>
  <c r="P26" i="1"/>
  <c r="P28" i="1"/>
  <c r="P29" i="1"/>
  <c r="P30" i="1"/>
  <c r="P31" i="1"/>
  <c r="P32" i="1"/>
  <c r="P33" i="1"/>
  <c r="P36" i="1"/>
  <c r="P37" i="1"/>
  <c r="P38" i="1"/>
  <c r="P41" i="1"/>
  <c r="P42" i="1"/>
  <c r="P44" i="1"/>
  <c r="P45" i="1"/>
  <c r="P48" i="1"/>
  <c r="P49" i="1"/>
  <c r="P50" i="1"/>
  <c r="P51" i="1"/>
  <c r="P52" i="1"/>
  <c r="P53" i="1"/>
  <c r="P54" i="1"/>
  <c r="P57" i="1"/>
  <c r="P58" i="1"/>
  <c r="P59" i="1"/>
  <c r="P60" i="1"/>
  <c r="P64" i="1"/>
  <c r="P65" i="1"/>
  <c r="P66" i="1"/>
  <c r="P68" i="1"/>
  <c r="P69" i="1"/>
  <c r="P70" i="1"/>
  <c r="P71" i="1"/>
  <c r="P73" i="1"/>
  <c r="P74" i="1"/>
  <c r="P75" i="1"/>
  <c r="P76" i="1"/>
  <c r="P78" i="1"/>
  <c r="P79" i="1"/>
  <c r="P80" i="1"/>
  <c r="P81" i="1"/>
  <c r="P82" i="1"/>
  <c r="P84" i="1"/>
  <c r="P85" i="1"/>
  <c r="P147" i="1"/>
  <c r="P149" i="1"/>
  <c r="P150" i="1"/>
  <c r="P152" i="1"/>
  <c r="P153" i="1"/>
  <c r="P157" i="1"/>
  <c r="P158" i="1"/>
  <c r="P159" i="1"/>
  <c r="P161" i="1"/>
  <c r="P162" i="1"/>
  <c r="P164" i="1"/>
  <c r="P166" i="1"/>
  <c r="P646" i="1"/>
  <c r="P918" i="1"/>
  <c r="P919" i="1"/>
  <c r="P920" i="1"/>
  <c r="P924" i="1"/>
  <c r="P925" i="1"/>
  <c r="P926" i="1"/>
  <c r="P929" i="1"/>
  <c r="P930" i="1"/>
  <c r="P932" i="1"/>
  <c r="P933" i="1"/>
  <c r="P935" i="1"/>
  <c r="P937" i="1"/>
  <c r="P939" i="1"/>
  <c r="P942" i="1"/>
  <c r="P943" i="1"/>
  <c r="P944" i="1"/>
  <c r="P946" i="1"/>
  <c r="P948" i="1"/>
  <c r="P949" i="1"/>
  <c r="P951" i="1"/>
  <c r="P1335" i="1"/>
  <c r="P1336" i="1"/>
  <c r="P1337" i="1"/>
  <c r="P1339" i="1"/>
  <c r="P1340" i="1"/>
  <c r="P1341" i="1"/>
  <c r="P1342" i="1"/>
  <c r="P1344" i="1"/>
  <c r="P1345" i="1"/>
  <c r="P1346" i="1"/>
  <c r="P1348" i="1"/>
  <c r="P1350" i="1"/>
  <c r="P1351" i="1"/>
  <c r="P1352" i="1"/>
  <c r="P1353" i="1"/>
  <c r="P1354" i="1"/>
  <c r="P1356" i="1"/>
  <c r="P1357" i="1"/>
  <c r="P1358" i="1"/>
  <c r="P1359" i="1"/>
  <c r="P1360" i="1"/>
  <c r="P1361" i="1"/>
  <c r="P1362" i="1"/>
  <c r="P1364" i="1"/>
  <c r="P1366" i="1"/>
  <c r="P1368" i="1"/>
  <c r="P1370" i="1"/>
  <c r="P1371" i="1"/>
  <c r="P1372" i="1"/>
  <c r="P1373" i="1"/>
  <c r="P1376" i="1"/>
  <c r="P169" i="1"/>
  <c r="P170" i="1"/>
  <c r="P171" i="1"/>
  <c r="P172" i="1"/>
  <c r="P174" i="1"/>
  <c r="P176" i="1"/>
  <c r="P177" i="1"/>
  <c r="P178" i="1"/>
  <c r="P181" i="1"/>
  <c r="P182" i="1"/>
  <c r="P184" i="1"/>
  <c r="P185" i="1"/>
  <c r="P186" i="1"/>
  <c r="P187" i="1"/>
  <c r="P193" i="1"/>
  <c r="P195" i="1"/>
  <c r="P196" i="1"/>
  <c r="P198" i="1"/>
  <c r="P199" i="1"/>
  <c r="P201" i="1"/>
  <c r="P203" i="1"/>
  <c r="P204" i="1"/>
  <c r="P205" i="1"/>
  <c r="P208" i="1"/>
  <c r="P209" i="1"/>
  <c r="P211" i="1"/>
  <c r="P212" i="1"/>
  <c r="P213" i="1"/>
  <c r="P218" i="1"/>
  <c r="P219" i="1"/>
  <c r="P220" i="1"/>
  <c r="P221" i="1"/>
  <c r="P225" i="1"/>
  <c r="P227" i="1"/>
  <c r="P450" i="1"/>
  <c r="P453" i="1"/>
  <c r="P454" i="1"/>
  <c r="P456" i="1"/>
  <c r="P457" i="1"/>
  <c r="P458" i="1"/>
  <c r="P463" i="1"/>
  <c r="P465" i="1"/>
  <c r="P466" i="1"/>
  <c r="P468" i="1"/>
  <c r="P469" i="1"/>
  <c r="P473" i="1"/>
  <c r="P474" i="1"/>
  <c r="P476" i="1"/>
  <c r="P477" i="1"/>
  <c r="P478" i="1"/>
  <c r="P480" i="1"/>
  <c r="P482" i="1"/>
  <c r="P483" i="1"/>
  <c r="P484" i="1"/>
  <c r="P485" i="1"/>
  <c r="P486" i="1"/>
  <c r="P487" i="1"/>
  <c r="P488" i="1"/>
  <c r="P490" i="1"/>
  <c r="P492" i="1"/>
  <c r="P493" i="1"/>
  <c r="P496" i="1"/>
  <c r="P497" i="1"/>
  <c r="P498" i="1"/>
  <c r="P500" i="1"/>
  <c r="P501" i="1"/>
  <c r="P502" i="1"/>
  <c r="P503" i="1"/>
  <c r="P557" i="1"/>
  <c r="P558" i="1"/>
  <c r="P559" i="1"/>
  <c r="P560" i="1"/>
  <c r="P562" i="1"/>
  <c r="P563" i="1"/>
  <c r="P564" i="1"/>
  <c r="P565" i="1"/>
  <c r="P567" i="1"/>
  <c r="P568" i="1"/>
  <c r="P569" i="1"/>
  <c r="P571" i="1"/>
  <c r="P573" i="1"/>
  <c r="P574" i="1"/>
  <c r="P575" i="1"/>
  <c r="P577" i="1"/>
  <c r="P578" i="1"/>
  <c r="P579" i="1"/>
  <c r="P581" i="1"/>
  <c r="P582" i="1"/>
  <c r="P583" i="1"/>
  <c r="P584" i="1"/>
  <c r="P585" i="1"/>
  <c r="P586" i="1"/>
  <c r="P587" i="1"/>
  <c r="P589" i="1"/>
  <c r="P590" i="1"/>
  <c r="P591" i="1"/>
  <c r="P592" i="1"/>
  <c r="P595" i="1"/>
  <c r="P599" i="1"/>
  <c r="P600" i="1"/>
  <c r="P601" i="1"/>
  <c r="P602" i="1"/>
  <c r="P603" i="1"/>
  <c r="P605" i="1"/>
  <c r="P606" i="1"/>
  <c r="P607" i="1"/>
  <c r="P608" i="1"/>
  <c r="P609" i="1"/>
  <c r="P611" i="1"/>
  <c r="P612" i="1"/>
  <c r="P614" i="1"/>
  <c r="P615" i="1"/>
  <c r="P616" i="1"/>
  <c r="P617" i="1"/>
  <c r="P621" i="1"/>
  <c r="P622" i="1"/>
  <c r="P625" i="1"/>
  <c r="P627" i="1"/>
  <c r="P628" i="1"/>
  <c r="P630" i="1"/>
  <c r="P631" i="1"/>
  <c r="P632" i="1"/>
  <c r="P633" i="1"/>
  <c r="P634" i="1"/>
  <c r="P635" i="1"/>
  <c r="P636" i="1"/>
  <c r="P637" i="1"/>
  <c r="P638" i="1"/>
  <c r="P639" i="1"/>
  <c r="P640" i="1"/>
  <c r="P641" i="1"/>
  <c r="P642" i="1"/>
  <c r="P644" i="1"/>
  <c r="P645" i="1"/>
  <c r="P820" i="1"/>
  <c r="P821" i="1"/>
  <c r="P822" i="1"/>
  <c r="P823" i="1"/>
  <c r="P824" i="1"/>
  <c r="P825" i="1"/>
  <c r="P826" i="1"/>
  <c r="P828" i="1"/>
  <c r="P829" i="1"/>
  <c r="P830" i="1"/>
  <c r="P831" i="1"/>
  <c r="P834" i="1"/>
  <c r="P835" i="1"/>
  <c r="P836" i="1"/>
  <c r="P837" i="1"/>
  <c r="P839" i="1"/>
  <c r="P840" i="1"/>
  <c r="P842" i="1"/>
  <c r="P843" i="1"/>
  <c r="P844" i="1"/>
  <c r="P845" i="1"/>
  <c r="P846" i="1"/>
  <c r="P847" i="1"/>
  <c r="P882" i="1"/>
  <c r="P883" i="1"/>
  <c r="P884" i="1"/>
  <c r="P885" i="1"/>
  <c r="P886" i="1"/>
  <c r="P887" i="1"/>
  <c r="P888" i="1"/>
  <c r="P889" i="1"/>
  <c r="P890" i="1"/>
  <c r="P892" i="1"/>
  <c r="P894" i="1"/>
  <c r="P895" i="1"/>
  <c r="P896" i="1"/>
  <c r="P897" i="1"/>
  <c r="P898" i="1"/>
  <c r="P899" i="1"/>
  <c r="P900" i="1"/>
  <c r="P902" i="1"/>
  <c r="P905" i="1"/>
  <c r="P906" i="1"/>
  <c r="P907" i="1"/>
  <c r="P908" i="1"/>
  <c r="P909" i="1"/>
  <c r="P910" i="1"/>
  <c r="P911" i="1"/>
  <c r="P912" i="1"/>
  <c r="P913" i="1"/>
  <c r="P914" i="1"/>
  <c r="P915" i="1"/>
  <c r="P916" i="1"/>
  <c r="P917" i="1"/>
  <c r="P1110" i="1"/>
  <c r="P1111" i="1"/>
  <c r="P1113" i="1"/>
  <c r="P1115" i="1"/>
  <c r="P1116" i="1"/>
  <c r="P1117" i="1"/>
  <c r="P1118" i="1"/>
  <c r="P1119" i="1"/>
  <c r="P1120" i="1"/>
  <c r="P1122" i="1"/>
  <c r="P1124" i="1"/>
  <c r="P1125" i="1"/>
  <c r="P1126" i="1"/>
  <c r="P1129" i="1"/>
  <c r="P1130" i="1"/>
  <c r="P1132" i="1"/>
  <c r="P1135" i="1"/>
  <c r="P1136" i="1"/>
  <c r="P1140" i="1"/>
  <c r="P1142" i="1"/>
  <c r="P1143" i="1"/>
  <c r="P1146" i="1"/>
  <c r="P1147" i="1"/>
  <c r="P1148" i="1"/>
  <c r="P1151" i="1"/>
  <c r="P1152" i="1"/>
  <c r="P1154" i="1"/>
  <c r="P1155" i="1"/>
  <c r="P1157" i="1"/>
  <c r="P1158" i="1"/>
  <c r="P1160" i="1"/>
  <c r="P1161" i="1"/>
  <c r="P1162" i="1"/>
  <c r="P1163" i="1"/>
  <c r="P1165" i="1"/>
  <c r="P1166" i="1"/>
  <c r="P1167" i="1"/>
  <c r="P1170" i="1"/>
  <c r="P1171" i="1"/>
  <c r="P1174" i="1"/>
  <c r="P1175" i="1"/>
  <c r="P1176" i="1"/>
  <c r="P1177" i="1"/>
  <c r="P1178" i="1"/>
  <c r="P1179" i="1"/>
  <c r="P1180" i="1"/>
  <c r="P1181" i="1"/>
  <c r="P1182" i="1"/>
  <c r="P1185" i="1"/>
  <c r="P1187" i="1"/>
  <c r="P1188" i="1"/>
  <c r="P1189" i="1"/>
  <c r="P1190" i="1"/>
  <c r="P1193" i="1"/>
  <c r="P1195" i="1"/>
  <c r="P1196" i="1"/>
  <c r="P1197" i="1"/>
  <c r="P1198" i="1"/>
  <c r="P1199" i="1"/>
  <c r="P1200" i="1"/>
  <c r="P1202" i="1"/>
  <c r="P1203" i="1"/>
  <c r="P1204" i="1"/>
  <c r="P1205" i="1"/>
  <c r="P1206" i="1"/>
  <c r="P1207" i="1"/>
  <c r="P1208" i="1"/>
  <c r="P1209" i="1"/>
  <c r="P1210" i="1"/>
  <c r="P1211" i="1"/>
  <c r="P1212" i="1"/>
  <c r="P1213" i="1"/>
  <c r="P1214" i="1"/>
  <c r="P1215" i="1"/>
  <c r="P1216" i="1"/>
  <c r="P1217" i="1"/>
  <c r="P1218" i="1"/>
  <c r="P1220" i="1"/>
  <c r="P1221" i="1"/>
  <c r="P1222" i="1"/>
  <c r="P1223" i="1"/>
  <c r="P1226" i="1"/>
  <c r="P1227" i="1"/>
  <c r="P1228" i="1"/>
  <c r="P1230" i="1"/>
  <c r="P1232" i="1"/>
  <c r="P1233" i="1"/>
  <c r="P1234" i="1"/>
  <c r="P1235" i="1"/>
  <c r="P1236" i="1"/>
  <c r="P1238" i="1"/>
  <c r="P1239" i="1"/>
  <c r="P1241" i="1"/>
  <c r="P1242" i="1"/>
  <c r="P1243" i="1"/>
  <c r="P1245" i="1"/>
  <c r="P1246" i="1"/>
  <c r="P1247" i="1"/>
  <c r="P1248" i="1"/>
  <c r="P1249" i="1"/>
  <c r="P1250" i="1"/>
  <c r="P1251" i="1"/>
  <c r="P1254" i="1"/>
  <c r="P1256" i="1"/>
  <c r="P1257" i="1"/>
  <c r="P1258" i="1"/>
  <c r="P1259" i="1"/>
  <c r="P1262" i="1"/>
  <c r="P1263" i="1"/>
  <c r="P1264" i="1"/>
  <c r="P1265" i="1"/>
  <c r="P1267" i="1"/>
  <c r="P1268" i="1"/>
  <c r="P1269" i="1"/>
  <c r="P1271" i="1"/>
  <c r="P1272" i="1"/>
  <c r="P1273" i="1"/>
  <c r="P1274" i="1"/>
  <c r="P1275" i="1"/>
  <c r="P1276" i="1"/>
  <c r="P1278" i="1"/>
  <c r="P1279" i="1"/>
  <c r="P1280" i="1"/>
  <c r="P1282" i="1"/>
  <c r="P1283" i="1"/>
  <c r="P1284" i="1"/>
  <c r="P1285" i="1"/>
  <c r="P1286" i="1"/>
  <c r="P1287" i="1"/>
  <c r="P1288" i="1"/>
  <c r="P1291" i="1"/>
  <c r="P1292" i="1"/>
  <c r="P1293" i="1"/>
  <c r="P1295" i="1"/>
  <c r="P1296" i="1"/>
  <c r="P1298" i="1"/>
  <c r="P1300" i="1"/>
  <c r="P1301" i="1"/>
  <c r="P1302" i="1"/>
  <c r="P1305" i="1"/>
  <c r="P1307" i="1"/>
  <c r="P1308" i="1"/>
  <c r="P1309" i="1"/>
  <c r="P1311" i="1"/>
  <c r="P1312" i="1"/>
  <c r="P1313" i="1"/>
  <c r="P1314" i="1"/>
  <c r="P1315" i="1"/>
  <c r="P1317" i="1"/>
  <c r="P1318" i="1"/>
  <c r="P1319" i="1"/>
  <c r="P1320" i="1"/>
  <c r="P1321" i="1"/>
  <c r="P1323" i="1"/>
  <c r="P1324" i="1"/>
  <c r="P1326" i="1"/>
  <c r="P1328" i="1"/>
  <c r="P1329" i="1"/>
  <c r="P1330" i="1"/>
  <c r="P1331" i="1"/>
  <c r="P1332" i="1"/>
  <c r="P1333" i="1"/>
  <c r="P1334" i="1"/>
  <c r="P1377" i="1"/>
  <c r="P1380" i="1"/>
  <c r="P1381" i="1"/>
  <c r="P1386" i="1"/>
  <c r="P1390" i="1"/>
  <c r="P1394" i="1"/>
  <c r="P1396" i="1"/>
  <c r="P1397" i="1"/>
  <c r="P1398" i="1"/>
  <c r="P1399" i="1"/>
  <c r="P1401" i="1"/>
  <c r="P1402" i="1"/>
  <c r="P1404" i="1"/>
  <c r="P1405" i="1"/>
  <c r="P1406" i="1"/>
  <c r="P1407" i="1"/>
  <c r="P1408" i="1"/>
  <c r="P1409" i="1"/>
  <c r="P1414" i="1"/>
  <c r="P1415" i="1"/>
  <c r="P1416" i="1"/>
  <c r="P1419" i="1"/>
  <c r="P1420" i="1"/>
  <c r="P1425" i="1"/>
  <c r="P1428" i="1"/>
  <c r="P1429" i="1"/>
  <c r="P1430" i="1"/>
  <c r="P1435" i="1"/>
  <c r="P1436" i="1"/>
  <c r="P1440" i="1"/>
  <c r="P1442" i="1"/>
  <c r="P1444" i="1"/>
  <c r="P1445" i="1"/>
  <c r="P1447" i="1"/>
  <c r="P1448" i="1"/>
  <c r="P1450" i="1"/>
  <c r="P1452" i="1"/>
  <c r="P1453" i="1"/>
  <c r="P1454" i="1"/>
  <c r="P1455" i="1"/>
  <c r="O854" i="1"/>
  <c r="P854" i="1"/>
  <c r="O855" i="1"/>
  <c r="P855" i="1"/>
  <c r="O856" i="1"/>
  <c r="P856" i="1"/>
  <c r="O857" i="1"/>
  <c r="P857" i="1"/>
  <c r="O858" i="1"/>
  <c r="P858" i="1"/>
  <c r="O859" i="1"/>
  <c r="P859" i="1"/>
  <c r="O860" i="1"/>
  <c r="P860" i="1"/>
  <c r="O861" i="1"/>
  <c r="P861" i="1"/>
  <c r="O862" i="1"/>
  <c r="P862" i="1"/>
  <c r="O863" i="1"/>
  <c r="P863" i="1"/>
  <c r="O864" i="1"/>
  <c r="P864" i="1"/>
  <c r="O866" i="1"/>
  <c r="P866" i="1"/>
  <c r="O867" i="1"/>
  <c r="P867" i="1"/>
  <c r="O868" i="1"/>
  <c r="P868" i="1"/>
  <c r="O871" i="1"/>
  <c r="P871" i="1"/>
  <c r="O872" i="1"/>
  <c r="P872" i="1"/>
  <c r="O1459" i="1"/>
  <c r="P1459" i="1"/>
  <c r="O1460" i="1"/>
  <c r="P1460" i="1"/>
  <c r="O1465" i="1"/>
  <c r="P1465" i="1"/>
  <c r="O1467" i="1"/>
  <c r="P1467" i="1"/>
  <c r="O1469" i="1"/>
  <c r="P1469" i="1"/>
  <c r="O1472" i="1"/>
  <c r="P1472" i="1"/>
  <c r="O276" i="1"/>
  <c r="O277" i="1"/>
  <c r="O278" i="1"/>
  <c r="O1473" i="1"/>
  <c r="O1475" i="1"/>
  <c r="O1477" i="1"/>
  <c r="O1486" i="1"/>
  <c r="O1487" i="1"/>
  <c r="O1488" i="1"/>
  <c r="O1492" i="1"/>
  <c r="O1493" i="1"/>
  <c r="O1494" i="1"/>
  <c r="O1495" i="1"/>
  <c r="O1496" i="1"/>
  <c r="O1498" i="1"/>
  <c r="N380" i="1"/>
  <c r="P380" i="1" s="1"/>
  <c r="O380" i="1"/>
  <c r="N382" i="1"/>
  <c r="P382" i="1" s="1"/>
  <c r="O382" i="1"/>
  <c r="N383" i="1"/>
  <c r="P383" i="1" s="1"/>
  <c r="O383" i="1"/>
  <c r="N392" i="1"/>
  <c r="P392" i="1" s="1"/>
  <c r="O392" i="1"/>
  <c r="N393" i="1"/>
  <c r="P393" i="1" s="1"/>
  <c r="O393" i="1"/>
  <c r="N396" i="1"/>
  <c r="P396" i="1" s="1"/>
  <c r="O396" i="1"/>
  <c r="N398" i="1"/>
  <c r="P398" i="1" s="1"/>
  <c r="O398" i="1"/>
  <c r="N402" i="1"/>
  <c r="P402" i="1" s="1"/>
  <c r="O402" i="1"/>
  <c r="N403" i="1"/>
  <c r="P403" i="1" s="1"/>
  <c r="O403" i="1"/>
  <c r="N407" i="1"/>
  <c r="P407" i="1" s="1"/>
  <c r="O407" i="1"/>
  <c r="N413" i="1"/>
  <c r="P413" i="1" s="1"/>
  <c r="O413" i="1"/>
  <c r="N414" i="1"/>
  <c r="P414" i="1" s="1"/>
  <c r="O414" i="1"/>
  <c r="N418" i="1"/>
  <c r="P418" i="1" s="1"/>
  <c r="O418" i="1"/>
  <c r="N424" i="1"/>
  <c r="P424" i="1" s="1"/>
  <c r="O424" i="1"/>
  <c r="N428" i="1"/>
  <c r="P428" i="1" s="1"/>
  <c r="O428" i="1"/>
  <c r="N438" i="1"/>
  <c r="P438" i="1" s="1"/>
  <c r="O438" i="1"/>
  <c r="N665" i="1"/>
  <c r="P665" i="1" s="1"/>
  <c r="O665" i="1"/>
  <c r="N668" i="1"/>
  <c r="P668" i="1" s="1"/>
  <c r="O668" i="1"/>
  <c r="N672" i="1"/>
  <c r="P672" i="1" s="1"/>
  <c r="O672" i="1"/>
  <c r="N681" i="1"/>
  <c r="P681" i="1" s="1"/>
  <c r="O681" i="1"/>
  <c r="N684" i="1"/>
  <c r="P684" i="1" s="1"/>
  <c r="O684" i="1"/>
  <c r="N687" i="1"/>
  <c r="P687" i="1" s="1"/>
  <c r="O687" i="1"/>
  <c r="N688" i="1"/>
  <c r="P688" i="1" s="1"/>
  <c r="O688" i="1"/>
  <c r="N696" i="1"/>
  <c r="P696" i="1" s="1"/>
  <c r="O696" i="1"/>
  <c r="O706" i="1"/>
  <c r="N706" i="1"/>
  <c r="P706" i="1" s="1"/>
  <c r="O709" i="1"/>
  <c r="N709" i="1"/>
  <c r="P709" i="1" s="1"/>
  <c r="O712" i="1"/>
  <c r="N712" i="1"/>
  <c r="P712" i="1" s="1"/>
  <c r="O718" i="1"/>
  <c r="N718" i="1"/>
  <c r="P718" i="1" s="1"/>
  <c r="O724" i="1"/>
  <c r="N724" i="1"/>
  <c r="P724" i="1" s="1"/>
  <c r="O725" i="1"/>
  <c r="N725" i="1"/>
  <c r="P725" i="1" s="1"/>
  <c r="O728" i="1"/>
  <c r="N728" i="1"/>
  <c r="P728" i="1" s="1"/>
  <c r="O730" i="1"/>
  <c r="N730" i="1"/>
  <c r="P730" i="1" s="1"/>
  <c r="N1112" i="1"/>
  <c r="P1112" i="1" s="1"/>
  <c r="O1112" i="1"/>
  <c r="N1114" i="1"/>
  <c r="P1114" i="1" s="1"/>
  <c r="O1114" i="1"/>
  <c r="N1121" i="1"/>
  <c r="P1121" i="1" s="1"/>
  <c r="O1121" i="1"/>
  <c r="N1123" i="1"/>
  <c r="P1123" i="1" s="1"/>
  <c r="O1123" i="1"/>
  <c r="N1127" i="1"/>
  <c r="P1127" i="1" s="1"/>
  <c r="O1127" i="1"/>
  <c r="N1128" i="1"/>
  <c r="P1128" i="1" s="1"/>
  <c r="O1128" i="1"/>
  <c r="N1131" i="1"/>
  <c r="P1131" i="1" s="1"/>
  <c r="O1131" i="1"/>
  <c r="N1133" i="1"/>
  <c r="P1133" i="1" s="1"/>
  <c r="O1133" i="1"/>
  <c r="N1134" i="1"/>
  <c r="P1134" i="1" s="1"/>
  <c r="O1134" i="1"/>
  <c r="N1137" i="1"/>
  <c r="P1137" i="1" s="1"/>
  <c r="O1137" i="1"/>
  <c r="N1138" i="1"/>
  <c r="P1138" i="1" s="1"/>
  <c r="O1138" i="1"/>
  <c r="N1139" i="1"/>
  <c r="P1139" i="1" s="1"/>
  <c r="O1139" i="1"/>
  <c r="N1141" i="1"/>
  <c r="P1141" i="1" s="1"/>
  <c r="O1141" i="1"/>
  <c r="N1144" i="1"/>
  <c r="P1144" i="1" s="1"/>
  <c r="O1144" i="1"/>
  <c r="N1145" i="1"/>
  <c r="P1145" i="1" s="1"/>
  <c r="O1145" i="1"/>
  <c r="N1149" i="1"/>
  <c r="P1149" i="1" s="1"/>
  <c r="O1149" i="1"/>
  <c r="N1150" i="1"/>
  <c r="P1150" i="1" s="1"/>
  <c r="O1150" i="1"/>
  <c r="N1153" i="1"/>
  <c r="P1153" i="1" s="1"/>
  <c r="O1153" i="1"/>
  <c r="N1156" i="1"/>
  <c r="P1156" i="1" s="1"/>
  <c r="O1156" i="1"/>
  <c r="N1159" i="1"/>
  <c r="P1159" i="1" s="1"/>
  <c r="O1159" i="1"/>
  <c r="N1164" i="1"/>
  <c r="P1164" i="1" s="1"/>
  <c r="O1164" i="1"/>
  <c r="N1168" i="1"/>
  <c r="P1168" i="1" s="1"/>
  <c r="O1168" i="1"/>
  <c r="N1169" i="1"/>
  <c r="P1169" i="1" s="1"/>
  <c r="O1169" i="1"/>
  <c r="N1172" i="1"/>
  <c r="P1172" i="1" s="1"/>
  <c r="O1172" i="1"/>
  <c r="N1173" i="1"/>
  <c r="P1173" i="1" s="1"/>
  <c r="O1173" i="1"/>
  <c r="N1183" i="1"/>
  <c r="P1183" i="1" s="1"/>
  <c r="O1183" i="1"/>
  <c r="N1184" i="1"/>
  <c r="P1184" i="1" s="1"/>
  <c r="O1184" i="1"/>
  <c r="N1186" i="1"/>
  <c r="P1186" i="1" s="1"/>
  <c r="O1186" i="1"/>
  <c r="N1191" i="1"/>
  <c r="P1191" i="1" s="1"/>
  <c r="O1191" i="1"/>
  <c r="N1192" i="1"/>
  <c r="P1192" i="1" s="1"/>
  <c r="O1192" i="1"/>
  <c r="N1194" i="1"/>
  <c r="P1194" i="1" s="1"/>
  <c r="O1194" i="1"/>
  <c r="N1201" i="1"/>
  <c r="P1201" i="1" s="1"/>
  <c r="O1201" i="1"/>
  <c r="N1219" i="1"/>
  <c r="P1219" i="1" s="1"/>
  <c r="O1219" i="1"/>
  <c r="N1224" i="1"/>
  <c r="P1224" i="1" s="1"/>
  <c r="O1224" i="1"/>
  <c r="N1225" i="1"/>
  <c r="P1225" i="1" s="1"/>
  <c r="O1225" i="1"/>
  <c r="N1229" i="1"/>
  <c r="P1229" i="1" s="1"/>
  <c r="O1229" i="1"/>
  <c r="N1231" i="1"/>
  <c r="P1231" i="1" s="1"/>
  <c r="O1231" i="1"/>
  <c r="N1237" i="1"/>
  <c r="P1237" i="1" s="1"/>
  <c r="O1237" i="1"/>
  <c r="N1240" i="1"/>
  <c r="P1240" i="1" s="1"/>
  <c r="O1240" i="1"/>
  <c r="N1244" i="1"/>
  <c r="P1244" i="1" s="1"/>
  <c r="O1244" i="1"/>
  <c r="N1252" i="1"/>
  <c r="P1252" i="1" s="1"/>
  <c r="O1252" i="1"/>
  <c r="N1253" i="1"/>
  <c r="P1253" i="1" s="1"/>
  <c r="O1253" i="1"/>
  <c r="N1255" i="1"/>
  <c r="P1255" i="1" s="1"/>
  <c r="O1255" i="1"/>
  <c r="N1260" i="1"/>
  <c r="P1260" i="1" s="1"/>
  <c r="O1260" i="1"/>
  <c r="N1261" i="1"/>
  <c r="P1261" i="1" s="1"/>
  <c r="O1261" i="1"/>
  <c r="N1266" i="1"/>
  <c r="P1266" i="1" s="1"/>
  <c r="O1266" i="1"/>
  <c r="N1270" i="1"/>
  <c r="P1270" i="1" s="1"/>
  <c r="O1270" i="1"/>
  <c r="N1277" i="1"/>
  <c r="P1277" i="1" s="1"/>
  <c r="O1277" i="1"/>
  <c r="N1281" i="1"/>
  <c r="P1281" i="1" s="1"/>
  <c r="O1281" i="1"/>
  <c r="N1289" i="1"/>
  <c r="P1289" i="1" s="1"/>
  <c r="O1289" i="1"/>
  <c r="N1290" i="1"/>
  <c r="P1290" i="1" s="1"/>
  <c r="O1290" i="1"/>
  <c r="N1294" i="1"/>
  <c r="P1294" i="1" s="1"/>
  <c r="O1294" i="1"/>
  <c r="N1297" i="1"/>
  <c r="P1297" i="1" s="1"/>
  <c r="O1297" i="1"/>
  <c r="N1299" i="1"/>
  <c r="P1299" i="1" s="1"/>
  <c r="O1299" i="1"/>
  <c r="N1303" i="1"/>
  <c r="P1303" i="1" s="1"/>
  <c r="O1303" i="1"/>
  <c r="N1304" i="1"/>
  <c r="P1304" i="1" s="1"/>
  <c r="O1304" i="1"/>
  <c r="N1306" i="1"/>
  <c r="P1306" i="1" s="1"/>
  <c r="O1306" i="1"/>
  <c r="N1310" i="1"/>
  <c r="P1310" i="1" s="1"/>
  <c r="O1310" i="1"/>
  <c r="N1316" i="1"/>
  <c r="P1316" i="1" s="1"/>
  <c r="O1316" i="1"/>
  <c r="N1322" i="1"/>
  <c r="P1322" i="1" s="1"/>
  <c r="O1322" i="1"/>
  <c r="N1325" i="1"/>
  <c r="P1325" i="1" s="1"/>
  <c r="O1325" i="1"/>
  <c r="N1327" i="1"/>
  <c r="P1327" i="1" s="1"/>
  <c r="O1327" i="1"/>
  <c r="N1338" i="1"/>
  <c r="P1338" i="1" s="1"/>
  <c r="O1338" i="1"/>
  <c r="N1343" i="1"/>
  <c r="P1343" i="1" s="1"/>
  <c r="O1343" i="1"/>
  <c r="N1347" i="1"/>
  <c r="P1347" i="1" s="1"/>
  <c r="O1347" i="1"/>
  <c r="N1349" i="1"/>
  <c r="P1349" i="1" s="1"/>
  <c r="O1349" i="1"/>
  <c r="N1355" i="1"/>
  <c r="P1355" i="1" s="1"/>
  <c r="O1355" i="1"/>
  <c r="N1363" i="1"/>
  <c r="P1363" i="1" s="1"/>
  <c r="O1363" i="1"/>
  <c r="N1365" i="1"/>
  <c r="P1365" i="1" s="1"/>
  <c r="O1365" i="1"/>
  <c r="N1367" i="1"/>
  <c r="P1367" i="1" s="1"/>
  <c r="O1367" i="1"/>
  <c r="N1369" i="1"/>
  <c r="P1369" i="1" s="1"/>
  <c r="O1369" i="1"/>
  <c r="N1374" i="1"/>
  <c r="P1374" i="1" s="1"/>
  <c r="O1374" i="1"/>
  <c r="N1375" i="1"/>
  <c r="P1375" i="1" s="1"/>
  <c r="O1375" i="1"/>
  <c r="N1378" i="1"/>
  <c r="P1378" i="1" s="1"/>
  <c r="O1378" i="1"/>
  <c r="N1379" i="1"/>
  <c r="P1379" i="1" s="1"/>
  <c r="O1379" i="1"/>
  <c r="N1382" i="1"/>
  <c r="P1382" i="1" s="1"/>
  <c r="O1382" i="1"/>
  <c r="N1383" i="1"/>
  <c r="P1383" i="1" s="1"/>
  <c r="O1383" i="1"/>
  <c r="N1384" i="1"/>
  <c r="P1384" i="1" s="1"/>
  <c r="O1384" i="1"/>
  <c r="N1385" i="1"/>
  <c r="P1385" i="1" s="1"/>
  <c r="O1385" i="1"/>
  <c r="N1387" i="1"/>
  <c r="P1387" i="1" s="1"/>
  <c r="O1387" i="1"/>
  <c r="N1388" i="1"/>
  <c r="P1388" i="1" s="1"/>
  <c r="O1388" i="1"/>
  <c r="N1389" i="1"/>
  <c r="P1389" i="1" s="1"/>
  <c r="O1389" i="1"/>
  <c r="N1391" i="1"/>
  <c r="P1391" i="1" s="1"/>
  <c r="O1391" i="1"/>
  <c r="N1392" i="1"/>
  <c r="P1392" i="1" s="1"/>
  <c r="O1392" i="1"/>
  <c r="N1393" i="1"/>
  <c r="P1393" i="1" s="1"/>
  <c r="O1393" i="1"/>
  <c r="N1395" i="1"/>
  <c r="P1395" i="1" s="1"/>
  <c r="O1395" i="1"/>
  <c r="N1400" i="1"/>
  <c r="P1400" i="1" s="1"/>
  <c r="O1400" i="1"/>
  <c r="N1403" i="1"/>
  <c r="P1403" i="1" s="1"/>
  <c r="O1403" i="1"/>
  <c r="N1410" i="1"/>
  <c r="P1410" i="1" s="1"/>
  <c r="O1410" i="1"/>
  <c r="N1411" i="1"/>
  <c r="P1411" i="1" s="1"/>
  <c r="O1411" i="1"/>
  <c r="N1412" i="1"/>
  <c r="P1412" i="1" s="1"/>
  <c r="O1412" i="1"/>
  <c r="N1413" i="1"/>
  <c r="P1413" i="1" s="1"/>
  <c r="O1413" i="1"/>
  <c r="N1417" i="1"/>
  <c r="P1417" i="1" s="1"/>
  <c r="O1417" i="1"/>
  <c r="N1418" i="1"/>
  <c r="P1418" i="1" s="1"/>
  <c r="O1418" i="1"/>
  <c r="N1421" i="1"/>
  <c r="P1421" i="1" s="1"/>
  <c r="O1421" i="1"/>
  <c r="N1422" i="1"/>
  <c r="P1422" i="1" s="1"/>
  <c r="O1422" i="1"/>
  <c r="N1423" i="1"/>
  <c r="P1423" i="1" s="1"/>
  <c r="O1423" i="1"/>
  <c r="N1424" i="1"/>
  <c r="P1424" i="1" s="1"/>
  <c r="O1424" i="1"/>
  <c r="N1426" i="1"/>
  <c r="P1426" i="1" s="1"/>
  <c r="O1426" i="1"/>
  <c r="N1427" i="1"/>
  <c r="P1427" i="1" s="1"/>
  <c r="O1427" i="1"/>
  <c r="N1431" i="1"/>
  <c r="P1431" i="1" s="1"/>
  <c r="O1431" i="1"/>
  <c r="N1432" i="1"/>
  <c r="P1432" i="1" s="1"/>
  <c r="O1432" i="1"/>
  <c r="N1433" i="1"/>
  <c r="P1433" i="1" s="1"/>
  <c r="O1433" i="1"/>
  <c r="N1434" i="1"/>
  <c r="P1434" i="1" s="1"/>
  <c r="O1434" i="1"/>
  <c r="N1437" i="1"/>
  <c r="P1437" i="1" s="1"/>
  <c r="O1437" i="1"/>
  <c r="N1438" i="1"/>
  <c r="P1438" i="1" s="1"/>
  <c r="O1438" i="1"/>
  <c r="N1439" i="1"/>
  <c r="P1439" i="1" s="1"/>
  <c r="O1439" i="1"/>
  <c r="N1441" i="1"/>
  <c r="P1441" i="1" s="1"/>
  <c r="O1441" i="1"/>
  <c r="N1443" i="1"/>
  <c r="P1443" i="1" s="1"/>
  <c r="O1443" i="1"/>
  <c r="N1446" i="1"/>
  <c r="P1446" i="1" s="1"/>
  <c r="O1446" i="1"/>
  <c r="N1449" i="1"/>
  <c r="P1449" i="1" s="1"/>
  <c r="O1449" i="1"/>
  <c r="N1451" i="1"/>
  <c r="P1451" i="1" s="1"/>
  <c r="O1451" i="1"/>
  <c r="N1456" i="1"/>
  <c r="P1456" i="1" s="1"/>
  <c r="O1456" i="1"/>
  <c r="N1457" i="1"/>
  <c r="P1457" i="1" s="1"/>
  <c r="O1457" i="1"/>
  <c r="N1458" i="1"/>
  <c r="P1458" i="1" s="1"/>
  <c r="O1458" i="1"/>
  <c r="N1461" i="1"/>
  <c r="P1461" i="1" s="1"/>
  <c r="O1461" i="1"/>
  <c r="N1462" i="1"/>
  <c r="P1462" i="1" s="1"/>
  <c r="O1462" i="1"/>
  <c r="N358" i="1"/>
  <c r="P358" i="1" s="1"/>
  <c r="O358" i="1"/>
  <c r="N364" i="1"/>
  <c r="P364" i="1" s="1"/>
  <c r="O364" i="1"/>
  <c r="N365" i="1"/>
  <c r="P365" i="1" s="1"/>
  <c r="O365" i="1"/>
  <c r="N366" i="1"/>
  <c r="P366" i="1" s="1"/>
  <c r="O366" i="1"/>
  <c r="N370" i="1"/>
  <c r="P370" i="1" s="1"/>
  <c r="O370" i="1"/>
  <c r="N371" i="1"/>
  <c r="P371" i="1" s="1"/>
  <c r="O371" i="1"/>
  <c r="N373" i="1"/>
  <c r="P373" i="1" s="1"/>
  <c r="O373" i="1"/>
  <c r="N378" i="1"/>
  <c r="P378" i="1" s="1"/>
  <c r="O378" i="1"/>
  <c r="N439" i="1"/>
  <c r="P439" i="1" s="1"/>
  <c r="O439" i="1"/>
  <c r="N440" i="1"/>
  <c r="P440" i="1" s="1"/>
  <c r="O440" i="1"/>
  <c r="N443" i="1"/>
  <c r="P443" i="1" s="1"/>
  <c r="O443" i="1"/>
  <c r="N449" i="1"/>
  <c r="P449" i="1" s="1"/>
  <c r="O449" i="1"/>
  <c r="N451" i="1"/>
  <c r="P451" i="1" s="1"/>
  <c r="O451" i="1"/>
  <c r="N452" i="1"/>
  <c r="P452" i="1" s="1"/>
  <c r="O452" i="1"/>
  <c r="N455" i="1"/>
  <c r="P455" i="1" s="1"/>
  <c r="O455" i="1"/>
  <c r="N459" i="1"/>
  <c r="P459" i="1" s="1"/>
  <c r="O459" i="1"/>
  <c r="N460" i="1"/>
  <c r="P460" i="1" s="1"/>
  <c r="O460" i="1"/>
  <c r="N461" i="1"/>
  <c r="P461" i="1" s="1"/>
  <c r="O461" i="1"/>
  <c r="N462" i="1"/>
  <c r="P462" i="1" s="1"/>
  <c r="O462" i="1"/>
  <c r="N464" i="1"/>
  <c r="P464" i="1" s="1"/>
  <c r="O464" i="1"/>
  <c r="N467" i="1"/>
  <c r="P467" i="1" s="1"/>
  <c r="O467" i="1"/>
  <c r="N470" i="1"/>
  <c r="P470" i="1" s="1"/>
  <c r="O470" i="1"/>
  <c r="N471" i="1"/>
  <c r="P471" i="1" s="1"/>
  <c r="O471" i="1"/>
  <c r="N472" i="1"/>
  <c r="P472" i="1" s="1"/>
  <c r="O472" i="1"/>
  <c r="N475" i="1"/>
  <c r="P475" i="1" s="1"/>
  <c r="O475" i="1"/>
  <c r="N479" i="1"/>
  <c r="P479" i="1" s="1"/>
  <c r="O479" i="1"/>
  <c r="N481" i="1"/>
  <c r="P481" i="1" s="1"/>
  <c r="O481" i="1"/>
  <c r="N489" i="1"/>
  <c r="P489" i="1" s="1"/>
  <c r="O489" i="1"/>
  <c r="N491" i="1"/>
  <c r="P491" i="1" s="1"/>
  <c r="O491" i="1"/>
  <c r="N494" i="1"/>
  <c r="P494" i="1" s="1"/>
  <c r="O494" i="1"/>
  <c r="N495" i="1"/>
  <c r="P495" i="1" s="1"/>
  <c r="O495" i="1"/>
  <c r="N499" i="1"/>
  <c r="P499" i="1" s="1"/>
  <c r="O499" i="1"/>
  <c r="N512" i="1"/>
  <c r="P512" i="1" s="1"/>
  <c r="O512" i="1"/>
  <c r="N518" i="1"/>
  <c r="P518" i="1" s="1"/>
  <c r="O518" i="1"/>
  <c r="N521" i="1"/>
  <c r="P521" i="1" s="1"/>
  <c r="O521" i="1"/>
  <c r="N522" i="1"/>
  <c r="P522" i="1" s="1"/>
  <c r="O522" i="1"/>
  <c r="N529" i="1"/>
  <c r="P529" i="1" s="1"/>
  <c r="O529" i="1"/>
  <c r="N531" i="1"/>
  <c r="P531" i="1" s="1"/>
  <c r="O531" i="1"/>
  <c r="N532" i="1"/>
  <c r="P532" i="1" s="1"/>
  <c r="O532" i="1"/>
  <c r="N536" i="1"/>
  <c r="P536" i="1" s="1"/>
  <c r="O536" i="1"/>
  <c r="N539" i="1"/>
  <c r="P539" i="1" s="1"/>
  <c r="O539" i="1"/>
  <c r="N541" i="1"/>
  <c r="P541" i="1" s="1"/>
  <c r="O541" i="1"/>
  <c r="N543" i="1"/>
  <c r="P543" i="1" s="1"/>
  <c r="O543" i="1"/>
  <c r="N546" i="1"/>
  <c r="P546" i="1" s="1"/>
  <c r="O546" i="1"/>
  <c r="N551" i="1"/>
  <c r="P551" i="1" s="1"/>
  <c r="O551" i="1"/>
  <c r="N552" i="1"/>
  <c r="P552" i="1" s="1"/>
  <c r="O552" i="1"/>
  <c r="N553" i="1"/>
  <c r="P553" i="1" s="1"/>
  <c r="O553" i="1"/>
  <c r="N554" i="1"/>
  <c r="P554" i="1" s="1"/>
  <c r="O554" i="1"/>
  <c r="N556" i="1"/>
  <c r="P556" i="1" s="1"/>
  <c r="O556" i="1"/>
  <c r="N561" i="1"/>
  <c r="P561" i="1" s="1"/>
  <c r="O561" i="1"/>
  <c r="N566" i="1"/>
  <c r="P566" i="1" s="1"/>
  <c r="O566" i="1"/>
  <c r="N570" i="1"/>
  <c r="P570" i="1" s="1"/>
  <c r="O570" i="1"/>
  <c r="N572" i="1"/>
  <c r="P572" i="1" s="1"/>
  <c r="O572" i="1"/>
  <c r="N576" i="1"/>
  <c r="P576" i="1" s="1"/>
  <c r="O576" i="1"/>
  <c r="N580" i="1"/>
  <c r="P580" i="1" s="1"/>
  <c r="O580" i="1"/>
  <c r="N588" i="1"/>
  <c r="P588" i="1" s="1"/>
  <c r="O588" i="1"/>
  <c r="N593" i="1"/>
  <c r="P593" i="1" s="1"/>
  <c r="O593" i="1"/>
  <c r="N594" i="1"/>
  <c r="P594" i="1" s="1"/>
  <c r="O594" i="1"/>
  <c r="N596" i="1"/>
  <c r="P596" i="1" s="1"/>
  <c r="O596" i="1"/>
  <c r="N597" i="1"/>
  <c r="P597" i="1" s="1"/>
  <c r="O597" i="1"/>
  <c r="N598" i="1"/>
  <c r="P598" i="1" s="1"/>
  <c r="O598" i="1"/>
  <c r="N604" i="1"/>
  <c r="P604" i="1" s="1"/>
  <c r="O604" i="1"/>
  <c r="N610" i="1"/>
  <c r="P610" i="1" s="1"/>
  <c r="O610" i="1"/>
  <c r="N613" i="1"/>
  <c r="P613" i="1" s="1"/>
  <c r="O613" i="1"/>
  <c r="N618" i="1"/>
  <c r="P618" i="1" s="1"/>
  <c r="O618" i="1"/>
  <c r="N619" i="1"/>
  <c r="P619" i="1" s="1"/>
  <c r="O619" i="1"/>
  <c r="N620" i="1"/>
  <c r="P620" i="1" s="1"/>
  <c r="O620" i="1"/>
  <c r="N623" i="1"/>
  <c r="P623" i="1" s="1"/>
  <c r="O623" i="1"/>
  <c r="N624" i="1"/>
  <c r="P624" i="1" s="1"/>
  <c r="O624" i="1"/>
  <c r="N626" i="1"/>
  <c r="P626" i="1" s="1"/>
  <c r="O626" i="1"/>
  <c r="N629" i="1"/>
  <c r="P629" i="1" s="1"/>
  <c r="O629" i="1"/>
  <c r="N643" i="1"/>
  <c r="P643" i="1" s="1"/>
  <c r="O643" i="1"/>
  <c r="N654" i="1"/>
  <c r="P654" i="1" s="1"/>
  <c r="O654" i="1"/>
  <c r="N658" i="1"/>
  <c r="P658" i="1" s="1"/>
  <c r="O658" i="1"/>
  <c r="N734" i="1"/>
  <c r="P734" i="1" s="1"/>
  <c r="O734" i="1"/>
  <c r="N737" i="1"/>
  <c r="P737" i="1" s="1"/>
  <c r="O737" i="1"/>
  <c r="N738" i="1"/>
  <c r="P738" i="1" s="1"/>
  <c r="O738" i="1"/>
  <c r="N739" i="1"/>
  <c r="P739" i="1" s="1"/>
  <c r="O739" i="1"/>
  <c r="N740" i="1"/>
  <c r="P740" i="1" s="1"/>
  <c r="O740" i="1"/>
  <c r="N748" i="1"/>
  <c r="P748" i="1" s="1"/>
  <c r="O748" i="1"/>
  <c r="N947" i="1"/>
  <c r="P947" i="1" s="1"/>
  <c r="O947" i="1"/>
  <c r="N950" i="1"/>
  <c r="P950" i="1" s="1"/>
  <c r="O950" i="1"/>
  <c r="N952" i="1"/>
  <c r="P952" i="1" s="1"/>
  <c r="O952" i="1"/>
  <c r="N957" i="1"/>
  <c r="P957" i="1" s="1"/>
  <c r="O957" i="1"/>
  <c r="N959" i="1"/>
  <c r="P959" i="1" s="1"/>
  <c r="O959" i="1"/>
  <c r="N962" i="1"/>
  <c r="P962" i="1" s="1"/>
  <c r="O962" i="1"/>
  <c r="N969" i="1"/>
  <c r="P969" i="1" s="1"/>
  <c r="O969" i="1"/>
  <c r="N970" i="1"/>
  <c r="P970" i="1" s="1"/>
  <c r="O970" i="1"/>
  <c r="N972" i="1"/>
  <c r="P972" i="1" s="1"/>
  <c r="O972" i="1"/>
  <c r="N973" i="1"/>
  <c r="P973" i="1" s="1"/>
  <c r="O973" i="1"/>
  <c r="N978" i="1"/>
  <c r="P978" i="1" s="1"/>
  <c r="O978" i="1"/>
  <c r="N980" i="1"/>
  <c r="P980" i="1" s="1"/>
  <c r="O980" i="1"/>
  <c r="N988" i="1"/>
  <c r="P988" i="1" s="1"/>
  <c r="O988" i="1"/>
  <c r="N989" i="1"/>
  <c r="P989" i="1" s="1"/>
  <c r="O989" i="1"/>
  <c r="N990" i="1"/>
  <c r="P990" i="1" s="1"/>
  <c r="O990" i="1"/>
  <c r="N993" i="1"/>
  <c r="P993" i="1" s="1"/>
  <c r="O993" i="1"/>
  <c r="N995" i="1"/>
  <c r="P995" i="1" s="1"/>
  <c r="O995" i="1"/>
  <c r="N1001" i="1"/>
  <c r="P1001" i="1" s="1"/>
  <c r="O1001" i="1"/>
  <c r="N1004" i="1"/>
  <c r="P1004" i="1" s="1"/>
  <c r="O1004" i="1"/>
  <c r="N1008" i="1"/>
  <c r="P1008" i="1" s="1"/>
  <c r="O1008" i="1"/>
  <c r="N1012" i="1"/>
  <c r="P1012" i="1" s="1"/>
  <c r="O1012" i="1"/>
  <c r="N1014" i="1"/>
  <c r="P1014" i="1" s="1"/>
  <c r="O1014" i="1"/>
  <c r="N1016" i="1"/>
  <c r="P1016" i="1" s="1"/>
  <c r="O1016" i="1"/>
  <c r="N1017" i="1"/>
  <c r="P1017" i="1" s="1"/>
  <c r="O1017" i="1"/>
  <c r="N1018" i="1"/>
  <c r="P1018" i="1" s="1"/>
  <c r="O1018" i="1"/>
  <c r="N1021" i="1"/>
  <c r="P1021" i="1" s="1"/>
  <c r="O1021" i="1"/>
  <c r="N1027" i="1"/>
  <c r="P1027" i="1" s="1"/>
  <c r="O1027" i="1"/>
  <c r="N1033" i="1"/>
  <c r="P1033" i="1" s="1"/>
  <c r="O1033" i="1"/>
  <c r="N1034" i="1"/>
  <c r="P1034" i="1" s="1"/>
  <c r="O1034" i="1"/>
  <c r="N1035" i="1"/>
  <c r="P1035" i="1" s="1"/>
  <c r="O1035" i="1"/>
  <c r="N1041" i="1"/>
  <c r="P1041" i="1" s="1"/>
  <c r="O1041" i="1"/>
  <c r="N1044" i="1"/>
  <c r="P1044" i="1" s="1"/>
  <c r="O1044" i="1"/>
  <c r="N1046" i="1"/>
  <c r="P1046" i="1" s="1"/>
  <c r="O1046" i="1"/>
  <c r="N1052" i="1"/>
  <c r="P1052" i="1" s="1"/>
  <c r="O1052" i="1"/>
  <c r="N1055" i="1"/>
  <c r="P1055" i="1" s="1"/>
  <c r="O1055" i="1"/>
  <c r="N1056" i="1"/>
  <c r="P1056" i="1" s="1"/>
  <c r="O1056" i="1"/>
  <c r="N1059" i="1"/>
  <c r="P1059" i="1" s="1"/>
  <c r="O1059" i="1"/>
  <c r="N1060" i="1"/>
  <c r="P1060" i="1" s="1"/>
  <c r="O1060" i="1"/>
  <c r="N1062" i="1"/>
  <c r="P1062" i="1" s="1"/>
  <c r="O1062" i="1"/>
  <c r="N1067" i="1"/>
  <c r="P1067" i="1" s="1"/>
  <c r="O1067" i="1"/>
  <c r="N1069" i="1"/>
  <c r="P1069" i="1" s="1"/>
  <c r="O1069" i="1"/>
  <c r="N1071" i="1"/>
  <c r="P1071" i="1" s="1"/>
  <c r="O1071" i="1"/>
  <c r="N1072" i="1"/>
  <c r="P1072" i="1" s="1"/>
  <c r="O1072" i="1"/>
  <c r="N1076" i="1"/>
  <c r="P1076" i="1" s="1"/>
  <c r="O1076" i="1"/>
  <c r="N1082" i="1"/>
  <c r="P1082" i="1" s="1"/>
  <c r="O1082" i="1"/>
  <c r="N1084" i="1"/>
  <c r="P1084" i="1" s="1"/>
  <c r="O1084" i="1"/>
  <c r="N1090" i="1"/>
  <c r="P1090" i="1" s="1"/>
  <c r="O1090" i="1"/>
  <c r="N1091" i="1"/>
  <c r="P1091" i="1" s="1"/>
  <c r="O1091" i="1"/>
  <c r="N1096" i="1"/>
  <c r="P1096" i="1" s="1"/>
  <c r="O1096" i="1"/>
  <c r="N1097" i="1"/>
  <c r="P1097" i="1" s="1"/>
  <c r="O1097" i="1"/>
  <c r="N1100" i="1"/>
  <c r="P1100" i="1" s="1"/>
  <c r="O1100" i="1"/>
  <c r="N1105" i="1"/>
  <c r="P1105" i="1" s="1"/>
  <c r="O1105" i="1"/>
  <c r="N1106" i="1"/>
  <c r="P1106" i="1" s="1"/>
  <c r="O1106" i="1"/>
  <c r="N1107" i="1"/>
  <c r="P1107" i="1" s="1"/>
  <c r="O1107" i="1"/>
  <c r="N1463" i="1"/>
  <c r="P1463" i="1" s="1"/>
  <c r="O1463" i="1"/>
  <c r="N1464" i="1"/>
  <c r="P1464" i="1" s="1"/>
  <c r="O1464" i="1"/>
  <c r="N1466" i="1"/>
  <c r="P1466" i="1" s="1"/>
  <c r="O1466" i="1"/>
  <c r="N1468" i="1"/>
  <c r="P1468" i="1" s="1"/>
  <c r="O1468" i="1"/>
  <c r="N1470" i="1"/>
  <c r="P1470" i="1" s="1"/>
  <c r="O1470" i="1"/>
  <c r="N1471" i="1"/>
  <c r="P1471" i="1" s="1"/>
  <c r="O1471" i="1"/>
  <c r="N1474" i="1"/>
  <c r="P1474" i="1" s="1"/>
  <c r="O1474" i="1"/>
  <c r="N1476" i="1"/>
  <c r="P1476" i="1" s="1"/>
  <c r="O1476" i="1"/>
  <c r="N1478" i="1"/>
  <c r="P1478" i="1" s="1"/>
  <c r="O1478" i="1"/>
  <c r="N1479" i="1"/>
  <c r="P1479" i="1" s="1"/>
  <c r="O1479" i="1"/>
  <c r="N1480" i="1"/>
  <c r="P1480" i="1" s="1"/>
  <c r="O1480" i="1"/>
  <c r="N1481" i="1"/>
  <c r="P1481" i="1" s="1"/>
  <c r="O1481" i="1"/>
  <c r="N1482" i="1"/>
  <c r="P1482" i="1" s="1"/>
  <c r="O1482" i="1"/>
  <c r="N1483" i="1"/>
  <c r="P1483" i="1" s="1"/>
  <c r="O1483" i="1"/>
  <c r="N1484" i="1"/>
  <c r="P1484" i="1" s="1"/>
  <c r="O1484" i="1"/>
  <c r="N1485" i="1"/>
  <c r="P1485" i="1" s="1"/>
  <c r="O1485" i="1"/>
  <c r="N1489" i="1"/>
  <c r="P1489" i="1" s="1"/>
  <c r="O1489" i="1"/>
  <c r="N1490" i="1"/>
  <c r="P1490" i="1" s="1"/>
  <c r="O1490" i="1"/>
  <c r="N1491" i="1"/>
  <c r="P1491" i="1" s="1"/>
  <c r="O1491" i="1"/>
  <c r="N1497" i="1"/>
  <c r="P1497" i="1" s="1"/>
  <c r="O1497" i="1"/>
  <c r="N1499" i="1"/>
  <c r="P1499" i="1" s="1"/>
  <c r="O1499" i="1"/>
  <c r="N1500" i="1"/>
  <c r="P1500" i="1" s="1"/>
  <c r="O1500" i="1"/>
  <c r="N1501" i="1"/>
  <c r="P1501" i="1" s="1"/>
  <c r="O1501" i="1"/>
  <c r="N2" i="1"/>
  <c r="P2" i="1" s="1"/>
  <c r="O2" i="1"/>
  <c r="N3" i="1"/>
  <c r="N7" i="1"/>
  <c r="N10" i="1"/>
  <c r="N14" i="1"/>
  <c r="N23" i="1"/>
  <c r="N27" i="1"/>
  <c r="N34" i="1"/>
  <c r="N35" i="1"/>
  <c r="N39" i="1"/>
  <c r="N40" i="1"/>
  <c r="N43" i="1"/>
  <c r="N46" i="1"/>
  <c r="N47" i="1"/>
  <c r="N55" i="1"/>
  <c r="N56" i="1"/>
  <c r="N61" i="1"/>
  <c r="N62" i="1"/>
  <c r="N63" i="1"/>
  <c r="N67" i="1"/>
  <c r="N72" i="1"/>
  <c r="N77" i="1"/>
  <c r="N83" i="1"/>
  <c r="N86" i="1"/>
  <c r="N87" i="1"/>
  <c r="N88" i="1"/>
  <c r="N90" i="1"/>
  <c r="N92" i="1"/>
  <c r="N94" i="1"/>
  <c r="N95" i="1"/>
  <c r="N99" i="1"/>
  <c r="N103" i="1"/>
  <c r="N107" i="1"/>
  <c r="N111" i="1"/>
  <c r="N112" i="1"/>
  <c r="N114" i="1"/>
  <c r="N117" i="1"/>
  <c r="N118" i="1"/>
  <c r="N120" i="1"/>
  <c r="N121" i="1"/>
  <c r="N125" i="1"/>
  <c r="N130" i="1"/>
  <c r="N131" i="1"/>
  <c r="N134" i="1"/>
  <c r="N135" i="1"/>
  <c r="N137" i="1"/>
  <c r="N148" i="1"/>
  <c r="N151" i="1"/>
  <c r="N154" i="1"/>
  <c r="N155" i="1"/>
  <c r="N156" i="1"/>
  <c r="N160" i="1"/>
  <c r="N163" i="1"/>
  <c r="N165" i="1"/>
  <c r="N167" i="1"/>
  <c r="N168" i="1"/>
  <c r="N173" i="1"/>
  <c r="N175" i="1"/>
  <c r="N179" i="1"/>
  <c r="N180" i="1"/>
  <c r="N183" i="1"/>
  <c r="N188" i="1"/>
  <c r="N189" i="1"/>
  <c r="N190" i="1"/>
  <c r="N191" i="1"/>
  <c r="N192" i="1"/>
  <c r="N194" i="1"/>
  <c r="N197" i="1"/>
  <c r="N200" i="1"/>
  <c r="N202" i="1"/>
  <c r="N206" i="1"/>
  <c r="N207" i="1"/>
  <c r="N210" i="1"/>
  <c r="N214" i="1"/>
  <c r="N215" i="1"/>
  <c r="N216" i="1"/>
  <c r="N217" i="1"/>
  <c r="N222" i="1"/>
  <c r="N223" i="1"/>
  <c r="N224" i="1"/>
  <c r="N226" i="1"/>
  <c r="N228" i="1"/>
  <c r="N232" i="1"/>
  <c r="N245" i="1"/>
  <c r="N251" i="1"/>
  <c r="N252" i="1"/>
  <c r="N255" i="1"/>
  <c r="N259" i="1"/>
  <c r="N260" i="1"/>
  <c r="N265" i="1"/>
  <c r="N266" i="1"/>
  <c r="N271" i="1"/>
  <c r="N279" i="1"/>
  <c r="N280" i="1"/>
  <c r="N281" i="1"/>
  <c r="N282" i="1"/>
  <c r="N285" i="1"/>
  <c r="N290" i="1"/>
  <c r="N299" i="1"/>
  <c r="N300" i="1"/>
  <c r="N303" i="1"/>
  <c r="N323" i="1"/>
  <c r="N325" i="1"/>
  <c r="N327" i="1"/>
  <c r="N332" i="1"/>
  <c r="N342" i="1"/>
  <c r="N347" i="1"/>
  <c r="N348" i="1"/>
  <c r="N352" i="1"/>
  <c r="N377" i="1"/>
  <c r="N754" i="1"/>
  <c r="N755" i="1"/>
  <c r="N757" i="1"/>
  <c r="N759" i="1"/>
  <c r="N761" i="1"/>
  <c r="N770" i="1"/>
  <c r="N771" i="1"/>
  <c r="N779" i="1"/>
  <c r="N781" i="1"/>
  <c r="N783" i="1"/>
  <c r="N786" i="1"/>
  <c r="N794" i="1"/>
  <c r="N795" i="1"/>
  <c r="N797" i="1"/>
  <c r="N802" i="1"/>
  <c r="N803" i="1"/>
  <c r="N806" i="1"/>
  <c r="N808" i="1"/>
  <c r="N810" i="1"/>
  <c r="N814" i="1"/>
  <c r="N816" i="1"/>
  <c r="N819" i="1"/>
  <c r="N827" i="1"/>
  <c r="N832" i="1"/>
  <c r="N833" i="1"/>
  <c r="N838" i="1"/>
  <c r="N841" i="1"/>
  <c r="N853" i="1"/>
  <c r="N865" i="1"/>
  <c r="N869" i="1"/>
  <c r="N870" i="1"/>
  <c r="N873" i="1"/>
  <c r="N891" i="1"/>
  <c r="N893" i="1"/>
  <c r="N901" i="1"/>
  <c r="N903" i="1"/>
  <c r="N904" i="1"/>
  <c r="N921" i="1"/>
  <c r="N922" i="1"/>
  <c r="N923" i="1"/>
  <c r="N927" i="1"/>
  <c r="N928" i="1"/>
  <c r="N931" i="1"/>
  <c r="N934" i="1"/>
  <c r="N936" i="1"/>
  <c r="N938" i="1"/>
  <c r="N940" i="1"/>
  <c r="N941" i="1"/>
  <c r="N945" i="1"/>
  <c r="G4" i="6" l="1"/>
  <c r="W22" i="1"/>
  <c r="P3" i="1"/>
  <c r="P7" i="1"/>
  <c r="P10" i="1"/>
  <c r="P14" i="1"/>
  <c r="P23" i="1"/>
  <c r="P27" i="1"/>
  <c r="P34" i="1"/>
  <c r="P35" i="1"/>
  <c r="P39" i="1"/>
  <c r="P40" i="1"/>
  <c r="P43" i="1"/>
  <c r="P46" i="1"/>
  <c r="P47" i="1"/>
  <c r="P55" i="1"/>
  <c r="P56" i="1"/>
  <c r="P61" i="1"/>
  <c r="P62" i="1"/>
  <c r="P63" i="1"/>
  <c r="P67" i="1"/>
  <c r="P72" i="1"/>
  <c r="P77" i="1"/>
  <c r="P83" i="1"/>
  <c r="P86" i="1"/>
  <c r="P87" i="1"/>
  <c r="P88" i="1"/>
  <c r="P90" i="1"/>
  <c r="P92" i="1"/>
  <c r="P94" i="1"/>
  <c r="P95" i="1"/>
  <c r="P99" i="1"/>
  <c r="P103" i="1"/>
  <c r="P107" i="1"/>
  <c r="P111" i="1"/>
  <c r="P112" i="1"/>
  <c r="P114" i="1"/>
  <c r="P117" i="1"/>
  <c r="P118" i="1"/>
  <c r="P120" i="1"/>
  <c r="P121" i="1"/>
  <c r="P125" i="1"/>
  <c r="P130" i="1"/>
  <c r="P131" i="1"/>
  <c r="P134" i="1"/>
  <c r="P135" i="1"/>
  <c r="P137" i="1"/>
  <c r="P148" i="1"/>
  <c r="P151" i="1"/>
  <c r="P154" i="1"/>
  <c r="P155" i="1"/>
  <c r="P156" i="1"/>
  <c r="P160" i="1"/>
  <c r="P163" i="1"/>
  <c r="P165" i="1"/>
  <c r="P167" i="1"/>
  <c r="P168" i="1"/>
  <c r="P173" i="1"/>
  <c r="P175" i="1"/>
  <c r="P179" i="1"/>
  <c r="P180" i="1"/>
  <c r="P183" i="1"/>
  <c r="P188" i="1"/>
  <c r="P189" i="1"/>
  <c r="P190" i="1"/>
  <c r="P191" i="1"/>
  <c r="P192" i="1"/>
  <c r="P194" i="1"/>
  <c r="P197" i="1"/>
  <c r="P200" i="1"/>
  <c r="P202" i="1"/>
  <c r="P206" i="1"/>
  <c r="P207" i="1"/>
  <c r="P210" i="1"/>
  <c r="P214" i="1"/>
  <c r="P215" i="1"/>
  <c r="P216" i="1"/>
  <c r="P217" i="1"/>
  <c r="P222" i="1"/>
  <c r="P223" i="1"/>
  <c r="P224" i="1"/>
  <c r="P226" i="1"/>
  <c r="P228" i="1"/>
  <c r="P232" i="1"/>
  <c r="P245" i="1"/>
  <c r="P251" i="1"/>
  <c r="P252" i="1"/>
  <c r="P255" i="1"/>
  <c r="P259" i="1"/>
  <c r="P260" i="1"/>
  <c r="P265" i="1"/>
  <c r="P266" i="1"/>
  <c r="P271" i="1"/>
  <c r="P279" i="1"/>
  <c r="P280" i="1"/>
  <c r="P281" i="1"/>
  <c r="P282" i="1"/>
  <c r="P285" i="1"/>
  <c r="P290" i="1"/>
  <c r="P299" i="1"/>
  <c r="P300" i="1"/>
  <c r="P303" i="1"/>
  <c r="P323" i="1"/>
  <c r="P325" i="1"/>
  <c r="P327" i="1"/>
  <c r="P332" i="1"/>
  <c r="P342" i="1"/>
  <c r="P347" i="1"/>
  <c r="P348" i="1"/>
  <c r="P352" i="1"/>
  <c r="P377" i="1"/>
  <c r="P754" i="1"/>
  <c r="P755" i="1"/>
  <c r="P757" i="1"/>
  <c r="P759" i="1"/>
  <c r="P761" i="1"/>
  <c r="P770" i="1"/>
  <c r="P771" i="1"/>
  <c r="P779" i="1"/>
  <c r="P781" i="1"/>
  <c r="P783" i="1"/>
  <c r="P786" i="1"/>
  <c r="P794" i="1"/>
  <c r="P795" i="1"/>
  <c r="P797" i="1"/>
  <c r="P802" i="1"/>
  <c r="P803" i="1"/>
  <c r="P806" i="1"/>
  <c r="P808" i="1"/>
  <c r="P810" i="1"/>
  <c r="P814" i="1"/>
  <c r="P816" i="1"/>
  <c r="P819" i="1"/>
  <c r="P827" i="1"/>
  <c r="P832" i="1"/>
  <c r="P833" i="1"/>
  <c r="P838" i="1"/>
  <c r="P841" i="1"/>
  <c r="P853" i="1"/>
  <c r="P865" i="1"/>
  <c r="P869" i="1"/>
  <c r="P870" i="1"/>
  <c r="P873" i="1"/>
  <c r="P891" i="1"/>
  <c r="P893" i="1"/>
  <c r="P901" i="1"/>
  <c r="P903" i="1"/>
  <c r="P904" i="1"/>
  <c r="P921" i="1"/>
  <c r="P922" i="1"/>
  <c r="P923" i="1"/>
  <c r="P927" i="1"/>
  <c r="P928" i="1"/>
  <c r="P931" i="1"/>
  <c r="P934" i="1"/>
  <c r="P936" i="1"/>
  <c r="P938" i="1"/>
  <c r="P940" i="1"/>
  <c r="P941" i="1"/>
  <c r="P945" i="1"/>
  <c r="P1502" i="1" l="1"/>
</calcChain>
</file>

<file path=xl/sharedStrings.xml><?xml version="1.0" encoding="utf-8"?>
<sst xmlns="http://schemas.openxmlformats.org/spreadsheetml/2006/main" count="81" uniqueCount="56">
  <si>
    <t>Age</t>
  </si>
  <si>
    <t>Gender</t>
  </si>
  <si>
    <t>EducationLevel</t>
  </si>
  <si>
    <t>ExperienceYears</t>
  </si>
  <si>
    <t>PreviousCompanies</t>
  </si>
  <si>
    <t>DistanceFromCompany</t>
  </si>
  <si>
    <t>InterviewScore</t>
  </si>
  <si>
    <t>SkillScore</t>
  </si>
  <si>
    <t>PersonalityScore</t>
  </si>
  <si>
    <t>RecruitmentStrategy</t>
  </si>
  <si>
    <t>HiringDecision</t>
  </si>
  <si>
    <t>Application_Date</t>
  </si>
  <si>
    <t>Offer_Date</t>
  </si>
  <si>
    <t>Join_Date</t>
  </si>
  <si>
    <t>Days_to_offer</t>
  </si>
  <si>
    <t>Days_to_Join</t>
  </si>
  <si>
    <t>Funnel_Stage_Drop</t>
  </si>
  <si>
    <t>Row Labels</t>
  </si>
  <si>
    <t>Dropped at Interview</t>
  </si>
  <si>
    <t>Dropped at Offer</t>
  </si>
  <si>
    <t>Dropped at Screening</t>
  </si>
  <si>
    <t>Joined</t>
  </si>
  <si>
    <t>Grand Total</t>
  </si>
  <si>
    <t>Count of Age</t>
  </si>
  <si>
    <t>Stage</t>
  </si>
  <si>
    <t>Count</t>
  </si>
  <si>
    <t>Col V</t>
  </si>
  <si>
    <t>Col W</t>
  </si>
  <si>
    <t>Col X</t>
  </si>
  <si>
    <t>% of Total</t>
  </si>
  <si>
    <t>Source</t>
  </si>
  <si>
    <t>Total Apps</t>
  </si>
  <si>
    <t>Hires</t>
  </si>
  <si>
    <t>Hire Rate %</t>
  </si>
  <si>
    <t>LinkedIn (1)</t>
  </si>
  <si>
    <t>Referral (2)</t>
  </si>
  <si>
    <t>Job Board (3)</t>
  </si>
  <si>
    <t>Month</t>
  </si>
  <si>
    <t>Feb-2024</t>
  </si>
  <si>
    <t>Jan-2024</t>
  </si>
  <si>
    <t>Average of Days_to_offer</t>
  </si>
  <si>
    <t>Total Pipeline</t>
  </si>
  <si>
    <t>Open Rate %</t>
  </si>
  <si>
    <t>Avg Interview Score</t>
  </si>
  <si>
    <t>LinkedIn</t>
  </si>
  <si>
    <t>Referral</t>
  </si>
  <si>
    <t>Job Board</t>
  </si>
  <si>
    <t>KPI</t>
  </si>
  <si>
    <t>Formula</t>
  </si>
  <si>
    <t>Offer-to-Join Rate %</t>
  </si>
  <si>
    <t>Avg Days to Offer</t>
  </si>
  <si>
    <t>Avg Interview Score (Hired)</t>
  </si>
  <si>
    <t>Candidates</t>
  </si>
  <si>
    <t>Column Labels</t>
  </si>
  <si>
    <t>Recruitment Analytics Dashboard</t>
  </si>
  <si>
    <t>Offer-to-Join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</si>
</sst>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yyyy/mm/dd;@"/>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10"/>
      <color theme="1"/>
      <name val="Arial Unicode MS"/>
    </font>
    <font>
      <b/>
      <sz val="20"/>
      <color rgb="FF0070C0"/>
      <name val="Courier New"/>
      <family val="3"/>
    </font>
    <font>
      <sz val="10"/>
      <color theme="1"/>
      <name val="Courier New"/>
      <family val="3"/>
    </font>
    <font>
      <b/>
      <sz val="10"/>
      <color theme="1"/>
      <name val="Courier New"/>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2F2F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rgb="FFDDDDDD"/>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4" borderId="11" xfId="0" applyFont="1" applyFill="1" applyBorder="1" applyAlignment="1">
      <alignment horizontal="left" vertical="center" wrapText="1"/>
    </xf>
    <xf numFmtId="0" fontId="19" fillId="0" borderId="11" xfId="0" applyFont="1" applyBorder="1" applyAlignment="1">
      <alignment horizontal="left" vertical="center" wrapText="1"/>
    </xf>
    <xf numFmtId="0" fontId="20" fillId="0" borderId="11" xfId="0" applyFont="1" applyBorder="1" applyAlignment="1">
      <alignment horizontal="left" vertical="center" wrapText="1"/>
    </xf>
    <xf numFmtId="0" fontId="0" fillId="0" borderId="0" xfId="0" applyAlignment="1">
      <alignment horizontal="left" wrapText="1"/>
    </xf>
    <xf numFmtId="0" fontId="0" fillId="0" borderId="0" xfId="0" pivotButton="1" applyAlignment="1">
      <alignment horizontal="fill" wrapText="1"/>
    </xf>
    <xf numFmtId="2" fontId="20" fillId="0" borderId="11" xfId="0" applyNumberFormat="1" applyFont="1" applyBorder="1" applyAlignment="1">
      <alignment horizontal="left" vertical="center" wrapText="1"/>
    </xf>
    <xf numFmtId="0" fontId="21" fillId="0" borderId="0" xfId="0" applyFont="1"/>
    <xf numFmtId="0" fontId="16" fillId="33" borderId="10" xfId="0" applyFont="1" applyFill="1" applyBorder="1" applyAlignment="1">
      <alignment horizontal="left"/>
    </xf>
    <xf numFmtId="0" fontId="16" fillId="33" borderId="10" xfId="0" applyNumberFormat="1" applyFont="1" applyFill="1" applyBorder="1"/>
    <xf numFmtId="0" fontId="22" fillId="0" borderId="0" xfId="0" applyFont="1"/>
    <xf numFmtId="0" fontId="23" fillId="0" borderId="0" xfId="0" applyFont="1"/>
    <xf numFmtId="0" fontId="22"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alignment wrapText="1"/>
    </dxf>
    <dxf>
      <alignment horizontal="fill" wrapText="1"/>
    </dxf>
    <dxf>
      <alignment wrapText="1"/>
    </dxf>
    <dxf>
      <alignment horizontal="fill" wrapText="1"/>
    </dxf>
    <dxf>
      <alignment wrapText="1"/>
    </dxf>
    <dxf>
      <alignment horizontal="fill" wrapText="1"/>
    </dxf>
    <dxf>
      <alignment wrapText="1"/>
    </dxf>
    <dxf>
      <alignment horizontal="fill" wrapText="1"/>
    </dxf>
    <dxf>
      <alignment wrapText="1"/>
    </dxf>
    <dxf>
      <alignment horizontal="fill" wrapText="1"/>
    </dxf>
    <dxf>
      <alignment wrapText="1"/>
    </dxf>
    <dxf>
      <alignment horizontal="fill" wrapText="1"/>
    </dxf>
    <dxf>
      <fill>
        <patternFill>
          <bgColor theme="9"/>
        </patternFill>
      </fill>
    </dxf>
    <dxf>
      <font>
        <color rgb="FF9C0006"/>
      </font>
      <fill>
        <patternFill>
          <bgColor rgb="FFFFC7CE"/>
        </patternFill>
      </fill>
    </dxf>
    <dxf>
      <font>
        <color rgb="FF9C0006"/>
      </font>
      <fill>
        <patternFill>
          <bgColor rgb="FFFFC7CE"/>
        </patternFill>
      </fill>
    </dxf>
    <dxf>
      <alignment wrapText="1"/>
    </dxf>
    <dxf>
      <alignment horizontal="fill" wrapText="1"/>
    </dxf>
    <dxf>
      <numFmt numFmtId="2" formatCode="0.00"/>
    </dxf>
    <dxf>
      <numFmt numFmtId="2" formatCode="0.00"/>
    </dxf>
    <dxf>
      <numFmt numFmtId="19" formatCode="dd/mm/yyyy"/>
    </dxf>
    <dxf>
      <numFmt numFmtId="19" formatCode="dd/mm/yyyy"/>
    </dxf>
    <dxf>
      <numFmt numFmtId="19" formatCode="dd/mm/yyyy"/>
    </dxf>
    <dxf>
      <numFmt numFmtId="19" formatCode="dd/mm/yyyy"/>
    </dxf>
    <dxf>
      <numFmt numFmtId="19" formatCode="dd/mm/yyyy"/>
    </dxf>
    <dxf>
      <numFmt numFmtId="2" formatCode="0.00"/>
    </dxf>
    <dxf>
      <numFmt numFmtId="2" formatCode="0.00"/>
    </dxf>
    <dxf>
      <numFmt numFmtId="19" formatCode="dd/mm/yyyy"/>
    </dxf>
    <dxf>
      <numFmt numFmtId="19" formatCode="dd/mm/yyyy"/>
    </dxf>
    <dxf>
      <numFmt numFmtId="19" formatCode="dd/mm/yyyy"/>
    </dxf>
    <dxf>
      <alignment horizontal="fill"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[recruitment_data.xlsx]PivotData!PivotTable9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49759405074368"/>
          <c:y val="0.16101633129192183"/>
          <c:w val="0.42569685039370081"/>
          <c:h val="0.75010279965004378"/>
        </c:manualLayout>
      </c:layout>
      <c:barChart>
        <c:barDir val="bar"/>
        <c:grouping val="clustered"/>
        <c:varyColors val="0"/>
        <c:ser>
          <c:idx val="0"/>
          <c:order val="0"/>
          <c:tx>
            <c:strRef>
              <c:f>PivotData!$F$1:$F$2</c:f>
              <c:strCache>
                <c:ptCount val="1"/>
                <c:pt idx="0">
                  <c:v>0</c:v>
                </c:pt>
              </c:strCache>
            </c:strRef>
          </c:tx>
          <c:spPr>
            <a:solidFill>
              <a:schemeClr val="accent1"/>
            </a:solidFill>
            <a:ln>
              <a:noFill/>
            </a:ln>
            <a:effectLst/>
          </c:spPr>
          <c:invertIfNegative val="0"/>
          <c:cat>
            <c:strRef>
              <c:f>PivotData!$E$3:$E$6</c:f>
              <c:strCache>
                <c:ptCount val="3"/>
                <c:pt idx="0">
                  <c:v>1</c:v>
                </c:pt>
                <c:pt idx="1">
                  <c:v>2</c:v>
                </c:pt>
                <c:pt idx="2">
                  <c:v>3</c:v>
                </c:pt>
              </c:strCache>
            </c:strRef>
          </c:cat>
          <c:val>
            <c:numRef>
              <c:f>PivotData!$F$3:$F$6</c:f>
              <c:numCache>
                <c:formatCode>General</c:formatCode>
                <c:ptCount val="3"/>
                <c:pt idx="0">
                  <c:v>126</c:v>
                </c:pt>
                <c:pt idx="1">
                  <c:v>665</c:v>
                </c:pt>
                <c:pt idx="2">
                  <c:v>244</c:v>
                </c:pt>
              </c:numCache>
            </c:numRef>
          </c:val>
          <c:extLst>
            <c:ext xmlns:c16="http://schemas.microsoft.com/office/drawing/2014/chart" uri="{C3380CC4-5D6E-409C-BE32-E72D297353CC}">
              <c16:uniqueId val="{00000000-73EF-4CEF-8BDD-A117A29BE056}"/>
            </c:ext>
          </c:extLst>
        </c:ser>
        <c:ser>
          <c:idx val="1"/>
          <c:order val="1"/>
          <c:tx>
            <c:strRef>
              <c:f>PivotData!$G$1:$G$2</c:f>
              <c:strCache>
                <c:ptCount val="1"/>
                <c:pt idx="0">
                  <c:v>1</c:v>
                </c:pt>
              </c:strCache>
            </c:strRef>
          </c:tx>
          <c:spPr>
            <a:solidFill>
              <a:schemeClr val="accent2"/>
            </a:solidFill>
            <a:ln>
              <a:noFill/>
            </a:ln>
            <a:effectLst/>
          </c:spPr>
          <c:invertIfNegative val="0"/>
          <c:cat>
            <c:strRef>
              <c:f>PivotData!$E$3:$E$6</c:f>
              <c:strCache>
                <c:ptCount val="3"/>
                <c:pt idx="0">
                  <c:v>1</c:v>
                </c:pt>
                <c:pt idx="1">
                  <c:v>2</c:v>
                </c:pt>
                <c:pt idx="2">
                  <c:v>3</c:v>
                </c:pt>
              </c:strCache>
            </c:strRef>
          </c:cat>
          <c:val>
            <c:numRef>
              <c:f>PivotData!$G$3:$G$6</c:f>
              <c:numCache>
                <c:formatCode>General</c:formatCode>
                <c:ptCount val="3"/>
                <c:pt idx="0">
                  <c:v>319</c:v>
                </c:pt>
                <c:pt idx="1">
                  <c:v>105</c:v>
                </c:pt>
                <c:pt idx="2">
                  <c:v>41</c:v>
                </c:pt>
              </c:numCache>
            </c:numRef>
          </c:val>
          <c:extLst>
            <c:ext xmlns:c16="http://schemas.microsoft.com/office/drawing/2014/chart" uri="{C3380CC4-5D6E-409C-BE32-E72D297353CC}">
              <c16:uniqueId val="{00000001-73EF-4CEF-8BDD-A117A29BE056}"/>
            </c:ext>
          </c:extLst>
        </c:ser>
        <c:dLbls>
          <c:showLegendKey val="0"/>
          <c:showVal val="0"/>
          <c:showCatName val="0"/>
          <c:showSerName val="0"/>
          <c:showPercent val="0"/>
          <c:showBubbleSize val="0"/>
        </c:dLbls>
        <c:gapWidth val="182"/>
        <c:axId val="1880900208"/>
        <c:axId val="1880897808"/>
      </c:barChart>
      <c:catAx>
        <c:axId val="18809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97808"/>
        <c:crosses val="autoZero"/>
        <c:auto val="1"/>
        <c:lblAlgn val="ctr"/>
        <c:lblOffset val="100"/>
        <c:noMultiLvlLbl val="0"/>
      </c:catAx>
      <c:valAx>
        <c:axId val="1880897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90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[recruitment_data.xlsx]PivotData!PivotTable5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PivotData!$L$1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PivotData!$K$2:$K$4</c:f>
              <c:strCache>
                <c:ptCount val="2"/>
                <c:pt idx="0">
                  <c:v>Feb-2024</c:v>
                </c:pt>
                <c:pt idx="1">
                  <c:v>Jan-2024</c:v>
                </c:pt>
              </c:strCache>
            </c:strRef>
          </c:cat>
          <c:val>
            <c:numRef>
              <c:f>PivotData!$L$2:$L$4</c:f>
              <c:numCache>
                <c:formatCode>0.00</c:formatCode>
                <c:ptCount val="2"/>
                <c:pt idx="0">
                  <c:v>37.616457461645744</c:v>
                </c:pt>
                <c:pt idx="1">
                  <c:v>21.883780332056194</c:v>
                </c:pt>
              </c:numCache>
            </c:numRef>
          </c:val>
          <c:smooth val="0"/>
          <c:extLst>
            <c:ext xmlns:c16="http://schemas.microsoft.com/office/drawing/2014/chart" uri="{C3380CC4-5D6E-409C-BE32-E72D297353CC}">
              <c16:uniqueId val="{00000000-15FE-487B-A955-A18D84F35376}"/>
            </c:ext>
          </c:extLst>
        </c:ser>
        <c:dLbls>
          <c:showLegendKey val="0"/>
          <c:showVal val="0"/>
          <c:showCatName val="0"/>
          <c:showSerName val="0"/>
          <c:showPercent val="0"/>
          <c:showBubbleSize val="0"/>
        </c:dLbls>
        <c:marker val="1"/>
        <c:smooth val="0"/>
        <c:axId val="1710182464"/>
        <c:axId val="1710183904"/>
      </c:lineChart>
      <c:catAx>
        <c:axId val="17101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183904"/>
        <c:crosses val="autoZero"/>
        <c:auto val="1"/>
        <c:lblAlgn val="ctr"/>
        <c:lblOffset val="100"/>
        <c:noMultiLvlLbl val="0"/>
      </c:catAx>
      <c:valAx>
        <c:axId val="171018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1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Source Effectiveness: Applications vs Hires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recruitment_data!$W$10</c:f>
              <c:strCache>
                <c:ptCount val="1"/>
                <c:pt idx="0">
                  <c:v>LinkedIn (1)</c:v>
                </c:pt>
              </c:strCache>
            </c:strRef>
          </c:tx>
          <c:spPr>
            <a:solidFill>
              <a:schemeClr val="accent1"/>
            </a:solidFill>
            <a:ln>
              <a:noFill/>
            </a:ln>
            <a:effectLst/>
          </c:spPr>
          <c:invertIfNegative val="0"/>
          <c:cat>
            <c:strRef>
              <c:f>recruitment_data!$X$9:$Z$9</c:f>
              <c:strCache>
                <c:ptCount val="3"/>
                <c:pt idx="0">
                  <c:v>Total Apps</c:v>
                </c:pt>
                <c:pt idx="1">
                  <c:v>Hires</c:v>
                </c:pt>
                <c:pt idx="2">
                  <c:v>Hire Rate %</c:v>
                </c:pt>
              </c:strCache>
            </c:strRef>
          </c:cat>
          <c:val>
            <c:numRef>
              <c:f>recruitment_data!$X$10:$Z$10</c:f>
              <c:numCache>
                <c:formatCode>General</c:formatCode>
                <c:ptCount val="3"/>
                <c:pt idx="0">
                  <c:v>445</c:v>
                </c:pt>
                <c:pt idx="1">
                  <c:v>319</c:v>
                </c:pt>
                <c:pt idx="2">
                  <c:v>71.68539325842697</c:v>
                </c:pt>
              </c:numCache>
            </c:numRef>
          </c:val>
          <c:extLst>
            <c:ext xmlns:c16="http://schemas.microsoft.com/office/drawing/2014/chart" uri="{C3380CC4-5D6E-409C-BE32-E72D297353CC}">
              <c16:uniqueId val="{00000000-CD93-41E7-880D-775CE3AE57FD}"/>
            </c:ext>
          </c:extLst>
        </c:ser>
        <c:ser>
          <c:idx val="1"/>
          <c:order val="1"/>
          <c:tx>
            <c:strRef>
              <c:f>recruitment_data!$W$11</c:f>
              <c:strCache>
                <c:ptCount val="1"/>
                <c:pt idx="0">
                  <c:v>Referral (2)</c:v>
                </c:pt>
              </c:strCache>
            </c:strRef>
          </c:tx>
          <c:spPr>
            <a:solidFill>
              <a:schemeClr val="accent2"/>
            </a:solidFill>
            <a:ln>
              <a:noFill/>
            </a:ln>
            <a:effectLst/>
          </c:spPr>
          <c:invertIfNegative val="0"/>
          <c:cat>
            <c:strRef>
              <c:f>recruitment_data!$X$9:$Z$9</c:f>
              <c:strCache>
                <c:ptCount val="3"/>
                <c:pt idx="0">
                  <c:v>Total Apps</c:v>
                </c:pt>
                <c:pt idx="1">
                  <c:v>Hires</c:v>
                </c:pt>
                <c:pt idx="2">
                  <c:v>Hire Rate %</c:v>
                </c:pt>
              </c:strCache>
            </c:strRef>
          </c:cat>
          <c:val>
            <c:numRef>
              <c:f>recruitment_data!$X$11:$Z$11</c:f>
              <c:numCache>
                <c:formatCode>General</c:formatCode>
                <c:ptCount val="3"/>
                <c:pt idx="0">
                  <c:v>770</c:v>
                </c:pt>
                <c:pt idx="1">
                  <c:v>105</c:v>
                </c:pt>
                <c:pt idx="2">
                  <c:v>13.636363636363635</c:v>
                </c:pt>
              </c:numCache>
            </c:numRef>
          </c:val>
          <c:extLst>
            <c:ext xmlns:c16="http://schemas.microsoft.com/office/drawing/2014/chart" uri="{C3380CC4-5D6E-409C-BE32-E72D297353CC}">
              <c16:uniqueId val="{00000001-CD93-41E7-880D-775CE3AE57FD}"/>
            </c:ext>
          </c:extLst>
        </c:ser>
        <c:ser>
          <c:idx val="2"/>
          <c:order val="2"/>
          <c:tx>
            <c:strRef>
              <c:f>recruitment_data!$W$12</c:f>
              <c:strCache>
                <c:ptCount val="1"/>
                <c:pt idx="0">
                  <c:v>Job Board (3)</c:v>
                </c:pt>
              </c:strCache>
            </c:strRef>
          </c:tx>
          <c:spPr>
            <a:solidFill>
              <a:schemeClr val="accent3"/>
            </a:solidFill>
            <a:ln>
              <a:noFill/>
            </a:ln>
            <a:effectLst/>
          </c:spPr>
          <c:invertIfNegative val="0"/>
          <c:cat>
            <c:strRef>
              <c:f>recruitment_data!$X$9:$Z$9</c:f>
              <c:strCache>
                <c:ptCount val="3"/>
                <c:pt idx="0">
                  <c:v>Total Apps</c:v>
                </c:pt>
                <c:pt idx="1">
                  <c:v>Hires</c:v>
                </c:pt>
                <c:pt idx="2">
                  <c:v>Hire Rate %</c:v>
                </c:pt>
              </c:strCache>
            </c:strRef>
          </c:cat>
          <c:val>
            <c:numRef>
              <c:f>recruitment_data!$X$12:$Z$12</c:f>
              <c:numCache>
                <c:formatCode>General</c:formatCode>
                <c:ptCount val="3"/>
                <c:pt idx="0">
                  <c:v>285</c:v>
                </c:pt>
                <c:pt idx="1">
                  <c:v>41</c:v>
                </c:pt>
                <c:pt idx="2">
                  <c:v>14.385964912280702</c:v>
                </c:pt>
              </c:numCache>
            </c:numRef>
          </c:val>
          <c:extLst>
            <c:ext xmlns:c16="http://schemas.microsoft.com/office/drawing/2014/chart" uri="{C3380CC4-5D6E-409C-BE32-E72D297353CC}">
              <c16:uniqueId val="{00000002-CD93-41E7-880D-775CE3AE57FD}"/>
            </c:ext>
          </c:extLst>
        </c:ser>
        <c:dLbls>
          <c:showLegendKey val="0"/>
          <c:showVal val="0"/>
          <c:showCatName val="0"/>
          <c:showSerName val="0"/>
          <c:showPercent val="0"/>
          <c:showBubbleSize val="0"/>
        </c:dLbls>
        <c:gapWidth val="182"/>
        <c:axId val="1551574992"/>
        <c:axId val="1551591792"/>
      </c:barChart>
      <c:catAx>
        <c:axId val="155157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91792"/>
        <c:crosses val="autoZero"/>
        <c:auto val="1"/>
        <c:lblAlgn val="ctr"/>
        <c:lblOffset val="100"/>
        <c:noMultiLvlLbl val="0"/>
      </c:catAx>
      <c:valAx>
        <c:axId val="155159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74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3CBC96EF-9577-4276-9758-FC89F6CB617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data id="1">
      <cx:strDim type="cat">
        <cx:f>_xlchart.v2.4</cx:f>
      </cx:strDim>
      <cx:numDim type="val">
        <cx:f>_xlchart.v2.8</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Recruitment Funnel Drop-off Analysis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1CB1352E-7CF3-43D6-8726-AB579D0610DD}" formatIdx="0">
          <cx:tx>
            <cx:txData>
              <cx:f>_xlchart.v2.5</cx:f>
              <cx:v>Count</cx:v>
            </cx:txData>
          </cx:tx>
          <cx:dataLabels>
            <cx:visibility seriesName="0" categoryName="0" value="1"/>
          </cx:dataLabels>
          <cx:dataId val="0"/>
        </cx:series>
        <cx:series layoutId="funnel" hidden="1" uniqueId="{8B155860-8FAB-4A98-B614-126BF9644E61}" formatIdx="1">
          <cx:tx>
            <cx:txData>
              <cx:f>_xlchart.v2.7</cx:f>
              <cx:v>% of Total</cx:v>
            </cx:txData>
          </cx:tx>
          <cx:dataLabels>
            <cx:visibility seriesName="0" categoryName="0" value="1"/>
          </cx:dataLabels>
          <cx:dataId val="1"/>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121920</xdr:colOff>
      <xdr:row>7</xdr:row>
      <xdr:rowOff>28575</xdr:rowOff>
    </xdr:from>
    <xdr:to>
      <xdr:col>5</xdr:col>
      <xdr:colOff>407670</xdr:colOff>
      <xdr:row>22</xdr:row>
      <xdr:rowOff>0</xdr:rowOff>
    </xdr:to>
    <mc:AlternateContent xmlns:mc="http://schemas.openxmlformats.org/markup-compatibility/2006">
      <mc:Choice xmlns:cx2="http://schemas.microsoft.com/office/drawing/2015/10/21/chartex" Requires="cx2">
        <xdr:graphicFrame macro="">
          <xdr:nvGraphicFramePr>
            <xdr:cNvPr id="2" name="Chart 3">
              <a:extLst>
                <a:ext uri="{FF2B5EF4-FFF2-40B4-BE49-F238E27FC236}">
                  <a16:creationId xmlns:a16="http://schemas.microsoft.com/office/drawing/2014/main" id="{2763AB8C-E286-5848-659F-9CBAF2B505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920" y="1461135"/>
              <a:ext cx="3333750" cy="2714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89535</xdr:colOff>
      <xdr:row>7</xdr:row>
      <xdr:rowOff>28575</xdr:rowOff>
    </xdr:from>
    <xdr:to>
      <xdr:col>12</xdr:col>
      <xdr:colOff>335280</xdr:colOff>
      <xdr:row>22</xdr:row>
      <xdr:rowOff>0</xdr:rowOff>
    </xdr:to>
    <xdr:graphicFrame macro="">
      <xdr:nvGraphicFramePr>
        <xdr:cNvPr id="3" name="Chart 1">
          <a:extLst>
            <a:ext uri="{FF2B5EF4-FFF2-40B4-BE49-F238E27FC236}">
              <a16:creationId xmlns:a16="http://schemas.microsoft.com/office/drawing/2014/main" id="{2C90980A-79BC-332E-BD78-BCECA3A91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308610</xdr:colOff>
      <xdr:row>23</xdr:row>
      <xdr:rowOff>172720</xdr:rowOff>
    </xdr:from>
    <xdr:to>
      <xdr:col>10</xdr:col>
      <xdr:colOff>0</xdr:colOff>
      <xdr:row>37</xdr:row>
      <xdr:rowOff>146050</xdr:rowOff>
    </xdr:to>
    <xdr:graphicFrame macro="">
      <xdr:nvGraphicFramePr>
        <xdr:cNvPr id="4" name="Chart 2">
          <a:extLst>
            <a:ext uri="{FF2B5EF4-FFF2-40B4-BE49-F238E27FC236}">
              <a16:creationId xmlns:a16="http://schemas.microsoft.com/office/drawing/2014/main" id="{30D0AA1A-05C8-01EB-E954-AA04BC294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104775</xdr:colOff>
      <xdr:row>1</xdr:row>
      <xdr:rowOff>245745</xdr:rowOff>
    </xdr:from>
    <xdr:to>
      <xdr:col>16</xdr:col>
      <xdr:colOff>104775</xdr:colOff>
      <xdr:row>9</xdr:row>
      <xdr:rowOff>0</xdr:rowOff>
    </xdr:to>
    <mc:AlternateContent xmlns:mc="http://schemas.openxmlformats.org/markup-compatibility/2006">
      <mc:Choice xmlns:a14="http://schemas.microsoft.com/office/drawing/2010/main" Requires="a14">
        <xdr:graphicFrame macro="">
          <xdr:nvGraphicFramePr>
            <xdr:cNvPr id="5" name="RecruitmentStrategy">
              <a:extLst>
                <a:ext uri="{FF2B5EF4-FFF2-40B4-BE49-F238E27FC236}">
                  <a16:creationId xmlns:a16="http://schemas.microsoft.com/office/drawing/2014/main" id="{6F85FA7A-F59A-A0A9-3DA9-8F197ADB0DB1}"/>
                </a:ext>
              </a:extLst>
            </xdr:cNvPr>
            <xdr:cNvGraphicFramePr/>
          </xdr:nvGraphicFramePr>
          <xdr:xfrm>
            <a:off x="0" y="0"/>
            <a:ext cx="0" cy="0"/>
          </xdr:xfrm>
          <a:graphic>
            <a:graphicData uri="http://schemas.microsoft.com/office/drawing/2010/slicer">
              <sle:slicer xmlns:sle="http://schemas.microsoft.com/office/drawing/2010/slicer" name="RecruitmentStrategy"/>
            </a:graphicData>
          </a:graphic>
        </xdr:graphicFrame>
      </mc:Choice>
      <mc:Fallback>
        <xdr:sp macro="" textlink="">
          <xdr:nvSpPr>
            <xdr:cNvPr id="0" name=""/>
            <xdr:cNvSpPr>
              <a:spLocks noTextEdit="1"/>
            </xdr:cNvSpPr>
          </xdr:nvSpPr>
          <xdr:spPr>
            <a:xfrm>
              <a:off x="8029575" y="428625"/>
              <a:ext cx="1828800" cy="136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119380</xdr:colOff>
      <xdr:row>19</xdr:row>
      <xdr:rowOff>42545</xdr:rowOff>
    </xdr:from>
    <xdr:to>
      <xdr:col>16</xdr:col>
      <xdr:colOff>119380</xdr:colOff>
      <xdr:row>27</xdr:row>
      <xdr:rowOff>0</xdr:rowOff>
    </xdr:to>
    <mc:AlternateContent xmlns:mc="http://schemas.openxmlformats.org/markup-compatibility/2006">
      <mc:Choice xmlns:a14="http://schemas.microsoft.com/office/drawing/2010/main" Requires="a14">
        <xdr:graphicFrame macro="">
          <xdr:nvGraphicFramePr>
            <xdr:cNvPr id="6" name="HiringDecision">
              <a:extLst>
                <a:ext uri="{FF2B5EF4-FFF2-40B4-BE49-F238E27FC236}">
                  <a16:creationId xmlns:a16="http://schemas.microsoft.com/office/drawing/2014/main" id="{D95A0DC5-27D2-2D0A-2F78-8D3A5D7D32D0}"/>
                </a:ext>
              </a:extLst>
            </xdr:cNvPr>
            <xdr:cNvGraphicFramePr/>
          </xdr:nvGraphicFramePr>
          <xdr:xfrm>
            <a:off x="0" y="0"/>
            <a:ext cx="0" cy="0"/>
          </xdr:xfrm>
          <a:graphic>
            <a:graphicData uri="http://schemas.microsoft.com/office/drawing/2010/slicer">
              <sle:slicer xmlns:sle="http://schemas.microsoft.com/office/drawing/2010/slicer" name="HiringDecision"/>
            </a:graphicData>
          </a:graphic>
        </xdr:graphicFrame>
      </mc:Choice>
      <mc:Fallback>
        <xdr:sp macro="" textlink="">
          <xdr:nvSpPr>
            <xdr:cNvPr id="0" name=""/>
            <xdr:cNvSpPr>
              <a:spLocks noTextEdit="1"/>
            </xdr:cNvSpPr>
          </xdr:nvSpPr>
          <xdr:spPr>
            <a:xfrm>
              <a:off x="8044180" y="3669665"/>
              <a:ext cx="1828800" cy="1420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104775</xdr:colOff>
      <xdr:row>10</xdr:row>
      <xdr:rowOff>1</xdr:rowOff>
    </xdr:from>
    <xdr:to>
      <xdr:col>16</xdr:col>
      <xdr:colOff>104775</xdr:colOff>
      <xdr:row>18</xdr:row>
      <xdr:rowOff>1</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043A41A2-9272-EF4F-75D6-1AB27C3F837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29575" y="198120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26</xdr:col>
      <xdr:colOff>423334</xdr:colOff>
      <xdr:row>8</xdr:row>
      <xdr:rowOff>0</xdr:rowOff>
    </xdr:from>
    <xdr:to>
      <xdr:col>39</xdr:col>
      <xdr:colOff>0</xdr:colOff>
      <xdr:row>24</xdr:row>
      <xdr:rowOff>166914</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E3D22D9B-5593-0F3D-9F45-67898E6F36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460477" y="1838476"/>
              <a:ext cx="9410094" cy="3396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423334</xdr:colOff>
      <xdr:row>25</xdr:row>
      <xdr:rowOff>74991</xdr:rowOff>
    </xdr:from>
    <xdr:to>
      <xdr:col>38</xdr:col>
      <xdr:colOff>0</xdr:colOff>
      <xdr:row>56</xdr:row>
      <xdr:rowOff>0</xdr:rowOff>
    </xdr:to>
    <xdr:graphicFrame macro="">
      <xdr:nvGraphicFramePr>
        <xdr:cNvPr id="5" name="Chart 4">
          <a:extLst>
            <a:ext uri="{FF2B5EF4-FFF2-40B4-BE49-F238E27FC236}">
              <a16:creationId xmlns:a16="http://schemas.microsoft.com/office/drawing/2014/main" id="{A67B1920-B0D2-11D6-3905-C2F58208E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5.780602777777" createdVersion="8" refreshedVersion="8" minRefreshableVersion="3" recordCount="1500" xr:uid="{4ED266E5-5F12-4F92-9440-5A1E8ABC049F}">
  <cacheSource type="worksheet">
    <worksheetSource name="RecruitmentData"/>
  </cacheSource>
  <cacheFields count="18">
    <cacheField name="Age" numFmtId="0">
      <sharedItems containsSemiMixedTypes="0" containsString="0" containsNumber="1" containsInteger="1" minValue="20" maxValue="50"/>
    </cacheField>
    <cacheField name="Gender" numFmtId="0">
      <sharedItems containsSemiMixedTypes="0" containsString="0" containsNumber="1" containsInteger="1" minValue="0" maxValue="1"/>
    </cacheField>
    <cacheField name="EducationLevel" numFmtId="0">
      <sharedItems containsSemiMixedTypes="0" containsString="0" containsNumber="1" containsInteger="1" minValue="1" maxValue="4"/>
    </cacheField>
    <cacheField name="ExperienceYears" numFmtId="0">
      <sharedItems containsSemiMixedTypes="0" containsString="0" containsNumber="1" containsInteger="1" minValue="0" maxValue="15"/>
    </cacheField>
    <cacheField name="PreviousCompanies" numFmtId="0">
      <sharedItems containsSemiMixedTypes="0" containsString="0" containsNumber="1" containsInteger="1" minValue="1" maxValue="5"/>
    </cacheField>
    <cacheField name="DistanceFromCompany" numFmtId="0">
      <sharedItems containsSemiMixedTypes="0" containsString="0" containsNumber="1" minValue="1.0313758314228001" maxValue="50.992462224320001"/>
    </cacheField>
    <cacheField name="InterviewScore" numFmtId="0">
      <sharedItems containsSemiMixedTypes="0" containsString="0" containsNumber="1" containsInteger="1" minValue="0" maxValue="100"/>
    </cacheField>
    <cacheField name="SkillScore" numFmtId="0">
      <sharedItems containsSemiMixedTypes="0" containsString="0" containsNumber="1" containsInteger="1" minValue="0" maxValue="100"/>
    </cacheField>
    <cacheField name="PersonalityScore" numFmtId="0">
      <sharedItems containsSemiMixedTypes="0" containsString="0" containsNumber="1" containsInteger="1" minValue="0" maxValue="100"/>
    </cacheField>
    <cacheField name="RecruitmentStrategy" numFmtId="0">
      <sharedItems containsSemiMixedTypes="0" containsString="0" containsNumber="1" containsInteger="1" minValue="1" maxValue="3" count="3">
        <n v="1"/>
        <n v="2"/>
        <n v="3"/>
      </sharedItems>
    </cacheField>
    <cacheField name="HiringDecision" numFmtId="0">
      <sharedItems containsSemiMixedTypes="0" containsString="0" containsNumber="1" containsInteger="1" minValue="0" maxValue="1" count="2">
        <n v="1"/>
        <n v="0"/>
      </sharedItems>
    </cacheField>
    <cacheField name="Application_Date" numFmtId="166">
      <sharedItems containsSemiMixedTypes="0" containsNonDate="0" containsDate="1" containsString="0" minDate="2024-01-01T00:00:00" maxDate="2024-01-02T00:00:00"/>
    </cacheField>
    <cacheField name="Offer_Date" numFmtId="166">
      <sharedItems containsSemiMixedTypes="0" containsNonDate="0" containsDate="1" containsString="0" minDate="2024-01-15T00:00:00" maxDate="2024-02-16T00:00:00"/>
    </cacheField>
    <cacheField name="Join_Date" numFmtId="166">
      <sharedItems containsDate="1" containsMixedTypes="1" minDate="2024-01-23T00:00:00" maxDate="2024-03-15T00:00:00"/>
    </cacheField>
    <cacheField name="Days_to_offer" numFmtId="2">
      <sharedItems containsSemiMixedTypes="0" containsString="0" containsNumber="1" containsInteger="1" minValue="14" maxValue="45"/>
    </cacheField>
    <cacheField name="Days_to_Join" numFmtId="2">
      <sharedItems containsMixedTypes="1" containsNumber="1" containsInteger="1" minValue="7" maxValue="30"/>
    </cacheField>
    <cacheField name="Funnel_Stage_Drop" numFmtId="14">
      <sharedItems count="4">
        <s v="Joined"/>
        <s v="Dropped at Interview"/>
        <s v="Dropped at Screening"/>
        <s v="Dropped at Offer"/>
      </sharedItems>
    </cacheField>
    <cacheField name="Month" numFmtId="14">
      <sharedItems count="2">
        <s v="Feb-2024"/>
        <s v="Jan-2024"/>
      </sharedItems>
    </cacheField>
  </cacheFields>
  <extLst>
    <ext xmlns:x14="http://schemas.microsoft.com/office/spreadsheetml/2009/9/main" uri="{725AE2AE-9491-48be-B2B4-4EB974FC3084}">
      <x14:pivotCacheDefinition pivotCacheId="670272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26"/>
    <n v="1"/>
    <n v="2"/>
    <n v="0"/>
    <n v="3"/>
    <n v="26.783827553853602"/>
    <n v="48"/>
    <n v="78"/>
    <n v="91"/>
    <x v="0"/>
    <x v="0"/>
    <d v="2024-01-01T00:00:00"/>
    <d v="2024-02-04T00:00:00"/>
    <d v="2024-02-23T00:00:00"/>
    <n v="34"/>
    <n v="19"/>
    <x v="0"/>
    <x v="0"/>
  </r>
  <r>
    <n v="39"/>
    <n v="1"/>
    <n v="4"/>
    <n v="12"/>
    <n v="3"/>
    <n v="25.862694329543899"/>
    <n v="35"/>
    <n v="68"/>
    <n v="80"/>
    <x v="1"/>
    <x v="0"/>
    <d v="2024-01-01T00:00:00"/>
    <d v="2024-01-16T00:00:00"/>
    <d v="2024-02-13T00:00:00"/>
    <n v="15"/>
    <n v="28"/>
    <x v="0"/>
    <x v="1"/>
  </r>
  <r>
    <n v="48"/>
    <n v="0"/>
    <n v="2"/>
    <n v="3"/>
    <n v="2"/>
    <n v="9.9208048281747807"/>
    <n v="20"/>
    <n v="67"/>
    <n v="13"/>
    <x v="1"/>
    <x v="1"/>
    <d v="2024-01-01T00:00:00"/>
    <d v="2024-02-01T00:00:00"/>
    <s v="N/A"/>
    <n v="31"/>
    <s v="N/A"/>
    <x v="1"/>
    <x v="0"/>
  </r>
  <r>
    <n v="34"/>
    <n v="1"/>
    <n v="2"/>
    <n v="5"/>
    <n v="2"/>
    <n v="6.4077507286678301"/>
    <n v="36"/>
    <n v="27"/>
    <n v="70"/>
    <x v="2"/>
    <x v="1"/>
    <d v="2024-01-01T00:00:00"/>
    <d v="2024-02-02T00:00:00"/>
    <s v="N/A"/>
    <n v="32"/>
    <s v="N/A"/>
    <x v="2"/>
    <x v="0"/>
  </r>
  <r>
    <n v="30"/>
    <n v="0"/>
    <n v="1"/>
    <n v="6"/>
    <n v="1"/>
    <n v="43.105343124175498"/>
    <n v="23"/>
    <n v="52"/>
    <n v="85"/>
    <x v="1"/>
    <x v="1"/>
    <d v="2024-01-01T00:00:00"/>
    <d v="2024-02-10T00:00:00"/>
    <s v="N/A"/>
    <n v="40"/>
    <s v="N/A"/>
    <x v="1"/>
    <x v="0"/>
  </r>
  <r>
    <n v="27"/>
    <n v="0"/>
    <n v="3"/>
    <n v="14"/>
    <n v="4"/>
    <n v="31.706658809375899"/>
    <n v="54"/>
    <n v="50"/>
    <n v="50"/>
    <x v="0"/>
    <x v="0"/>
    <d v="2024-01-01T00:00:00"/>
    <d v="2024-01-15T00:00:00"/>
    <d v="2024-02-07T00:00:00"/>
    <n v="14"/>
    <n v="23"/>
    <x v="0"/>
    <x v="1"/>
  </r>
  <r>
    <n v="48"/>
    <n v="0"/>
    <n v="2"/>
    <n v="6"/>
    <n v="1"/>
    <n v="17.291229200972399"/>
    <n v="24"/>
    <n v="52"/>
    <n v="64"/>
    <x v="2"/>
    <x v="1"/>
    <d v="2024-01-01T00:00:00"/>
    <d v="2024-02-07T00:00:00"/>
    <s v="N/A"/>
    <n v="37"/>
    <s v="N/A"/>
    <x v="1"/>
    <x v="0"/>
  </r>
  <r>
    <n v="40"/>
    <n v="0"/>
    <n v="4"/>
    <n v="13"/>
    <n v="3"/>
    <n v="10.5868108695133"/>
    <n v="6"/>
    <n v="3"/>
    <n v="92"/>
    <x v="2"/>
    <x v="1"/>
    <d v="2024-01-01T00:00:00"/>
    <d v="2024-02-04T00:00:00"/>
    <s v="N/A"/>
    <n v="34"/>
    <s v="N/A"/>
    <x v="2"/>
    <x v="0"/>
  </r>
  <r>
    <n v="26"/>
    <n v="1"/>
    <n v="3"/>
    <n v="6"/>
    <n v="5"/>
    <n v="28.774864008481501"/>
    <n v="80"/>
    <n v="78"/>
    <n v="51"/>
    <x v="0"/>
    <x v="0"/>
    <d v="2024-01-01T00:00:00"/>
    <d v="2024-01-28T00:00:00"/>
    <d v="2024-02-23T00:00:00"/>
    <n v="27"/>
    <n v="26"/>
    <x v="0"/>
    <x v="1"/>
  </r>
  <r>
    <n v="45"/>
    <n v="1"/>
    <n v="2"/>
    <n v="2"/>
    <n v="5"/>
    <n v="30.195964463056701"/>
    <n v="92"/>
    <n v="16"/>
    <n v="94"/>
    <x v="2"/>
    <x v="1"/>
    <d v="2024-01-01T00:00:00"/>
    <d v="2024-01-18T00:00:00"/>
    <s v="N/A"/>
    <n v="17"/>
    <s v="N/A"/>
    <x v="2"/>
    <x v="1"/>
  </r>
  <r>
    <n v="38"/>
    <n v="1"/>
    <n v="1"/>
    <n v="15"/>
    <n v="2"/>
    <n v="11.349680062252901"/>
    <n v="93"/>
    <n v="66"/>
    <n v="29"/>
    <x v="1"/>
    <x v="1"/>
    <d v="2024-01-01T00:00:00"/>
    <d v="2024-01-29T00:00:00"/>
    <s v="N/A"/>
    <n v="28"/>
    <s v="N/A"/>
    <x v="1"/>
    <x v="1"/>
  </r>
  <r>
    <n v="42"/>
    <n v="0"/>
    <n v="3"/>
    <n v="5"/>
    <n v="5"/>
    <n v="43.570287394573697"/>
    <n v="70"/>
    <n v="73"/>
    <n v="56"/>
    <x v="1"/>
    <x v="1"/>
    <d v="2024-01-01T00:00:00"/>
    <d v="2024-02-14T00:00:00"/>
    <s v="N/A"/>
    <n v="44"/>
    <s v="N/A"/>
    <x v="3"/>
    <x v="0"/>
  </r>
  <r>
    <n v="30"/>
    <n v="0"/>
    <n v="3"/>
    <n v="12"/>
    <n v="5"/>
    <n v="5.21321830779255"/>
    <n v="96"/>
    <n v="46"/>
    <n v="78"/>
    <x v="2"/>
    <x v="0"/>
    <d v="2024-01-01T00:00:00"/>
    <d v="2024-02-11T00:00:00"/>
    <d v="2024-02-29T00:00:00"/>
    <n v="41"/>
    <n v="18"/>
    <x v="0"/>
    <x v="0"/>
  </r>
  <r>
    <n v="30"/>
    <n v="0"/>
    <n v="1"/>
    <n v="7"/>
    <n v="5"/>
    <n v="18.804654258321001"/>
    <n v="70"/>
    <n v="55"/>
    <n v="81"/>
    <x v="1"/>
    <x v="1"/>
    <d v="2024-01-01T00:00:00"/>
    <d v="2024-01-20T00:00:00"/>
    <s v="N/A"/>
    <n v="19"/>
    <s v="N/A"/>
    <x v="1"/>
    <x v="1"/>
  </r>
  <r>
    <n v="43"/>
    <n v="1"/>
    <n v="2"/>
    <n v="3"/>
    <n v="3"/>
    <n v="35.019220688126097"/>
    <n v="23"/>
    <n v="22"/>
    <n v="98"/>
    <x v="0"/>
    <x v="1"/>
    <d v="2024-01-01T00:00:00"/>
    <d v="2024-02-06T00:00:00"/>
    <s v="N/A"/>
    <n v="36"/>
    <s v="N/A"/>
    <x v="2"/>
    <x v="0"/>
  </r>
  <r>
    <n v="40"/>
    <n v="0"/>
    <n v="3"/>
    <n v="12"/>
    <n v="5"/>
    <n v="14.70601819096"/>
    <n v="10"/>
    <n v="17"/>
    <n v="29"/>
    <x v="1"/>
    <x v="1"/>
    <d v="2024-01-01T00:00:00"/>
    <d v="2024-02-02T00:00:00"/>
    <s v="N/A"/>
    <n v="32"/>
    <s v="N/A"/>
    <x v="2"/>
    <x v="0"/>
  </r>
  <r>
    <n v="23"/>
    <n v="1"/>
    <n v="1"/>
    <n v="7"/>
    <n v="5"/>
    <n v="42.3837597390635"/>
    <n v="72"/>
    <n v="0"/>
    <n v="97"/>
    <x v="1"/>
    <x v="1"/>
    <d v="2024-01-01T00:00:00"/>
    <d v="2024-01-26T00:00:00"/>
    <s v="N/A"/>
    <n v="25"/>
    <s v="N/A"/>
    <x v="2"/>
    <x v="1"/>
  </r>
  <r>
    <n v="27"/>
    <n v="1"/>
    <n v="4"/>
    <n v="1"/>
    <n v="5"/>
    <n v="37.993391330020103"/>
    <n v="11"/>
    <n v="34"/>
    <n v="41"/>
    <x v="0"/>
    <x v="1"/>
    <d v="2024-01-01T00:00:00"/>
    <d v="2024-01-28T00:00:00"/>
    <s v="N/A"/>
    <n v="27"/>
    <s v="N/A"/>
    <x v="2"/>
    <x v="1"/>
  </r>
  <r>
    <n v="43"/>
    <n v="1"/>
    <n v="2"/>
    <n v="14"/>
    <n v="1"/>
    <n v="40.451142227406699"/>
    <n v="34"/>
    <n v="63"/>
    <n v="10"/>
    <x v="1"/>
    <x v="1"/>
    <d v="2024-01-01T00:00:00"/>
    <d v="2024-02-01T00:00:00"/>
    <s v="N/A"/>
    <n v="31"/>
    <s v="N/A"/>
    <x v="1"/>
    <x v="0"/>
  </r>
  <r>
    <n v="22"/>
    <n v="1"/>
    <n v="1"/>
    <n v="9"/>
    <n v="3"/>
    <n v="6.9553267938358099"/>
    <n v="62"/>
    <n v="57"/>
    <n v="26"/>
    <x v="1"/>
    <x v="1"/>
    <d v="2024-01-01T00:00:00"/>
    <d v="2024-02-14T00:00:00"/>
    <s v="N/A"/>
    <n v="44"/>
    <s v="N/A"/>
    <x v="1"/>
    <x v="0"/>
  </r>
  <r>
    <n v="41"/>
    <n v="1"/>
    <n v="3"/>
    <n v="8"/>
    <n v="2"/>
    <n v="8.0273563997771404"/>
    <n v="67"/>
    <n v="94"/>
    <n v="23"/>
    <x v="1"/>
    <x v="1"/>
    <d v="2024-01-01T00:00:00"/>
    <d v="2024-01-25T00:00:00"/>
    <s v="N/A"/>
    <n v="24"/>
    <s v="N/A"/>
    <x v="3"/>
    <x v="1"/>
  </r>
  <r>
    <n v="40"/>
    <n v="1"/>
    <n v="2"/>
    <n v="8"/>
    <n v="1"/>
    <n v="15.323686887229099"/>
    <n v="99"/>
    <n v="58"/>
    <n v="98"/>
    <x v="1"/>
    <x v="0"/>
    <d v="2024-01-01T00:00:00"/>
    <d v="2024-01-15T00:00:00"/>
    <d v="2024-02-10T00:00:00"/>
    <n v="14"/>
    <n v="26"/>
    <x v="0"/>
    <x v="1"/>
  </r>
  <r>
    <n v="21"/>
    <n v="0"/>
    <n v="2"/>
    <n v="7"/>
    <n v="4"/>
    <n v="26.903858259878"/>
    <n v="91"/>
    <n v="0"/>
    <n v="38"/>
    <x v="2"/>
    <x v="1"/>
    <d v="2024-01-01T00:00:00"/>
    <d v="2024-02-11T00:00:00"/>
    <s v="N/A"/>
    <n v="41"/>
    <s v="N/A"/>
    <x v="2"/>
    <x v="0"/>
  </r>
  <r>
    <n v="43"/>
    <n v="0"/>
    <n v="1"/>
    <n v="9"/>
    <n v="3"/>
    <n v="38.400803834970098"/>
    <n v="56"/>
    <n v="2"/>
    <n v="71"/>
    <x v="1"/>
    <x v="1"/>
    <d v="2024-01-01T00:00:00"/>
    <d v="2024-02-14T00:00:00"/>
    <s v="N/A"/>
    <n v="44"/>
    <s v="N/A"/>
    <x v="2"/>
    <x v="0"/>
  </r>
  <r>
    <n v="31"/>
    <n v="1"/>
    <n v="1"/>
    <n v="13"/>
    <n v="3"/>
    <n v="42.826544538045098"/>
    <n v="12"/>
    <n v="66"/>
    <n v="17"/>
    <x v="1"/>
    <x v="1"/>
    <d v="2024-01-01T00:00:00"/>
    <d v="2024-01-24T00:00:00"/>
    <s v="N/A"/>
    <n v="23"/>
    <s v="N/A"/>
    <x v="1"/>
    <x v="1"/>
  </r>
  <r>
    <n v="49"/>
    <n v="1"/>
    <n v="2"/>
    <n v="12"/>
    <n v="4"/>
    <n v="36.216765797858997"/>
    <n v="22"/>
    <n v="36"/>
    <n v="76"/>
    <x v="0"/>
    <x v="0"/>
    <d v="2024-01-01T00:00:00"/>
    <d v="2024-02-06T00:00:00"/>
    <d v="2024-02-24T00:00:00"/>
    <n v="36"/>
    <n v="18"/>
    <x v="0"/>
    <x v="0"/>
  </r>
  <r>
    <n v="25"/>
    <n v="0"/>
    <n v="2"/>
    <n v="9"/>
    <n v="4"/>
    <n v="47.4298440765319"/>
    <n v="82"/>
    <n v="82"/>
    <n v="44"/>
    <x v="1"/>
    <x v="1"/>
    <d v="2024-01-01T00:00:00"/>
    <d v="2024-02-04T00:00:00"/>
    <s v="N/A"/>
    <n v="34"/>
    <s v="N/A"/>
    <x v="3"/>
    <x v="0"/>
  </r>
  <r>
    <n v="21"/>
    <n v="1"/>
    <n v="2"/>
    <n v="0"/>
    <n v="4"/>
    <n v="37.937175480796498"/>
    <n v="100"/>
    <n v="28"/>
    <n v="87"/>
    <x v="2"/>
    <x v="1"/>
    <d v="2024-01-01T00:00:00"/>
    <d v="2024-01-15T00:00:00"/>
    <s v="N/A"/>
    <n v="14"/>
    <s v="N/A"/>
    <x v="2"/>
    <x v="1"/>
  </r>
  <r>
    <n v="47"/>
    <n v="1"/>
    <n v="3"/>
    <n v="1"/>
    <n v="2"/>
    <n v="16.313394350230698"/>
    <n v="38"/>
    <n v="88"/>
    <n v="86"/>
    <x v="1"/>
    <x v="1"/>
    <d v="2024-01-01T00:00:00"/>
    <d v="2024-01-23T00:00:00"/>
    <s v="N/A"/>
    <n v="22"/>
    <s v="N/A"/>
    <x v="3"/>
    <x v="1"/>
  </r>
  <r>
    <n v="40"/>
    <n v="0"/>
    <n v="2"/>
    <n v="5"/>
    <n v="5"/>
    <n v="14.254064216928599"/>
    <n v="87"/>
    <n v="32"/>
    <n v="11"/>
    <x v="1"/>
    <x v="1"/>
    <d v="2024-01-01T00:00:00"/>
    <d v="2024-01-30T00:00:00"/>
    <s v="N/A"/>
    <n v="29"/>
    <s v="N/A"/>
    <x v="2"/>
    <x v="1"/>
  </r>
  <r>
    <n v="20"/>
    <n v="1"/>
    <n v="1"/>
    <n v="9"/>
    <n v="3"/>
    <n v="35.8096225150544"/>
    <n v="79"/>
    <n v="99"/>
    <n v="48"/>
    <x v="1"/>
    <x v="1"/>
    <d v="2024-01-01T00:00:00"/>
    <d v="2024-01-18T00:00:00"/>
    <s v="N/A"/>
    <n v="17"/>
    <s v="N/A"/>
    <x v="3"/>
    <x v="1"/>
  </r>
  <r>
    <n v="31"/>
    <n v="1"/>
    <n v="2"/>
    <n v="4"/>
    <n v="5"/>
    <n v="10.6435284344807"/>
    <n v="96"/>
    <n v="60"/>
    <n v="93"/>
    <x v="1"/>
    <x v="1"/>
    <d v="2024-01-01T00:00:00"/>
    <d v="2024-01-16T00:00:00"/>
    <s v="N/A"/>
    <n v="15"/>
    <s v="N/A"/>
    <x v="1"/>
    <x v="1"/>
  </r>
  <r>
    <n v="45"/>
    <n v="1"/>
    <n v="4"/>
    <n v="11"/>
    <n v="5"/>
    <n v="5.6357405405134902"/>
    <n v="11"/>
    <n v="92"/>
    <n v="30"/>
    <x v="0"/>
    <x v="0"/>
    <d v="2024-01-01T00:00:00"/>
    <d v="2024-01-24T00:00:00"/>
    <d v="2024-02-04T00:00:00"/>
    <n v="23"/>
    <n v="11"/>
    <x v="0"/>
    <x v="1"/>
  </r>
  <r>
    <n v="41"/>
    <n v="0"/>
    <n v="3"/>
    <n v="13"/>
    <n v="4"/>
    <n v="27.611143742809599"/>
    <n v="33"/>
    <n v="89"/>
    <n v="91"/>
    <x v="2"/>
    <x v="0"/>
    <d v="2024-01-01T00:00:00"/>
    <d v="2024-02-14T00:00:00"/>
    <d v="2024-03-02T00:00:00"/>
    <n v="44"/>
    <n v="17"/>
    <x v="0"/>
    <x v="0"/>
  </r>
  <r>
    <n v="48"/>
    <n v="0"/>
    <n v="2"/>
    <n v="8"/>
    <n v="2"/>
    <n v="42.082078488947701"/>
    <n v="70"/>
    <n v="3"/>
    <n v="21"/>
    <x v="0"/>
    <x v="1"/>
    <d v="2024-01-01T00:00:00"/>
    <d v="2024-02-04T00:00:00"/>
    <s v="N/A"/>
    <n v="34"/>
    <s v="N/A"/>
    <x v="2"/>
    <x v="0"/>
  </r>
  <r>
    <n v="31"/>
    <n v="0"/>
    <n v="2"/>
    <n v="4"/>
    <n v="1"/>
    <n v="6.0689921234931701"/>
    <n v="74"/>
    <n v="13"/>
    <n v="43"/>
    <x v="1"/>
    <x v="1"/>
    <d v="2024-01-01T00:00:00"/>
    <d v="2024-02-02T00:00:00"/>
    <s v="N/A"/>
    <n v="32"/>
    <s v="N/A"/>
    <x v="2"/>
    <x v="0"/>
  </r>
  <r>
    <n v="44"/>
    <n v="1"/>
    <n v="2"/>
    <n v="1"/>
    <n v="2"/>
    <n v="40.594566189786399"/>
    <n v="30"/>
    <n v="90"/>
    <n v="91"/>
    <x v="1"/>
    <x v="1"/>
    <d v="2024-01-01T00:00:00"/>
    <d v="2024-02-09T00:00:00"/>
    <s v="N/A"/>
    <n v="39"/>
    <s v="N/A"/>
    <x v="3"/>
    <x v="0"/>
  </r>
  <r>
    <n v="36"/>
    <n v="1"/>
    <n v="3"/>
    <n v="9"/>
    <n v="5"/>
    <n v="41.578600217577403"/>
    <n v="92"/>
    <n v="32"/>
    <n v="63"/>
    <x v="1"/>
    <x v="0"/>
    <d v="2024-01-01T00:00:00"/>
    <d v="2024-02-05T00:00:00"/>
    <d v="2024-02-16T00:00:00"/>
    <n v="35"/>
    <n v="11"/>
    <x v="0"/>
    <x v="0"/>
  </r>
  <r>
    <n v="46"/>
    <n v="0"/>
    <n v="3"/>
    <n v="3"/>
    <n v="2"/>
    <n v="25.113700004077099"/>
    <n v="61"/>
    <n v="21"/>
    <n v="76"/>
    <x v="0"/>
    <x v="0"/>
    <d v="2024-01-01T00:00:00"/>
    <d v="2024-02-12T00:00:00"/>
    <d v="2024-03-12T00:00:00"/>
    <n v="42"/>
    <n v="29"/>
    <x v="0"/>
    <x v="0"/>
  </r>
  <r>
    <n v="46"/>
    <n v="1"/>
    <n v="2"/>
    <n v="8"/>
    <n v="4"/>
    <n v="3.86551550052434"/>
    <n v="12"/>
    <n v="47"/>
    <n v="24"/>
    <x v="1"/>
    <x v="1"/>
    <d v="2024-01-01T00:00:00"/>
    <d v="2024-01-29T00:00:00"/>
    <s v="N/A"/>
    <n v="28"/>
    <s v="N/A"/>
    <x v="2"/>
    <x v="1"/>
  </r>
  <r>
    <n v="50"/>
    <n v="1"/>
    <n v="3"/>
    <n v="0"/>
    <n v="1"/>
    <n v="9.7294925623593205"/>
    <n v="30"/>
    <n v="2"/>
    <n v="50"/>
    <x v="0"/>
    <x v="1"/>
    <d v="2024-01-01T00:00:00"/>
    <d v="2024-02-07T00:00:00"/>
    <s v="N/A"/>
    <n v="37"/>
    <s v="N/A"/>
    <x v="2"/>
    <x v="0"/>
  </r>
  <r>
    <n v="29"/>
    <n v="1"/>
    <n v="3"/>
    <n v="10"/>
    <n v="4"/>
    <n v="36.371313758096598"/>
    <n v="1"/>
    <n v="86"/>
    <n v="6"/>
    <x v="0"/>
    <x v="0"/>
    <d v="2024-01-01T00:00:00"/>
    <d v="2024-02-11T00:00:00"/>
    <d v="2024-02-25T00:00:00"/>
    <n v="41"/>
    <n v="14"/>
    <x v="0"/>
    <x v="0"/>
  </r>
  <r>
    <n v="47"/>
    <n v="1"/>
    <n v="1"/>
    <n v="0"/>
    <n v="1"/>
    <n v="36.588897249547401"/>
    <n v="14"/>
    <n v="84"/>
    <n v="5"/>
    <x v="1"/>
    <x v="1"/>
    <d v="2024-01-01T00:00:00"/>
    <d v="2024-01-30T00:00:00"/>
    <s v="N/A"/>
    <n v="29"/>
    <s v="N/A"/>
    <x v="3"/>
    <x v="1"/>
  </r>
  <r>
    <n v="47"/>
    <n v="1"/>
    <n v="2"/>
    <n v="11"/>
    <n v="5"/>
    <n v="45.917763758383202"/>
    <n v="56"/>
    <n v="22"/>
    <n v="23"/>
    <x v="1"/>
    <x v="1"/>
    <d v="2024-01-01T00:00:00"/>
    <d v="2024-02-07T00:00:00"/>
    <s v="N/A"/>
    <n v="37"/>
    <s v="N/A"/>
    <x v="2"/>
    <x v="0"/>
  </r>
  <r>
    <n v="35"/>
    <n v="0"/>
    <n v="1"/>
    <n v="6"/>
    <n v="1"/>
    <n v="30.1343073277291"/>
    <n v="74"/>
    <n v="67"/>
    <n v="18"/>
    <x v="0"/>
    <x v="0"/>
    <d v="2024-01-01T00:00:00"/>
    <d v="2024-02-11T00:00:00"/>
    <d v="2024-03-08T00:00:00"/>
    <n v="41"/>
    <n v="26"/>
    <x v="0"/>
    <x v="0"/>
  </r>
  <r>
    <n v="34"/>
    <n v="1"/>
    <n v="2"/>
    <n v="10"/>
    <n v="1"/>
    <n v="7.2053683856888604"/>
    <n v="33"/>
    <n v="20"/>
    <n v="82"/>
    <x v="0"/>
    <x v="0"/>
    <d v="2024-01-01T00:00:00"/>
    <d v="2024-02-10T00:00:00"/>
    <d v="2024-02-26T00:00:00"/>
    <n v="40"/>
    <n v="16"/>
    <x v="0"/>
    <x v="0"/>
  </r>
  <r>
    <n v="49"/>
    <n v="0"/>
    <n v="3"/>
    <n v="2"/>
    <n v="1"/>
    <n v="7.0707452752486004"/>
    <n v="67"/>
    <n v="100"/>
    <n v="99"/>
    <x v="2"/>
    <x v="1"/>
    <d v="2024-01-01T00:00:00"/>
    <d v="2024-02-03T00:00:00"/>
    <s v="N/A"/>
    <n v="33"/>
    <s v="N/A"/>
    <x v="3"/>
    <x v="0"/>
  </r>
  <r>
    <n v="49"/>
    <n v="1"/>
    <n v="2"/>
    <n v="9"/>
    <n v="2"/>
    <n v="37.056617867841098"/>
    <n v="74"/>
    <n v="42"/>
    <n v="8"/>
    <x v="2"/>
    <x v="1"/>
    <d v="2024-01-01T00:00:00"/>
    <d v="2024-02-15T00:00:00"/>
    <s v="N/A"/>
    <n v="45"/>
    <s v="N/A"/>
    <x v="2"/>
    <x v="0"/>
  </r>
  <r>
    <n v="34"/>
    <n v="0"/>
    <n v="2"/>
    <n v="1"/>
    <n v="2"/>
    <n v="10.189233255394999"/>
    <n v="28"/>
    <n v="94"/>
    <n v="35"/>
    <x v="0"/>
    <x v="1"/>
    <d v="2024-01-01T00:00:00"/>
    <d v="2024-02-07T00:00:00"/>
    <s v="N/A"/>
    <n v="37"/>
    <s v="N/A"/>
    <x v="3"/>
    <x v="0"/>
  </r>
  <r>
    <n v="49"/>
    <n v="1"/>
    <n v="1"/>
    <n v="8"/>
    <n v="5"/>
    <n v="17.419274980830199"/>
    <n v="65"/>
    <n v="84"/>
    <n v="39"/>
    <x v="1"/>
    <x v="1"/>
    <d v="2024-01-01T00:00:00"/>
    <d v="2024-01-18T00:00:00"/>
    <s v="N/A"/>
    <n v="17"/>
    <s v="N/A"/>
    <x v="3"/>
    <x v="1"/>
  </r>
  <r>
    <n v="38"/>
    <n v="0"/>
    <n v="2"/>
    <n v="2"/>
    <n v="1"/>
    <n v="25.360600346095602"/>
    <n v="15"/>
    <n v="25"/>
    <n v="92"/>
    <x v="1"/>
    <x v="1"/>
    <d v="2024-01-01T00:00:00"/>
    <d v="2024-02-09T00:00:00"/>
    <s v="N/A"/>
    <n v="39"/>
    <s v="N/A"/>
    <x v="2"/>
    <x v="0"/>
  </r>
  <r>
    <n v="31"/>
    <n v="1"/>
    <n v="2"/>
    <n v="15"/>
    <n v="3"/>
    <n v="2.2382438788075598"/>
    <n v="38"/>
    <n v="40"/>
    <n v="23"/>
    <x v="1"/>
    <x v="1"/>
    <d v="2024-01-01T00:00:00"/>
    <d v="2024-02-05T00:00:00"/>
    <s v="N/A"/>
    <n v="35"/>
    <s v="N/A"/>
    <x v="2"/>
    <x v="0"/>
  </r>
  <r>
    <n v="42"/>
    <n v="0"/>
    <n v="2"/>
    <n v="1"/>
    <n v="5"/>
    <n v="13.4409513509965"/>
    <n v="76"/>
    <n v="98"/>
    <n v="47"/>
    <x v="2"/>
    <x v="1"/>
    <d v="2024-01-01T00:00:00"/>
    <d v="2024-02-14T00:00:00"/>
    <s v="N/A"/>
    <n v="44"/>
    <s v="N/A"/>
    <x v="3"/>
    <x v="0"/>
  </r>
  <r>
    <n v="39"/>
    <n v="1"/>
    <n v="2"/>
    <n v="11"/>
    <n v="1"/>
    <n v="21.394480425364002"/>
    <n v="36"/>
    <n v="37"/>
    <n v="62"/>
    <x v="0"/>
    <x v="0"/>
    <d v="2024-01-01T00:00:00"/>
    <d v="2024-01-16T00:00:00"/>
    <d v="2024-01-23T00:00:00"/>
    <n v="15"/>
    <n v="7"/>
    <x v="0"/>
    <x v="1"/>
  </r>
  <r>
    <n v="44"/>
    <n v="0"/>
    <n v="2"/>
    <n v="7"/>
    <n v="1"/>
    <n v="14.9818159246603"/>
    <n v="80"/>
    <n v="87"/>
    <n v="68"/>
    <x v="1"/>
    <x v="0"/>
    <d v="2024-01-01T00:00:00"/>
    <d v="2024-01-21T00:00:00"/>
    <d v="2024-02-06T00:00:00"/>
    <n v="20"/>
    <n v="16"/>
    <x v="0"/>
    <x v="1"/>
  </r>
  <r>
    <n v="22"/>
    <n v="1"/>
    <n v="2"/>
    <n v="9"/>
    <n v="2"/>
    <n v="7.8185163733782899"/>
    <n v="20"/>
    <n v="10"/>
    <n v="52"/>
    <x v="1"/>
    <x v="1"/>
    <d v="2024-01-01T00:00:00"/>
    <d v="2024-01-18T00:00:00"/>
    <s v="N/A"/>
    <n v="17"/>
    <s v="N/A"/>
    <x v="2"/>
    <x v="1"/>
  </r>
  <r>
    <n v="24"/>
    <n v="0"/>
    <n v="1"/>
    <n v="5"/>
    <n v="5"/>
    <n v="37.4006128898098"/>
    <n v="43"/>
    <n v="28"/>
    <n v="53"/>
    <x v="1"/>
    <x v="1"/>
    <d v="2024-01-01T00:00:00"/>
    <d v="2024-02-01T00:00:00"/>
    <s v="N/A"/>
    <n v="31"/>
    <s v="N/A"/>
    <x v="2"/>
    <x v="0"/>
  </r>
  <r>
    <n v="38"/>
    <n v="0"/>
    <n v="1"/>
    <n v="5"/>
    <n v="1"/>
    <n v="41.657382758399201"/>
    <n v="18"/>
    <n v="59"/>
    <n v="41"/>
    <x v="1"/>
    <x v="1"/>
    <d v="2024-01-01T00:00:00"/>
    <d v="2024-02-13T00:00:00"/>
    <s v="N/A"/>
    <n v="43"/>
    <s v="N/A"/>
    <x v="1"/>
    <x v="0"/>
  </r>
  <r>
    <n v="26"/>
    <n v="1"/>
    <n v="2"/>
    <n v="9"/>
    <n v="1"/>
    <n v="13.873948807186199"/>
    <n v="70"/>
    <n v="66"/>
    <n v="44"/>
    <x v="2"/>
    <x v="1"/>
    <d v="2024-01-01T00:00:00"/>
    <d v="2024-01-26T00:00:00"/>
    <s v="N/A"/>
    <n v="25"/>
    <s v="N/A"/>
    <x v="1"/>
    <x v="1"/>
  </r>
  <r>
    <n v="40"/>
    <n v="1"/>
    <n v="2"/>
    <n v="10"/>
    <n v="5"/>
    <n v="39.720974730315099"/>
    <n v="7"/>
    <n v="64"/>
    <n v="89"/>
    <x v="0"/>
    <x v="0"/>
    <d v="2024-01-01T00:00:00"/>
    <d v="2024-02-02T00:00:00"/>
    <d v="2024-02-14T00:00:00"/>
    <n v="32"/>
    <n v="12"/>
    <x v="0"/>
    <x v="0"/>
  </r>
  <r>
    <n v="28"/>
    <n v="0"/>
    <n v="2"/>
    <n v="6"/>
    <n v="3"/>
    <n v="20.277678220065599"/>
    <n v="76"/>
    <n v="60"/>
    <n v="13"/>
    <x v="0"/>
    <x v="0"/>
    <d v="2024-01-01T00:00:00"/>
    <d v="2024-02-08T00:00:00"/>
    <d v="2024-02-21T00:00:00"/>
    <n v="38"/>
    <n v="13"/>
    <x v="0"/>
    <x v="0"/>
  </r>
  <r>
    <n v="26"/>
    <n v="1"/>
    <n v="2"/>
    <n v="6"/>
    <n v="5"/>
    <n v="26.334289542700098"/>
    <n v="100"/>
    <n v="18"/>
    <n v="28"/>
    <x v="0"/>
    <x v="0"/>
    <d v="2024-01-01T00:00:00"/>
    <d v="2024-02-13T00:00:00"/>
    <d v="2024-03-10T00:00:00"/>
    <n v="43"/>
    <n v="26"/>
    <x v="0"/>
    <x v="0"/>
  </r>
  <r>
    <n v="37"/>
    <n v="0"/>
    <n v="2"/>
    <n v="10"/>
    <n v="5"/>
    <n v="43.800053744657603"/>
    <n v="65"/>
    <n v="45"/>
    <n v="5"/>
    <x v="2"/>
    <x v="1"/>
    <d v="2024-01-01T00:00:00"/>
    <d v="2024-01-18T00:00:00"/>
    <s v="N/A"/>
    <n v="17"/>
    <s v="N/A"/>
    <x v="2"/>
    <x v="1"/>
  </r>
  <r>
    <n v="23"/>
    <n v="0"/>
    <n v="3"/>
    <n v="12"/>
    <n v="3"/>
    <n v="38.497684090120302"/>
    <n v="40"/>
    <n v="48"/>
    <n v="6"/>
    <x v="1"/>
    <x v="1"/>
    <d v="2024-01-01T00:00:00"/>
    <d v="2024-01-31T00:00:00"/>
    <s v="N/A"/>
    <n v="30"/>
    <s v="N/A"/>
    <x v="2"/>
    <x v="1"/>
  </r>
  <r>
    <n v="44"/>
    <n v="0"/>
    <n v="1"/>
    <n v="14"/>
    <n v="5"/>
    <n v="41.255842565808798"/>
    <n v="74"/>
    <n v="21"/>
    <n v="36"/>
    <x v="1"/>
    <x v="1"/>
    <d v="2024-01-01T00:00:00"/>
    <d v="2024-01-21T00:00:00"/>
    <s v="N/A"/>
    <n v="20"/>
    <s v="N/A"/>
    <x v="2"/>
    <x v="1"/>
  </r>
  <r>
    <n v="47"/>
    <n v="1"/>
    <n v="2"/>
    <n v="5"/>
    <n v="1"/>
    <n v="7.8422583293178398"/>
    <n v="87"/>
    <n v="77"/>
    <n v="52"/>
    <x v="0"/>
    <x v="0"/>
    <d v="2024-01-01T00:00:00"/>
    <d v="2024-01-28T00:00:00"/>
    <d v="2024-02-06T00:00:00"/>
    <n v="27"/>
    <n v="9"/>
    <x v="0"/>
    <x v="1"/>
  </r>
  <r>
    <n v="33"/>
    <n v="0"/>
    <n v="3"/>
    <n v="3"/>
    <n v="5"/>
    <n v="4.4859712916864698"/>
    <n v="69"/>
    <n v="56"/>
    <n v="17"/>
    <x v="2"/>
    <x v="1"/>
    <d v="2024-01-01T00:00:00"/>
    <d v="2024-02-08T00:00:00"/>
    <s v="N/A"/>
    <n v="38"/>
    <s v="N/A"/>
    <x v="1"/>
    <x v="0"/>
  </r>
  <r>
    <n v="37"/>
    <n v="0"/>
    <n v="2"/>
    <n v="10"/>
    <n v="3"/>
    <n v="45.670236454399301"/>
    <n v="60"/>
    <n v="13"/>
    <n v="86"/>
    <x v="2"/>
    <x v="1"/>
    <d v="2024-01-01T00:00:00"/>
    <d v="2024-01-15T00:00:00"/>
    <s v="N/A"/>
    <n v="14"/>
    <s v="N/A"/>
    <x v="2"/>
    <x v="1"/>
  </r>
  <r>
    <n v="45"/>
    <n v="1"/>
    <n v="2"/>
    <n v="8"/>
    <n v="4"/>
    <n v="20.391713478554699"/>
    <n v="25"/>
    <n v="43"/>
    <n v="37"/>
    <x v="1"/>
    <x v="1"/>
    <d v="2024-01-01T00:00:00"/>
    <d v="2024-02-09T00:00:00"/>
    <s v="N/A"/>
    <n v="39"/>
    <s v="N/A"/>
    <x v="2"/>
    <x v="0"/>
  </r>
  <r>
    <n v="28"/>
    <n v="1"/>
    <n v="4"/>
    <n v="5"/>
    <n v="5"/>
    <n v="15.393983903483999"/>
    <n v="70"/>
    <n v="15"/>
    <n v="58"/>
    <x v="1"/>
    <x v="1"/>
    <d v="2024-01-01T00:00:00"/>
    <d v="2024-02-11T00:00:00"/>
    <s v="N/A"/>
    <n v="41"/>
    <s v="N/A"/>
    <x v="2"/>
    <x v="0"/>
  </r>
  <r>
    <n v="45"/>
    <n v="1"/>
    <n v="3"/>
    <n v="3"/>
    <n v="2"/>
    <n v="37.234812713091202"/>
    <n v="82"/>
    <n v="96"/>
    <n v="0"/>
    <x v="0"/>
    <x v="0"/>
    <d v="2024-01-01T00:00:00"/>
    <d v="2024-01-16T00:00:00"/>
    <d v="2024-01-25T00:00:00"/>
    <n v="15"/>
    <n v="9"/>
    <x v="0"/>
    <x v="1"/>
  </r>
  <r>
    <n v="40"/>
    <n v="1"/>
    <n v="2"/>
    <n v="11"/>
    <n v="1"/>
    <n v="42.820779828992798"/>
    <n v="69"/>
    <n v="76"/>
    <n v="67"/>
    <x v="1"/>
    <x v="1"/>
    <d v="2024-01-01T00:00:00"/>
    <d v="2024-01-28T00:00:00"/>
    <s v="N/A"/>
    <n v="27"/>
    <s v="N/A"/>
    <x v="3"/>
    <x v="1"/>
  </r>
  <r>
    <n v="21"/>
    <n v="0"/>
    <n v="2"/>
    <n v="2"/>
    <n v="1"/>
    <n v="44.124481094914998"/>
    <n v="28"/>
    <n v="11"/>
    <n v="43"/>
    <x v="1"/>
    <x v="1"/>
    <d v="2024-01-01T00:00:00"/>
    <d v="2024-02-03T00:00:00"/>
    <s v="N/A"/>
    <n v="33"/>
    <s v="N/A"/>
    <x v="2"/>
    <x v="0"/>
  </r>
  <r>
    <n v="39"/>
    <n v="0"/>
    <n v="2"/>
    <n v="3"/>
    <n v="2"/>
    <n v="16.799857056261299"/>
    <n v="65"/>
    <n v="54"/>
    <n v="46"/>
    <x v="0"/>
    <x v="1"/>
    <d v="2024-01-01T00:00:00"/>
    <d v="2024-01-17T00:00:00"/>
    <s v="N/A"/>
    <n v="16"/>
    <s v="N/A"/>
    <x v="1"/>
    <x v="1"/>
  </r>
  <r>
    <n v="47"/>
    <n v="0"/>
    <n v="2"/>
    <n v="2"/>
    <n v="2"/>
    <n v="43.610619560083698"/>
    <n v="18"/>
    <n v="50"/>
    <n v="34"/>
    <x v="1"/>
    <x v="1"/>
    <d v="2024-01-01T00:00:00"/>
    <d v="2024-01-18T00:00:00"/>
    <s v="N/A"/>
    <n v="17"/>
    <s v="N/A"/>
    <x v="1"/>
    <x v="1"/>
  </r>
  <r>
    <n v="34"/>
    <n v="0"/>
    <n v="2"/>
    <n v="14"/>
    <n v="5"/>
    <n v="3.0466972187172598"/>
    <n v="67"/>
    <n v="38"/>
    <n v="86"/>
    <x v="0"/>
    <x v="0"/>
    <d v="2024-01-01T00:00:00"/>
    <d v="2024-01-28T00:00:00"/>
    <d v="2024-02-07T00:00:00"/>
    <n v="27"/>
    <n v="10"/>
    <x v="0"/>
    <x v="1"/>
  </r>
  <r>
    <n v="47"/>
    <n v="1"/>
    <n v="2"/>
    <n v="1"/>
    <n v="2"/>
    <n v="3.4830745729859398"/>
    <n v="57"/>
    <n v="32"/>
    <n v="90"/>
    <x v="1"/>
    <x v="1"/>
    <d v="2024-01-01T00:00:00"/>
    <d v="2024-01-16T00:00:00"/>
    <s v="N/A"/>
    <n v="15"/>
    <s v="N/A"/>
    <x v="2"/>
    <x v="1"/>
  </r>
  <r>
    <n v="26"/>
    <n v="0"/>
    <n v="2"/>
    <n v="13"/>
    <n v="4"/>
    <n v="32.175959758707698"/>
    <n v="69"/>
    <n v="32"/>
    <n v="59"/>
    <x v="1"/>
    <x v="1"/>
    <d v="2024-01-01T00:00:00"/>
    <d v="2024-02-02T00:00:00"/>
    <s v="N/A"/>
    <n v="32"/>
    <s v="N/A"/>
    <x v="2"/>
    <x v="0"/>
  </r>
  <r>
    <n v="31"/>
    <n v="0"/>
    <n v="2"/>
    <n v="4"/>
    <n v="3"/>
    <n v="4.1553184557773104"/>
    <n v="56"/>
    <n v="28"/>
    <n v="89"/>
    <x v="0"/>
    <x v="1"/>
    <d v="2024-01-01T00:00:00"/>
    <d v="2024-02-13T00:00:00"/>
    <s v="N/A"/>
    <n v="43"/>
    <s v="N/A"/>
    <x v="2"/>
    <x v="0"/>
  </r>
  <r>
    <n v="48"/>
    <n v="1"/>
    <n v="3"/>
    <n v="1"/>
    <n v="2"/>
    <n v="17.230458425508001"/>
    <n v="36"/>
    <n v="68"/>
    <n v="51"/>
    <x v="1"/>
    <x v="1"/>
    <d v="2024-01-01T00:00:00"/>
    <d v="2024-02-05T00:00:00"/>
    <s v="N/A"/>
    <n v="35"/>
    <s v="N/A"/>
    <x v="1"/>
    <x v="0"/>
  </r>
  <r>
    <n v="27"/>
    <n v="0"/>
    <n v="2"/>
    <n v="5"/>
    <n v="2"/>
    <n v="34.637799312346203"/>
    <n v="60"/>
    <n v="69"/>
    <n v="7"/>
    <x v="1"/>
    <x v="1"/>
    <d v="2024-01-01T00:00:00"/>
    <d v="2024-01-16T00:00:00"/>
    <s v="N/A"/>
    <n v="15"/>
    <s v="N/A"/>
    <x v="1"/>
    <x v="1"/>
  </r>
  <r>
    <n v="34"/>
    <n v="0"/>
    <n v="1"/>
    <n v="2"/>
    <n v="4"/>
    <n v="17.8633448027113"/>
    <n v="91"/>
    <n v="30"/>
    <n v="79"/>
    <x v="0"/>
    <x v="0"/>
    <d v="2024-01-01T00:00:00"/>
    <d v="2024-01-24T00:00:00"/>
    <d v="2024-02-23T00:00:00"/>
    <n v="23"/>
    <n v="30"/>
    <x v="0"/>
    <x v="1"/>
  </r>
  <r>
    <n v="22"/>
    <n v="0"/>
    <n v="2"/>
    <n v="5"/>
    <n v="1"/>
    <n v="9.9799890720047895"/>
    <n v="29"/>
    <n v="79"/>
    <n v="40"/>
    <x v="2"/>
    <x v="1"/>
    <d v="2024-01-01T00:00:00"/>
    <d v="2024-01-24T00:00:00"/>
    <s v="N/A"/>
    <n v="23"/>
    <s v="N/A"/>
    <x v="3"/>
    <x v="1"/>
  </r>
  <r>
    <n v="33"/>
    <n v="0"/>
    <n v="2"/>
    <n v="14"/>
    <n v="1"/>
    <n v="15.067531092692001"/>
    <n v="70"/>
    <n v="30"/>
    <n v="2"/>
    <x v="0"/>
    <x v="1"/>
    <d v="2024-01-01T00:00:00"/>
    <d v="2024-01-25T00:00:00"/>
    <s v="N/A"/>
    <n v="24"/>
    <s v="N/A"/>
    <x v="2"/>
    <x v="1"/>
  </r>
  <r>
    <n v="36"/>
    <n v="0"/>
    <n v="2"/>
    <n v="10"/>
    <n v="5"/>
    <n v="23.878766612521499"/>
    <n v="72"/>
    <n v="88"/>
    <n v="95"/>
    <x v="1"/>
    <x v="0"/>
    <d v="2024-01-01T00:00:00"/>
    <d v="2024-02-12T00:00:00"/>
    <d v="2024-03-09T00:00:00"/>
    <n v="42"/>
    <n v="26"/>
    <x v="0"/>
    <x v="0"/>
  </r>
  <r>
    <n v="23"/>
    <n v="0"/>
    <n v="2"/>
    <n v="9"/>
    <n v="4"/>
    <n v="24.7692927677741"/>
    <n v="24"/>
    <n v="45"/>
    <n v="68"/>
    <x v="0"/>
    <x v="0"/>
    <d v="2024-01-01T00:00:00"/>
    <d v="2024-01-17T00:00:00"/>
    <d v="2024-01-25T00:00:00"/>
    <n v="16"/>
    <n v="8"/>
    <x v="0"/>
    <x v="1"/>
  </r>
  <r>
    <n v="37"/>
    <n v="1"/>
    <n v="2"/>
    <n v="8"/>
    <n v="3"/>
    <n v="40.150011567360004"/>
    <n v="96"/>
    <n v="96"/>
    <n v="83"/>
    <x v="0"/>
    <x v="0"/>
    <d v="2024-01-01T00:00:00"/>
    <d v="2024-01-19T00:00:00"/>
    <d v="2024-02-13T00:00:00"/>
    <n v="18"/>
    <n v="25"/>
    <x v="0"/>
    <x v="1"/>
  </r>
  <r>
    <n v="27"/>
    <n v="1"/>
    <n v="2"/>
    <n v="0"/>
    <n v="3"/>
    <n v="38.507661471575602"/>
    <n v="64"/>
    <n v="76"/>
    <n v="13"/>
    <x v="0"/>
    <x v="1"/>
    <d v="2024-01-01T00:00:00"/>
    <d v="2024-01-23T00:00:00"/>
    <s v="N/A"/>
    <n v="22"/>
    <s v="N/A"/>
    <x v="3"/>
    <x v="1"/>
  </r>
  <r>
    <n v="23"/>
    <n v="0"/>
    <n v="1"/>
    <n v="15"/>
    <n v="4"/>
    <n v="23.8408902278067"/>
    <n v="5"/>
    <n v="51"/>
    <n v="95"/>
    <x v="0"/>
    <x v="0"/>
    <d v="2024-01-01T00:00:00"/>
    <d v="2024-01-27T00:00:00"/>
    <d v="2024-02-23T00:00:00"/>
    <n v="26"/>
    <n v="27"/>
    <x v="0"/>
    <x v="1"/>
  </r>
  <r>
    <n v="21"/>
    <n v="0"/>
    <n v="1"/>
    <n v="15"/>
    <n v="3"/>
    <n v="43.283367454938499"/>
    <n v="17"/>
    <n v="9"/>
    <n v="25"/>
    <x v="1"/>
    <x v="1"/>
    <d v="2024-01-01T00:00:00"/>
    <d v="2024-02-14T00:00:00"/>
    <s v="N/A"/>
    <n v="44"/>
    <s v="N/A"/>
    <x v="2"/>
    <x v="0"/>
  </r>
  <r>
    <n v="49"/>
    <n v="1"/>
    <n v="2"/>
    <n v="5"/>
    <n v="1"/>
    <n v="6.7118569295697901"/>
    <n v="9"/>
    <n v="87"/>
    <n v="69"/>
    <x v="0"/>
    <x v="0"/>
    <d v="2024-01-01T00:00:00"/>
    <d v="2024-01-20T00:00:00"/>
    <d v="2024-02-04T00:00:00"/>
    <n v="19"/>
    <n v="15"/>
    <x v="0"/>
    <x v="1"/>
  </r>
  <r>
    <n v="25"/>
    <n v="0"/>
    <n v="2"/>
    <n v="8"/>
    <n v="3"/>
    <n v="13.767667511445"/>
    <n v="91"/>
    <n v="73"/>
    <n v="57"/>
    <x v="1"/>
    <x v="1"/>
    <d v="2024-01-01T00:00:00"/>
    <d v="2024-01-15T00:00:00"/>
    <s v="N/A"/>
    <n v="14"/>
    <s v="N/A"/>
    <x v="3"/>
    <x v="1"/>
  </r>
  <r>
    <n v="41"/>
    <n v="0"/>
    <n v="4"/>
    <n v="10"/>
    <n v="3"/>
    <n v="42.398823175112497"/>
    <n v="10"/>
    <n v="40"/>
    <n v="99"/>
    <x v="0"/>
    <x v="0"/>
    <d v="2024-01-01T00:00:00"/>
    <d v="2024-02-08T00:00:00"/>
    <d v="2024-03-05T00:00:00"/>
    <n v="38"/>
    <n v="26"/>
    <x v="0"/>
    <x v="0"/>
  </r>
  <r>
    <n v="29"/>
    <n v="0"/>
    <n v="2"/>
    <n v="3"/>
    <n v="4"/>
    <n v="19.8997019313076"/>
    <n v="96"/>
    <n v="94"/>
    <n v="39"/>
    <x v="0"/>
    <x v="0"/>
    <d v="2024-01-01T00:00:00"/>
    <d v="2024-01-22T00:00:00"/>
    <d v="2024-02-20T00:00:00"/>
    <n v="21"/>
    <n v="29"/>
    <x v="0"/>
    <x v="1"/>
  </r>
  <r>
    <n v="23"/>
    <n v="1"/>
    <n v="2"/>
    <n v="10"/>
    <n v="4"/>
    <n v="50.059077939692102"/>
    <n v="64"/>
    <n v="76"/>
    <n v="50"/>
    <x v="1"/>
    <x v="1"/>
    <d v="2024-01-01T00:00:00"/>
    <d v="2024-01-17T00:00:00"/>
    <s v="N/A"/>
    <n v="16"/>
    <s v="N/A"/>
    <x v="3"/>
    <x v="1"/>
  </r>
  <r>
    <n v="41"/>
    <n v="0"/>
    <n v="2"/>
    <n v="11"/>
    <n v="3"/>
    <n v="24.312664076391702"/>
    <n v="76"/>
    <n v="2"/>
    <n v="4"/>
    <x v="2"/>
    <x v="1"/>
    <d v="2024-01-01T00:00:00"/>
    <d v="2024-01-27T00:00:00"/>
    <s v="N/A"/>
    <n v="26"/>
    <s v="N/A"/>
    <x v="2"/>
    <x v="1"/>
  </r>
  <r>
    <n v="48"/>
    <n v="1"/>
    <n v="1"/>
    <n v="1"/>
    <n v="2"/>
    <n v="40.596781148188199"/>
    <n v="100"/>
    <n v="58"/>
    <n v="76"/>
    <x v="1"/>
    <x v="1"/>
    <d v="2024-01-01T00:00:00"/>
    <d v="2024-02-04T00:00:00"/>
    <s v="N/A"/>
    <n v="34"/>
    <s v="N/A"/>
    <x v="1"/>
    <x v="0"/>
  </r>
  <r>
    <n v="50"/>
    <n v="0"/>
    <n v="4"/>
    <n v="12"/>
    <n v="4"/>
    <n v="21.115352069118501"/>
    <n v="83"/>
    <n v="51"/>
    <n v="31"/>
    <x v="1"/>
    <x v="0"/>
    <d v="2024-01-01T00:00:00"/>
    <d v="2024-02-03T00:00:00"/>
    <d v="2024-02-19T00:00:00"/>
    <n v="33"/>
    <n v="16"/>
    <x v="0"/>
    <x v="0"/>
  </r>
  <r>
    <n v="37"/>
    <n v="1"/>
    <n v="2"/>
    <n v="3"/>
    <n v="5"/>
    <n v="22.247675953121501"/>
    <n v="64"/>
    <n v="33"/>
    <n v="79"/>
    <x v="0"/>
    <x v="1"/>
    <d v="2024-01-01T00:00:00"/>
    <d v="2024-01-24T00:00:00"/>
    <s v="N/A"/>
    <n v="23"/>
    <s v="N/A"/>
    <x v="2"/>
    <x v="1"/>
  </r>
  <r>
    <n v="45"/>
    <n v="1"/>
    <n v="3"/>
    <n v="0"/>
    <n v="5"/>
    <n v="20.1441573642091"/>
    <n v="51"/>
    <n v="48"/>
    <n v="0"/>
    <x v="2"/>
    <x v="1"/>
    <d v="2024-01-01T00:00:00"/>
    <d v="2024-01-24T00:00:00"/>
    <s v="N/A"/>
    <n v="23"/>
    <s v="N/A"/>
    <x v="2"/>
    <x v="1"/>
  </r>
  <r>
    <n v="31"/>
    <n v="0"/>
    <n v="1"/>
    <n v="2"/>
    <n v="1"/>
    <n v="36.953781025540501"/>
    <n v="66"/>
    <n v="27"/>
    <n v="76"/>
    <x v="0"/>
    <x v="1"/>
    <d v="2024-01-01T00:00:00"/>
    <d v="2024-02-12T00:00:00"/>
    <s v="N/A"/>
    <n v="42"/>
    <s v="N/A"/>
    <x v="2"/>
    <x v="0"/>
  </r>
  <r>
    <n v="21"/>
    <n v="1"/>
    <n v="2"/>
    <n v="9"/>
    <n v="3"/>
    <n v="28.375894202999699"/>
    <n v="81"/>
    <n v="82"/>
    <n v="53"/>
    <x v="0"/>
    <x v="0"/>
    <d v="2024-01-01T00:00:00"/>
    <d v="2024-02-02T00:00:00"/>
    <d v="2024-03-01T00:00:00"/>
    <n v="32"/>
    <n v="28"/>
    <x v="0"/>
    <x v="0"/>
  </r>
  <r>
    <n v="29"/>
    <n v="0"/>
    <n v="2"/>
    <n v="8"/>
    <n v="2"/>
    <n v="48.188905568418399"/>
    <n v="77"/>
    <n v="86"/>
    <n v="10"/>
    <x v="1"/>
    <x v="1"/>
    <d v="2024-01-01T00:00:00"/>
    <d v="2024-01-25T00:00:00"/>
    <s v="N/A"/>
    <n v="24"/>
    <s v="N/A"/>
    <x v="3"/>
    <x v="1"/>
  </r>
  <r>
    <n v="49"/>
    <n v="1"/>
    <n v="3"/>
    <n v="9"/>
    <n v="1"/>
    <n v="13.544515826705201"/>
    <n v="30"/>
    <n v="95"/>
    <n v="52"/>
    <x v="1"/>
    <x v="1"/>
    <d v="2024-01-01T00:00:00"/>
    <d v="2024-01-15T00:00:00"/>
    <s v="N/A"/>
    <n v="14"/>
    <s v="N/A"/>
    <x v="3"/>
    <x v="1"/>
  </r>
  <r>
    <n v="23"/>
    <n v="0"/>
    <n v="1"/>
    <n v="4"/>
    <n v="3"/>
    <n v="6.02813660417221"/>
    <n v="90"/>
    <n v="12"/>
    <n v="7"/>
    <x v="2"/>
    <x v="1"/>
    <d v="2024-01-01T00:00:00"/>
    <d v="2024-01-22T00:00:00"/>
    <s v="N/A"/>
    <n v="21"/>
    <s v="N/A"/>
    <x v="2"/>
    <x v="1"/>
  </r>
  <r>
    <n v="33"/>
    <n v="0"/>
    <n v="2"/>
    <n v="14"/>
    <n v="4"/>
    <n v="20.663074254960701"/>
    <n v="16"/>
    <n v="96"/>
    <n v="24"/>
    <x v="0"/>
    <x v="0"/>
    <d v="2024-01-01T00:00:00"/>
    <d v="2024-01-31T00:00:00"/>
    <d v="2024-02-19T00:00:00"/>
    <n v="30"/>
    <n v="19"/>
    <x v="0"/>
    <x v="1"/>
  </r>
  <r>
    <n v="50"/>
    <n v="1"/>
    <n v="4"/>
    <n v="10"/>
    <n v="5"/>
    <n v="31.835635382338801"/>
    <n v="54"/>
    <n v="97"/>
    <n v="39"/>
    <x v="2"/>
    <x v="1"/>
    <d v="2024-01-01T00:00:00"/>
    <d v="2024-02-11T00:00:00"/>
    <s v="N/A"/>
    <n v="41"/>
    <s v="N/A"/>
    <x v="3"/>
    <x v="0"/>
  </r>
  <r>
    <n v="35"/>
    <n v="0"/>
    <n v="2"/>
    <n v="5"/>
    <n v="2"/>
    <n v="44.039946845774701"/>
    <n v="92"/>
    <n v="96"/>
    <n v="31"/>
    <x v="1"/>
    <x v="1"/>
    <d v="2024-01-01T00:00:00"/>
    <d v="2024-01-25T00:00:00"/>
    <s v="N/A"/>
    <n v="24"/>
    <s v="N/A"/>
    <x v="3"/>
    <x v="1"/>
  </r>
  <r>
    <n v="34"/>
    <n v="0"/>
    <n v="2"/>
    <n v="2"/>
    <n v="5"/>
    <n v="18.309844334016301"/>
    <n v="35"/>
    <n v="68"/>
    <n v="87"/>
    <x v="1"/>
    <x v="1"/>
    <d v="2024-01-01T00:00:00"/>
    <d v="2024-01-30T00:00:00"/>
    <s v="N/A"/>
    <n v="29"/>
    <s v="N/A"/>
    <x v="1"/>
    <x v="1"/>
  </r>
  <r>
    <n v="27"/>
    <n v="1"/>
    <n v="1"/>
    <n v="15"/>
    <n v="4"/>
    <n v="33.689337556223002"/>
    <n v="100"/>
    <n v="66"/>
    <n v="27"/>
    <x v="0"/>
    <x v="0"/>
    <d v="2024-01-01T00:00:00"/>
    <d v="2024-02-02T00:00:00"/>
    <d v="2024-02-24T00:00:00"/>
    <n v="32"/>
    <n v="22"/>
    <x v="0"/>
    <x v="0"/>
  </r>
  <r>
    <n v="33"/>
    <n v="0"/>
    <n v="4"/>
    <n v="4"/>
    <n v="3"/>
    <n v="18.509934051160901"/>
    <n v="25"/>
    <n v="60"/>
    <n v="77"/>
    <x v="0"/>
    <x v="0"/>
    <d v="2024-01-01T00:00:00"/>
    <d v="2024-01-29T00:00:00"/>
    <d v="2024-02-08T00:00:00"/>
    <n v="28"/>
    <n v="10"/>
    <x v="0"/>
    <x v="1"/>
  </r>
  <r>
    <n v="42"/>
    <n v="0"/>
    <n v="1"/>
    <n v="10"/>
    <n v="4"/>
    <n v="31.860979149722901"/>
    <n v="52"/>
    <n v="59"/>
    <n v="2"/>
    <x v="2"/>
    <x v="1"/>
    <d v="2024-01-01T00:00:00"/>
    <d v="2024-01-23T00:00:00"/>
    <s v="N/A"/>
    <n v="22"/>
    <s v="N/A"/>
    <x v="1"/>
    <x v="1"/>
  </r>
  <r>
    <n v="47"/>
    <n v="1"/>
    <n v="3"/>
    <n v="7"/>
    <n v="4"/>
    <n v="45.240397351532501"/>
    <n v="16"/>
    <n v="70"/>
    <n v="99"/>
    <x v="1"/>
    <x v="0"/>
    <d v="2024-01-01T00:00:00"/>
    <d v="2024-02-01T00:00:00"/>
    <d v="2024-02-11T00:00:00"/>
    <n v="31"/>
    <n v="10"/>
    <x v="0"/>
    <x v="0"/>
  </r>
  <r>
    <n v="44"/>
    <n v="1"/>
    <n v="3"/>
    <n v="5"/>
    <n v="5"/>
    <n v="12.5678821129704"/>
    <n v="85"/>
    <n v="23"/>
    <n v="90"/>
    <x v="1"/>
    <x v="1"/>
    <d v="2024-01-01T00:00:00"/>
    <d v="2024-02-13T00:00:00"/>
    <s v="N/A"/>
    <n v="43"/>
    <s v="N/A"/>
    <x v="2"/>
    <x v="0"/>
  </r>
  <r>
    <n v="49"/>
    <n v="0"/>
    <n v="2"/>
    <n v="3"/>
    <n v="2"/>
    <n v="21.2120821053519"/>
    <n v="24"/>
    <n v="62"/>
    <n v="83"/>
    <x v="2"/>
    <x v="1"/>
    <d v="2024-01-01T00:00:00"/>
    <d v="2024-01-24T00:00:00"/>
    <s v="N/A"/>
    <n v="23"/>
    <s v="N/A"/>
    <x v="1"/>
    <x v="1"/>
  </r>
  <r>
    <n v="27"/>
    <n v="0"/>
    <n v="2"/>
    <n v="1"/>
    <n v="4"/>
    <n v="50.663259821487301"/>
    <n v="1"/>
    <n v="85"/>
    <n v="78"/>
    <x v="0"/>
    <x v="0"/>
    <d v="2024-01-01T00:00:00"/>
    <d v="2024-02-02T00:00:00"/>
    <d v="2024-02-26T00:00:00"/>
    <n v="32"/>
    <n v="24"/>
    <x v="0"/>
    <x v="0"/>
  </r>
  <r>
    <n v="40"/>
    <n v="1"/>
    <n v="1"/>
    <n v="13"/>
    <n v="5"/>
    <n v="44.427851412472997"/>
    <n v="85"/>
    <n v="60"/>
    <n v="61"/>
    <x v="1"/>
    <x v="0"/>
    <d v="2024-01-01T00:00:00"/>
    <d v="2024-02-08T00:00:00"/>
    <d v="2024-03-05T00:00:00"/>
    <n v="38"/>
    <n v="26"/>
    <x v="0"/>
    <x v="0"/>
  </r>
  <r>
    <n v="35"/>
    <n v="1"/>
    <n v="2"/>
    <n v="8"/>
    <n v="2"/>
    <n v="29.231992894809999"/>
    <n v="4"/>
    <n v="22"/>
    <n v="26"/>
    <x v="1"/>
    <x v="1"/>
    <d v="2024-01-01T00:00:00"/>
    <d v="2024-02-01T00:00:00"/>
    <s v="N/A"/>
    <n v="31"/>
    <s v="N/A"/>
    <x v="2"/>
    <x v="0"/>
  </r>
  <r>
    <n v="32"/>
    <n v="0"/>
    <n v="3"/>
    <n v="12"/>
    <n v="3"/>
    <n v="26.831379592713699"/>
    <n v="3"/>
    <n v="29"/>
    <n v="44"/>
    <x v="0"/>
    <x v="0"/>
    <d v="2024-01-01T00:00:00"/>
    <d v="2024-02-14T00:00:00"/>
    <d v="2024-03-06T00:00:00"/>
    <n v="44"/>
    <n v="21"/>
    <x v="0"/>
    <x v="0"/>
  </r>
  <r>
    <n v="37"/>
    <n v="1"/>
    <n v="3"/>
    <n v="11"/>
    <n v="3"/>
    <n v="15.230019115234001"/>
    <n v="35"/>
    <n v="59"/>
    <n v="91"/>
    <x v="0"/>
    <x v="0"/>
    <d v="2024-01-01T00:00:00"/>
    <d v="2024-01-20T00:00:00"/>
    <d v="2024-02-19T00:00:00"/>
    <n v="19"/>
    <n v="30"/>
    <x v="0"/>
    <x v="1"/>
  </r>
  <r>
    <n v="34"/>
    <n v="0"/>
    <n v="2"/>
    <n v="0"/>
    <n v="1"/>
    <n v="26.860471384676401"/>
    <n v="5"/>
    <n v="17"/>
    <n v="24"/>
    <x v="1"/>
    <x v="1"/>
    <d v="2024-01-01T00:00:00"/>
    <d v="2024-02-06T00:00:00"/>
    <s v="N/A"/>
    <n v="36"/>
    <s v="N/A"/>
    <x v="2"/>
    <x v="0"/>
  </r>
  <r>
    <n v="40"/>
    <n v="0"/>
    <n v="2"/>
    <n v="0"/>
    <n v="5"/>
    <n v="43.409074913997301"/>
    <n v="20"/>
    <n v="95"/>
    <n v="60"/>
    <x v="1"/>
    <x v="1"/>
    <d v="2024-01-01T00:00:00"/>
    <d v="2024-02-11T00:00:00"/>
    <s v="N/A"/>
    <n v="41"/>
    <s v="N/A"/>
    <x v="3"/>
    <x v="0"/>
  </r>
  <r>
    <n v="43"/>
    <n v="0"/>
    <n v="1"/>
    <n v="12"/>
    <n v="2"/>
    <n v="35.258725663889003"/>
    <n v="76"/>
    <n v="55"/>
    <n v="43"/>
    <x v="1"/>
    <x v="1"/>
    <d v="2024-01-01T00:00:00"/>
    <d v="2024-01-22T00:00:00"/>
    <s v="N/A"/>
    <n v="21"/>
    <s v="N/A"/>
    <x v="1"/>
    <x v="1"/>
  </r>
  <r>
    <n v="45"/>
    <n v="0"/>
    <n v="1"/>
    <n v="3"/>
    <n v="4"/>
    <n v="15.5022014088993"/>
    <n v="100"/>
    <n v="52"/>
    <n v="96"/>
    <x v="0"/>
    <x v="0"/>
    <d v="2024-01-01T00:00:00"/>
    <d v="2024-02-07T00:00:00"/>
    <d v="2024-02-19T00:00:00"/>
    <n v="37"/>
    <n v="12"/>
    <x v="0"/>
    <x v="0"/>
  </r>
  <r>
    <n v="44"/>
    <n v="0"/>
    <n v="1"/>
    <n v="6"/>
    <n v="3"/>
    <n v="11.0731960526766"/>
    <n v="88"/>
    <n v="6"/>
    <n v="45"/>
    <x v="2"/>
    <x v="1"/>
    <d v="2024-01-01T00:00:00"/>
    <d v="2024-01-19T00:00:00"/>
    <s v="N/A"/>
    <n v="18"/>
    <s v="N/A"/>
    <x v="2"/>
    <x v="1"/>
  </r>
  <r>
    <n v="47"/>
    <n v="1"/>
    <n v="2"/>
    <n v="0"/>
    <n v="2"/>
    <n v="14.2604268498414"/>
    <n v="25"/>
    <n v="96"/>
    <n v="13"/>
    <x v="0"/>
    <x v="1"/>
    <d v="2024-01-01T00:00:00"/>
    <d v="2024-02-03T00:00:00"/>
    <s v="N/A"/>
    <n v="33"/>
    <s v="N/A"/>
    <x v="3"/>
    <x v="0"/>
  </r>
  <r>
    <n v="47"/>
    <n v="1"/>
    <n v="2"/>
    <n v="8"/>
    <n v="5"/>
    <n v="9.4879600696413195"/>
    <n v="54"/>
    <n v="68"/>
    <n v="7"/>
    <x v="1"/>
    <x v="1"/>
    <d v="2024-01-01T00:00:00"/>
    <d v="2024-01-22T00:00:00"/>
    <s v="N/A"/>
    <n v="21"/>
    <s v="N/A"/>
    <x v="1"/>
    <x v="1"/>
  </r>
  <r>
    <n v="47"/>
    <n v="1"/>
    <n v="2"/>
    <n v="3"/>
    <n v="1"/>
    <n v="5.7820348011857901"/>
    <n v="38"/>
    <n v="91"/>
    <n v="47"/>
    <x v="1"/>
    <x v="1"/>
    <d v="2024-01-01T00:00:00"/>
    <d v="2024-02-11T00:00:00"/>
    <s v="N/A"/>
    <n v="41"/>
    <s v="N/A"/>
    <x v="3"/>
    <x v="0"/>
  </r>
  <r>
    <n v="32"/>
    <n v="1"/>
    <n v="2"/>
    <n v="2"/>
    <n v="3"/>
    <n v="21.9568087221027"/>
    <n v="83"/>
    <n v="71"/>
    <n v="13"/>
    <x v="0"/>
    <x v="0"/>
    <d v="2024-01-01T00:00:00"/>
    <d v="2024-02-13T00:00:00"/>
    <d v="2024-03-14T00:00:00"/>
    <n v="43"/>
    <n v="30"/>
    <x v="0"/>
    <x v="0"/>
  </r>
  <r>
    <n v="28"/>
    <n v="0"/>
    <n v="2"/>
    <n v="0"/>
    <n v="2"/>
    <n v="6.6649802199133799"/>
    <n v="32"/>
    <n v="78"/>
    <n v="64"/>
    <x v="0"/>
    <x v="0"/>
    <d v="2024-01-01T00:00:00"/>
    <d v="2024-02-11T00:00:00"/>
    <d v="2024-02-18T00:00:00"/>
    <n v="41"/>
    <n v="7"/>
    <x v="0"/>
    <x v="0"/>
  </r>
  <r>
    <n v="48"/>
    <n v="0"/>
    <n v="2"/>
    <n v="9"/>
    <n v="2"/>
    <n v="9.59562788635521"/>
    <n v="13"/>
    <n v="51"/>
    <n v="79"/>
    <x v="1"/>
    <x v="1"/>
    <d v="2024-01-01T00:00:00"/>
    <d v="2024-02-12T00:00:00"/>
    <s v="N/A"/>
    <n v="42"/>
    <s v="N/A"/>
    <x v="1"/>
    <x v="0"/>
  </r>
  <r>
    <n v="34"/>
    <n v="0"/>
    <n v="3"/>
    <n v="3"/>
    <n v="2"/>
    <n v="28.366234216974298"/>
    <n v="55"/>
    <n v="3"/>
    <n v="81"/>
    <x v="2"/>
    <x v="1"/>
    <d v="2024-01-01T00:00:00"/>
    <d v="2024-01-29T00:00:00"/>
    <s v="N/A"/>
    <n v="28"/>
    <s v="N/A"/>
    <x v="2"/>
    <x v="1"/>
  </r>
  <r>
    <n v="32"/>
    <n v="0"/>
    <n v="2"/>
    <n v="8"/>
    <n v="5"/>
    <n v="9.2299636849787294"/>
    <n v="99"/>
    <n v="33"/>
    <n v="6"/>
    <x v="0"/>
    <x v="0"/>
    <d v="2024-01-01T00:00:00"/>
    <d v="2024-01-21T00:00:00"/>
    <d v="2024-02-09T00:00:00"/>
    <n v="20"/>
    <n v="19"/>
    <x v="0"/>
    <x v="1"/>
  </r>
  <r>
    <n v="20"/>
    <n v="1"/>
    <n v="4"/>
    <n v="12"/>
    <n v="5"/>
    <n v="4.1939883715451396"/>
    <n v="80"/>
    <n v="68"/>
    <n v="78"/>
    <x v="1"/>
    <x v="0"/>
    <d v="2024-01-01T00:00:00"/>
    <d v="2024-01-15T00:00:00"/>
    <d v="2024-02-09T00:00:00"/>
    <n v="14"/>
    <n v="25"/>
    <x v="0"/>
    <x v="1"/>
  </r>
  <r>
    <n v="44"/>
    <n v="0"/>
    <n v="3"/>
    <n v="13"/>
    <n v="5"/>
    <n v="16.8694425013942"/>
    <n v="20"/>
    <n v="32"/>
    <n v="87"/>
    <x v="1"/>
    <x v="1"/>
    <d v="2024-01-01T00:00:00"/>
    <d v="2024-02-08T00:00:00"/>
    <s v="N/A"/>
    <n v="38"/>
    <s v="N/A"/>
    <x v="2"/>
    <x v="0"/>
  </r>
  <r>
    <n v="26"/>
    <n v="0"/>
    <n v="1"/>
    <n v="9"/>
    <n v="4"/>
    <n v="12.0159549310983"/>
    <n v="45"/>
    <n v="68"/>
    <n v="48"/>
    <x v="0"/>
    <x v="0"/>
    <d v="2024-01-01T00:00:00"/>
    <d v="2024-02-11T00:00:00"/>
    <d v="2024-02-26T00:00:00"/>
    <n v="41"/>
    <n v="15"/>
    <x v="0"/>
    <x v="0"/>
  </r>
  <r>
    <n v="28"/>
    <n v="1"/>
    <n v="3"/>
    <n v="15"/>
    <n v="2"/>
    <n v="26.765259399718801"/>
    <n v="15"/>
    <n v="37"/>
    <n v="54"/>
    <x v="1"/>
    <x v="1"/>
    <d v="2024-01-01T00:00:00"/>
    <d v="2024-02-13T00:00:00"/>
    <s v="N/A"/>
    <n v="43"/>
    <s v="N/A"/>
    <x v="2"/>
    <x v="0"/>
  </r>
  <r>
    <n v="43"/>
    <n v="1"/>
    <n v="2"/>
    <n v="15"/>
    <n v="3"/>
    <n v="6.1183542291604596"/>
    <n v="15"/>
    <n v="97"/>
    <n v="12"/>
    <x v="2"/>
    <x v="1"/>
    <d v="2024-01-01T00:00:00"/>
    <d v="2024-01-15T00:00:00"/>
    <s v="N/A"/>
    <n v="14"/>
    <s v="N/A"/>
    <x v="3"/>
    <x v="1"/>
  </r>
  <r>
    <n v="20"/>
    <n v="1"/>
    <n v="2"/>
    <n v="5"/>
    <n v="5"/>
    <n v="38.588539384148902"/>
    <n v="83"/>
    <n v="25"/>
    <n v="72"/>
    <x v="1"/>
    <x v="1"/>
    <d v="2024-01-01T00:00:00"/>
    <d v="2024-02-09T00:00:00"/>
    <s v="N/A"/>
    <n v="39"/>
    <s v="N/A"/>
    <x v="2"/>
    <x v="0"/>
  </r>
  <r>
    <n v="31"/>
    <n v="1"/>
    <n v="2"/>
    <n v="15"/>
    <n v="5"/>
    <n v="46.311675971756898"/>
    <n v="28"/>
    <n v="0"/>
    <n v="55"/>
    <x v="2"/>
    <x v="1"/>
    <d v="2024-01-01T00:00:00"/>
    <d v="2024-01-17T00:00:00"/>
    <s v="N/A"/>
    <n v="16"/>
    <s v="N/A"/>
    <x v="2"/>
    <x v="1"/>
  </r>
  <r>
    <n v="27"/>
    <n v="0"/>
    <n v="2"/>
    <n v="5"/>
    <n v="2"/>
    <n v="38.1717586978097"/>
    <n v="91"/>
    <n v="3"/>
    <n v="55"/>
    <x v="0"/>
    <x v="1"/>
    <d v="2024-01-01T00:00:00"/>
    <d v="2024-02-03T00:00:00"/>
    <s v="N/A"/>
    <n v="33"/>
    <s v="N/A"/>
    <x v="2"/>
    <x v="0"/>
  </r>
  <r>
    <n v="43"/>
    <n v="0"/>
    <n v="2"/>
    <n v="0"/>
    <n v="5"/>
    <n v="27.641351870069698"/>
    <n v="7"/>
    <n v="38"/>
    <n v="14"/>
    <x v="1"/>
    <x v="1"/>
    <d v="2024-01-01T00:00:00"/>
    <d v="2024-02-06T00:00:00"/>
    <s v="N/A"/>
    <n v="36"/>
    <s v="N/A"/>
    <x v="2"/>
    <x v="0"/>
  </r>
  <r>
    <n v="50"/>
    <n v="1"/>
    <n v="2"/>
    <n v="9"/>
    <n v="4"/>
    <n v="44.033391089444201"/>
    <n v="87"/>
    <n v="53"/>
    <n v="56"/>
    <x v="1"/>
    <x v="1"/>
    <d v="2024-01-01T00:00:00"/>
    <d v="2024-02-02T00:00:00"/>
    <s v="N/A"/>
    <n v="32"/>
    <s v="N/A"/>
    <x v="1"/>
    <x v="0"/>
  </r>
  <r>
    <n v="30"/>
    <n v="0"/>
    <n v="2"/>
    <n v="1"/>
    <n v="4"/>
    <n v="35.7459189890753"/>
    <n v="2"/>
    <n v="89"/>
    <n v="57"/>
    <x v="1"/>
    <x v="1"/>
    <d v="2024-01-01T00:00:00"/>
    <d v="2024-02-10T00:00:00"/>
    <s v="N/A"/>
    <n v="40"/>
    <s v="N/A"/>
    <x v="3"/>
    <x v="0"/>
  </r>
  <r>
    <n v="38"/>
    <n v="0"/>
    <n v="2"/>
    <n v="10"/>
    <n v="5"/>
    <n v="1.52755612250949"/>
    <n v="88"/>
    <n v="32"/>
    <n v="34"/>
    <x v="1"/>
    <x v="1"/>
    <d v="2024-01-01T00:00:00"/>
    <d v="2024-02-10T00:00:00"/>
    <s v="N/A"/>
    <n v="40"/>
    <s v="N/A"/>
    <x v="2"/>
    <x v="0"/>
  </r>
  <r>
    <n v="36"/>
    <n v="0"/>
    <n v="2"/>
    <n v="5"/>
    <n v="2"/>
    <n v="20.704507638725101"/>
    <n v="18"/>
    <n v="32"/>
    <n v="87"/>
    <x v="0"/>
    <x v="1"/>
    <d v="2024-01-01T00:00:00"/>
    <d v="2024-02-14T00:00:00"/>
    <s v="N/A"/>
    <n v="44"/>
    <s v="N/A"/>
    <x v="2"/>
    <x v="0"/>
  </r>
  <r>
    <n v="27"/>
    <n v="1"/>
    <n v="3"/>
    <n v="1"/>
    <n v="2"/>
    <n v="43.54759497034"/>
    <n v="96"/>
    <n v="71"/>
    <n v="96"/>
    <x v="1"/>
    <x v="0"/>
    <d v="2024-01-01T00:00:00"/>
    <d v="2024-02-14T00:00:00"/>
    <d v="2024-02-23T00:00:00"/>
    <n v="44"/>
    <n v="9"/>
    <x v="0"/>
    <x v="0"/>
  </r>
  <r>
    <n v="22"/>
    <n v="0"/>
    <n v="1"/>
    <n v="2"/>
    <n v="2"/>
    <n v="18.2929428987634"/>
    <n v="65"/>
    <n v="19"/>
    <n v="15"/>
    <x v="1"/>
    <x v="1"/>
    <d v="2024-01-01T00:00:00"/>
    <d v="2024-02-03T00:00:00"/>
    <s v="N/A"/>
    <n v="33"/>
    <s v="N/A"/>
    <x v="2"/>
    <x v="0"/>
  </r>
  <r>
    <n v="22"/>
    <n v="1"/>
    <n v="2"/>
    <n v="3"/>
    <n v="1"/>
    <n v="2.7607586762761702"/>
    <n v="78"/>
    <n v="15"/>
    <n v="7"/>
    <x v="0"/>
    <x v="1"/>
    <d v="2024-01-01T00:00:00"/>
    <d v="2024-02-01T00:00:00"/>
    <s v="N/A"/>
    <n v="31"/>
    <s v="N/A"/>
    <x v="2"/>
    <x v="0"/>
  </r>
  <r>
    <n v="20"/>
    <n v="0"/>
    <n v="3"/>
    <n v="10"/>
    <n v="5"/>
    <n v="38.308981927613601"/>
    <n v="85"/>
    <n v="20"/>
    <n v="92"/>
    <x v="2"/>
    <x v="0"/>
    <d v="2024-01-01T00:00:00"/>
    <d v="2024-01-30T00:00:00"/>
    <d v="2024-02-16T00:00:00"/>
    <n v="29"/>
    <n v="17"/>
    <x v="0"/>
    <x v="1"/>
  </r>
  <r>
    <n v="46"/>
    <n v="0"/>
    <n v="2"/>
    <n v="4"/>
    <n v="2"/>
    <n v="41.101913514143398"/>
    <n v="73"/>
    <n v="44"/>
    <n v="86"/>
    <x v="1"/>
    <x v="1"/>
    <d v="2024-01-01T00:00:00"/>
    <d v="2024-02-06T00:00:00"/>
    <s v="N/A"/>
    <n v="36"/>
    <s v="N/A"/>
    <x v="2"/>
    <x v="0"/>
  </r>
  <r>
    <n v="24"/>
    <n v="0"/>
    <n v="1"/>
    <n v="14"/>
    <n v="4"/>
    <n v="9.0296847521654193"/>
    <n v="81"/>
    <n v="89"/>
    <n v="44"/>
    <x v="1"/>
    <x v="1"/>
    <d v="2024-01-01T00:00:00"/>
    <d v="2024-02-08T00:00:00"/>
    <s v="N/A"/>
    <n v="38"/>
    <s v="N/A"/>
    <x v="3"/>
    <x v="0"/>
  </r>
  <r>
    <n v="29"/>
    <n v="1"/>
    <n v="1"/>
    <n v="8"/>
    <n v="3"/>
    <n v="27.867024842159001"/>
    <n v="21"/>
    <n v="86"/>
    <n v="94"/>
    <x v="0"/>
    <x v="0"/>
    <d v="2024-01-01T00:00:00"/>
    <d v="2024-01-15T00:00:00"/>
    <d v="2024-01-30T00:00:00"/>
    <n v="14"/>
    <n v="15"/>
    <x v="0"/>
    <x v="1"/>
  </r>
  <r>
    <n v="26"/>
    <n v="0"/>
    <n v="2"/>
    <n v="11"/>
    <n v="3"/>
    <n v="10.5977719497862"/>
    <n v="45"/>
    <n v="81"/>
    <n v="39"/>
    <x v="0"/>
    <x v="0"/>
    <d v="2024-01-01T00:00:00"/>
    <d v="2024-02-10T00:00:00"/>
    <d v="2024-03-09T00:00:00"/>
    <n v="40"/>
    <n v="28"/>
    <x v="0"/>
    <x v="0"/>
  </r>
  <r>
    <n v="45"/>
    <n v="1"/>
    <n v="4"/>
    <n v="14"/>
    <n v="2"/>
    <n v="36.961720952207301"/>
    <n v="90"/>
    <n v="61"/>
    <n v="53"/>
    <x v="1"/>
    <x v="0"/>
    <d v="2024-01-01T00:00:00"/>
    <d v="2024-01-16T00:00:00"/>
    <d v="2024-01-24T00:00:00"/>
    <n v="15"/>
    <n v="8"/>
    <x v="0"/>
    <x v="1"/>
  </r>
  <r>
    <n v="28"/>
    <n v="1"/>
    <n v="2"/>
    <n v="14"/>
    <n v="3"/>
    <n v="14.577522758874199"/>
    <n v="12"/>
    <n v="30"/>
    <n v="13"/>
    <x v="1"/>
    <x v="1"/>
    <d v="2024-01-01T00:00:00"/>
    <d v="2024-02-14T00:00:00"/>
    <s v="N/A"/>
    <n v="44"/>
    <s v="N/A"/>
    <x v="2"/>
    <x v="0"/>
  </r>
  <r>
    <n v="47"/>
    <n v="1"/>
    <n v="4"/>
    <n v="3"/>
    <n v="3"/>
    <n v="16.810756128166499"/>
    <n v="32"/>
    <n v="41"/>
    <n v="58"/>
    <x v="1"/>
    <x v="1"/>
    <d v="2024-01-01T00:00:00"/>
    <d v="2024-01-25T00:00:00"/>
    <s v="N/A"/>
    <n v="24"/>
    <s v="N/A"/>
    <x v="2"/>
    <x v="1"/>
  </r>
  <r>
    <n v="26"/>
    <n v="0"/>
    <n v="2"/>
    <n v="12"/>
    <n v="1"/>
    <n v="43.248542682005002"/>
    <n v="4"/>
    <n v="11"/>
    <n v="93"/>
    <x v="1"/>
    <x v="1"/>
    <d v="2024-01-01T00:00:00"/>
    <d v="2024-02-02T00:00:00"/>
    <s v="N/A"/>
    <n v="32"/>
    <s v="N/A"/>
    <x v="2"/>
    <x v="0"/>
  </r>
  <r>
    <n v="28"/>
    <n v="0"/>
    <n v="2"/>
    <n v="10"/>
    <n v="4"/>
    <n v="24.816117610345199"/>
    <n v="89"/>
    <n v="64"/>
    <n v="52"/>
    <x v="0"/>
    <x v="0"/>
    <d v="2024-01-01T00:00:00"/>
    <d v="2024-01-30T00:00:00"/>
    <d v="2024-02-11T00:00:00"/>
    <n v="29"/>
    <n v="12"/>
    <x v="0"/>
    <x v="1"/>
  </r>
  <r>
    <n v="27"/>
    <n v="0"/>
    <n v="2"/>
    <n v="8"/>
    <n v="4"/>
    <n v="34.487722560912303"/>
    <n v="76"/>
    <n v="72"/>
    <n v="26"/>
    <x v="1"/>
    <x v="1"/>
    <d v="2024-01-01T00:00:00"/>
    <d v="2024-02-01T00:00:00"/>
    <s v="N/A"/>
    <n v="31"/>
    <s v="N/A"/>
    <x v="3"/>
    <x v="0"/>
  </r>
  <r>
    <n v="31"/>
    <n v="0"/>
    <n v="2"/>
    <n v="10"/>
    <n v="1"/>
    <n v="21.1186525361233"/>
    <n v="26"/>
    <n v="2"/>
    <n v="46"/>
    <x v="1"/>
    <x v="1"/>
    <d v="2024-01-01T00:00:00"/>
    <d v="2024-02-13T00:00:00"/>
    <s v="N/A"/>
    <n v="43"/>
    <s v="N/A"/>
    <x v="2"/>
    <x v="0"/>
  </r>
  <r>
    <n v="21"/>
    <n v="1"/>
    <n v="1"/>
    <n v="9"/>
    <n v="1"/>
    <n v="15.900342859687701"/>
    <n v="77"/>
    <n v="89"/>
    <n v="79"/>
    <x v="1"/>
    <x v="0"/>
    <d v="2024-01-01T00:00:00"/>
    <d v="2024-02-12T00:00:00"/>
    <d v="2024-03-04T00:00:00"/>
    <n v="42"/>
    <n v="21"/>
    <x v="0"/>
    <x v="0"/>
  </r>
  <r>
    <n v="20"/>
    <n v="1"/>
    <n v="3"/>
    <n v="2"/>
    <n v="3"/>
    <n v="32.273903021232996"/>
    <n v="23"/>
    <n v="8"/>
    <n v="5"/>
    <x v="0"/>
    <x v="1"/>
    <d v="2024-01-01T00:00:00"/>
    <d v="2024-01-21T00:00:00"/>
    <s v="N/A"/>
    <n v="20"/>
    <s v="N/A"/>
    <x v="2"/>
    <x v="1"/>
  </r>
  <r>
    <n v="35"/>
    <n v="1"/>
    <n v="3"/>
    <n v="7"/>
    <n v="5"/>
    <n v="8.7428787039410594"/>
    <n v="66"/>
    <n v="50"/>
    <n v="54"/>
    <x v="0"/>
    <x v="0"/>
    <d v="2024-01-01T00:00:00"/>
    <d v="2024-01-27T00:00:00"/>
    <d v="2024-02-15T00:00:00"/>
    <n v="26"/>
    <n v="19"/>
    <x v="0"/>
    <x v="1"/>
  </r>
  <r>
    <n v="42"/>
    <n v="0"/>
    <n v="2"/>
    <n v="11"/>
    <n v="3"/>
    <n v="19.6499917783431"/>
    <n v="62"/>
    <n v="15"/>
    <n v="96"/>
    <x v="1"/>
    <x v="1"/>
    <d v="2024-01-01T00:00:00"/>
    <d v="2024-02-11T00:00:00"/>
    <s v="N/A"/>
    <n v="41"/>
    <s v="N/A"/>
    <x v="2"/>
    <x v="0"/>
  </r>
  <r>
    <n v="42"/>
    <n v="1"/>
    <n v="4"/>
    <n v="0"/>
    <n v="1"/>
    <n v="11.4518518692961"/>
    <n v="93"/>
    <n v="87"/>
    <n v="43"/>
    <x v="0"/>
    <x v="0"/>
    <d v="2024-01-01T00:00:00"/>
    <d v="2024-02-13T00:00:00"/>
    <d v="2024-03-09T00:00:00"/>
    <n v="43"/>
    <n v="25"/>
    <x v="0"/>
    <x v="0"/>
  </r>
  <r>
    <n v="49"/>
    <n v="0"/>
    <n v="3"/>
    <n v="10"/>
    <n v="4"/>
    <n v="35.789748347037197"/>
    <n v="98"/>
    <n v="77"/>
    <n v="17"/>
    <x v="0"/>
    <x v="0"/>
    <d v="2024-01-01T00:00:00"/>
    <d v="2024-01-19T00:00:00"/>
    <d v="2024-02-14T00:00:00"/>
    <n v="18"/>
    <n v="26"/>
    <x v="0"/>
    <x v="1"/>
  </r>
  <r>
    <n v="43"/>
    <n v="1"/>
    <n v="2"/>
    <n v="8"/>
    <n v="3"/>
    <n v="48.210441917305303"/>
    <n v="47"/>
    <n v="2"/>
    <n v="15"/>
    <x v="0"/>
    <x v="1"/>
    <d v="2024-01-01T00:00:00"/>
    <d v="2024-02-05T00:00:00"/>
    <s v="N/A"/>
    <n v="35"/>
    <s v="N/A"/>
    <x v="2"/>
    <x v="0"/>
  </r>
  <r>
    <n v="24"/>
    <n v="0"/>
    <n v="1"/>
    <n v="8"/>
    <n v="5"/>
    <n v="50.775548400793298"/>
    <n v="62"/>
    <n v="97"/>
    <n v="11"/>
    <x v="1"/>
    <x v="1"/>
    <d v="2024-01-01T00:00:00"/>
    <d v="2024-01-21T00:00:00"/>
    <s v="N/A"/>
    <n v="20"/>
    <s v="N/A"/>
    <x v="3"/>
    <x v="1"/>
  </r>
  <r>
    <n v="22"/>
    <n v="0"/>
    <n v="2"/>
    <n v="9"/>
    <n v="3"/>
    <n v="23.513840522079501"/>
    <n v="77"/>
    <n v="96"/>
    <n v="19"/>
    <x v="1"/>
    <x v="1"/>
    <d v="2024-01-01T00:00:00"/>
    <d v="2024-01-20T00:00:00"/>
    <s v="N/A"/>
    <n v="19"/>
    <s v="N/A"/>
    <x v="3"/>
    <x v="1"/>
  </r>
  <r>
    <n v="31"/>
    <n v="1"/>
    <n v="2"/>
    <n v="1"/>
    <n v="2"/>
    <n v="13.6265194818222"/>
    <n v="11"/>
    <n v="23"/>
    <n v="44"/>
    <x v="1"/>
    <x v="1"/>
    <d v="2024-01-01T00:00:00"/>
    <d v="2024-01-28T00:00:00"/>
    <s v="N/A"/>
    <n v="27"/>
    <s v="N/A"/>
    <x v="2"/>
    <x v="1"/>
  </r>
  <r>
    <n v="27"/>
    <n v="1"/>
    <n v="2"/>
    <n v="3"/>
    <n v="3"/>
    <n v="23.1414685192162"/>
    <n v="27"/>
    <n v="72"/>
    <n v="63"/>
    <x v="0"/>
    <x v="0"/>
    <d v="2024-01-01T00:00:00"/>
    <d v="2024-02-11T00:00:00"/>
    <d v="2024-02-18T00:00:00"/>
    <n v="41"/>
    <n v="7"/>
    <x v="0"/>
    <x v="0"/>
  </r>
  <r>
    <n v="41"/>
    <n v="1"/>
    <n v="1"/>
    <n v="12"/>
    <n v="1"/>
    <n v="43.363470498136103"/>
    <n v="43"/>
    <n v="12"/>
    <n v="58"/>
    <x v="1"/>
    <x v="1"/>
    <d v="2024-01-01T00:00:00"/>
    <d v="2024-01-24T00:00:00"/>
    <s v="N/A"/>
    <n v="23"/>
    <s v="N/A"/>
    <x v="2"/>
    <x v="1"/>
  </r>
  <r>
    <n v="46"/>
    <n v="1"/>
    <n v="3"/>
    <n v="7"/>
    <n v="4"/>
    <n v="11.3002839276019"/>
    <n v="92"/>
    <n v="1"/>
    <n v="92"/>
    <x v="0"/>
    <x v="0"/>
    <d v="2024-01-01T00:00:00"/>
    <d v="2024-01-25T00:00:00"/>
    <d v="2024-02-17T00:00:00"/>
    <n v="24"/>
    <n v="23"/>
    <x v="0"/>
    <x v="1"/>
  </r>
  <r>
    <n v="22"/>
    <n v="0"/>
    <n v="1"/>
    <n v="6"/>
    <n v="4"/>
    <n v="48.604782582646102"/>
    <n v="42"/>
    <n v="70"/>
    <n v="93"/>
    <x v="2"/>
    <x v="1"/>
    <d v="2024-01-01T00:00:00"/>
    <d v="2024-01-22T00:00:00"/>
    <s v="N/A"/>
    <n v="21"/>
    <s v="N/A"/>
    <x v="3"/>
    <x v="1"/>
  </r>
  <r>
    <n v="20"/>
    <n v="1"/>
    <n v="2"/>
    <n v="0"/>
    <n v="1"/>
    <n v="18.0932884399075"/>
    <n v="16"/>
    <n v="20"/>
    <n v="89"/>
    <x v="1"/>
    <x v="1"/>
    <d v="2024-01-01T00:00:00"/>
    <d v="2024-01-20T00:00:00"/>
    <s v="N/A"/>
    <n v="19"/>
    <s v="N/A"/>
    <x v="2"/>
    <x v="1"/>
  </r>
  <r>
    <n v="22"/>
    <n v="1"/>
    <n v="4"/>
    <n v="4"/>
    <n v="2"/>
    <n v="50.290182972515197"/>
    <n v="39"/>
    <n v="18"/>
    <n v="21"/>
    <x v="1"/>
    <x v="1"/>
    <d v="2024-01-01T00:00:00"/>
    <d v="2024-02-12T00:00:00"/>
    <s v="N/A"/>
    <n v="42"/>
    <s v="N/A"/>
    <x v="2"/>
    <x v="0"/>
  </r>
  <r>
    <n v="24"/>
    <n v="1"/>
    <n v="3"/>
    <n v="6"/>
    <n v="1"/>
    <n v="42.930444376698098"/>
    <n v="48"/>
    <n v="88"/>
    <n v="96"/>
    <x v="0"/>
    <x v="0"/>
    <d v="2024-01-01T00:00:00"/>
    <d v="2024-02-10T00:00:00"/>
    <d v="2024-03-05T00:00:00"/>
    <n v="40"/>
    <n v="24"/>
    <x v="0"/>
    <x v="0"/>
  </r>
  <r>
    <n v="34"/>
    <n v="0"/>
    <n v="2"/>
    <n v="14"/>
    <n v="3"/>
    <n v="41.4285267073695"/>
    <n v="84"/>
    <n v="46"/>
    <n v="46"/>
    <x v="0"/>
    <x v="0"/>
    <d v="2024-01-01T00:00:00"/>
    <d v="2024-02-12T00:00:00"/>
    <d v="2024-03-02T00:00:00"/>
    <n v="42"/>
    <n v="19"/>
    <x v="0"/>
    <x v="0"/>
  </r>
  <r>
    <n v="33"/>
    <n v="0"/>
    <n v="3"/>
    <n v="15"/>
    <n v="1"/>
    <n v="16.895233688664099"/>
    <n v="56"/>
    <n v="21"/>
    <n v="28"/>
    <x v="1"/>
    <x v="1"/>
    <d v="2024-01-01T00:00:00"/>
    <d v="2024-01-28T00:00:00"/>
    <s v="N/A"/>
    <n v="27"/>
    <s v="N/A"/>
    <x v="2"/>
    <x v="1"/>
  </r>
  <r>
    <n v="22"/>
    <n v="1"/>
    <n v="1"/>
    <n v="3"/>
    <n v="1"/>
    <n v="1.4388605973964701"/>
    <n v="86"/>
    <n v="74"/>
    <n v="85"/>
    <x v="1"/>
    <x v="1"/>
    <d v="2024-01-01T00:00:00"/>
    <d v="2024-02-13T00:00:00"/>
    <s v="N/A"/>
    <n v="43"/>
    <s v="N/A"/>
    <x v="3"/>
    <x v="0"/>
  </r>
  <r>
    <n v="20"/>
    <n v="0"/>
    <n v="1"/>
    <n v="14"/>
    <n v="2"/>
    <n v="20.1066454412993"/>
    <n v="83"/>
    <n v="32"/>
    <n v="44"/>
    <x v="0"/>
    <x v="0"/>
    <d v="2024-01-01T00:00:00"/>
    <d v="2024-01-28T00:00:00"/>
    <d v="2024-02-04T00:00:00"/>
    <n v="27"/>
    <n v="7"/>
    <x v="0"/>
    <x v="1"/>
  </r>
  <r>
    <n v="24"/>
    <n v="1"/>
    <n v="2"/>
    <n v="15"/>
    <n v="3"/>
    <n v="16.0904684831346"/>
    <n v="63"/>
    <n v="31"/>
    <n v="76"/>
    <x v="2"/>
    <x v="1"/>
    <d v="2024-01-01T00:00:00"/>
    <d v="2024-01-28T00:00:00"/>
    <s v="N/A"/>
    <n v="27"/>
    <s v="N/A"/>
    <x v="2"/>
    <x v="1"/>
  </r>
  <r>
    <n v="45"/>
    <n v="0"/>
    <n v="2"/>
    <n v="14"/>
    <n v="5"/>
    <n v="2.86984952043986"/>
    <n v="74"/>
    <n v="63"/>
    <n v="8"/>
    <x v="2"/>
    <x v="1"/>
    <d v="2024-01-01T00:00:00"/>
    <d v="2024-02-01T00:00:00"/>
    <s v="N/A"/>
    <n v="31"/>
    <s v="N/A"/>
    <x v="1"/>
    <x v="0"/>
  </r>
  <r>
    <n v="42"/>
    <n v="0"/>
    <n v="2"/>
    <n v="0"/>
    <n v="5"/>
    <n v="26.2682628252964"/>
    <n v="56"/>
    <n v="84"/>
    <n v="23"/>
    <x v="1"/>
    <x v="1"/>
    <d v="2024-01-01T00:00:00"/>
    <d v="2024-01-24T00:00:00"/>
    <s v="N/A"/>
    <n v="23"/>
    <s v="N/A"/>
    <x v="3"/>
    <x v="1"/>
  </r>
  <r>
    <n v="50"/>
    <n v="0"/>
    <n v="2"/>
    <n v="8"/>
    <n v="4"/>
    <n v="21.151565564136799"/>
    <n v="97"/>
    <n v="38"/>
    <n v="14"/>
    <x v="2"/>
    <x v="1"/>
    <d v="2024-01-01T00:00:00"/>
    <d v="2024-02-07T00:00:00"/>
    <s v="N/A"/>
    <n v="37"/>
    <s v="N/A"/>
    <x v="2"/>
    <x v="0"/>
  </r>
  <r>
    <n v="33"/>
    <n v="0"/>
    <n v="1"/>
    <n v="13"/>
    <n v="1"/>
    <n v="32.727823387076199"/>
    <n v="73"/>
    <n v="83"/>
    <n v="35"/>
    <x v="0"/>
    <x v="0"/>
    <d v="2024-01-01T00:00:00"/>
    <d v="2024-01-29T00:00:00"/>
    <d v="2024-02-05T00:00:00"/>
    <n v="28"/>
    <n v="7"/>
    <x v="0"/>
    <x v="1"/>
  </r>
  <r>
    <n v="26"/>
    <n v="1"/>
    <n v="2"/>
    <n v="4"/>
    <n v="4"/>
    <n v="32.059316109704099"/>
    <n v="73"/>
    <n v="71"/>
    <n v="12"/>
    <x v="0"/>
    <x v="0"/>
    <d v="2024-01-01T00:00:00"/>
    <d v="2024-01-25T00:00:00"/>
    <d v="2024-02-19T00:00:00"/>
    <n v="24"/>
    <n v="25"/>
    <x v="0"/>
    <x v="1"/>
  </r>
  <r>
    <n v="46"/>
    <n v="1"/>
    <n v="2"/>
    <n v="10"/>
    <n v="2"/>
    <n v="7.0373317948340004"/>
    <n v="69"/>
    <n v="41"/>
    <n v="90"/>
    <x v="0"/>
    <x v="0"/>
    <d v="2024-01-01T00:00:00"/>
    <d v="2024-01-25T00:00:00"/>
    <d v="2024-02-18T00:00:00"/>
    <n v="24"/>
    <n v="24"/>
    <x v="0"/>
    <x v="1"/>
  </r>
  <r>
    <n v="28"/>
    <n v="1"/>
    <n v="3"/>
    <n v="15"/>
    <n v="5"/>
    <n v="49.848277306331099"/>
    <n v="99"/>
    <n v="100"/>
    <n v="43"/>
    <x v="1"/>
    <x v="0"/>
    <d v="2024-01-01T00:00:00"/>
    <d v="2024-02-09T00:00:00"/>
    <d v="2024-03-09T00:00:00"/>
    <n v="39"/>
    <n v="29"/>
    <x v="0"/>
    <x v="0"/>
  </r>
  <r>
    <n v="34"/>
    <n v="0"/>
    <n v="2"/>
    <n v="1"/>
    <n v="1"/>
    <n v="10.3465714720723"/>
    <n v="87"/>
    <n v="8"/>
    <n v="100"/>
    <x v="0"/>
    <x v="0"/>
    <d v="2024-01-01T00:00:00"/>
    <d v="2024-01-16T00:00:00"/>
    <d v="2024-01-27T00:00:00"/>
    <n v="15"/>
    <n v="11"/>
    <x v="0"/>
    <x v="1"/>
  </r>
  <r>
    <n v="34"/>
    <n v="1"/>
    <n v="2"/>
    <n v="7"/>
    <n v="2"/>
    <n v="23.2637012382352"/>
    <n v="75"/>
    <n v="24"/>
    <n v="70"/>
    <x v="2"/>
    <x v="1"/>
    <d v="2024-01-01T00:00:00"/>
    <d v="2024-02-14T00:00:00"/>
    <s v="N/A"/>
    <n v="44"/>
    <s v="N/A"/>
    <x v="2"/>
    <x v="0"/>
  </r>
  <r>
    <n v="45"/>
    <n v="1"/>
    <n v="2"/>
    <n v="10"/>
    <n v="2"/>
    <n v="25.405877171686701"/>
    <n v="42"/>
    <n v="88"/>
    <n v="71"/>
    <x v="0"/>
    <x v="0"/>
    <d v="2024-01-01T00:00:00"/>
    <d v="2024-02-05T00:00:00"/>
    <d v="2024-02-13T00:00:00"/>
    <n v="35"/>
    <n v="8"/>
    <x v="0"/>
    <x v="0"/>
  </r>
  <r>
    <n v="29"/>
    <n v="1"/>
    <n v="1"/>
    <n v="12"/>
    <n v="1"/>
    <n v="41.653139860705998"/>
    <n v="22"/>
    <n v="96"/>
    <n v="100"/>
    <x v="1"/>
    <x v="1"/>
    <d v="2024-01-01T00:00:00"/>
    <d v="2024-01-15T00:00:00"/>
    <s v="N/A"/>
    <n v="14"/>
    <s v="N/A"/>
    <x v="3"/>
    <x v="1"/>
  </r>
  <r>
    <n v="47"/>
    <n v="0"/>
    <n v="1"/>
    <n v="1"/>
    <n v="2"/>
    <n v="5.9614798047323303"/>
    <n v="26"/>
    <n v="1"/>
    <n v="77"/>
    <x v="2"/>
    <x v="1"/>
    <d v="2024-01-01T00:00:00"/>
    <d v="2024-02-01T00:00:00"/>
    <s v="N/A"/>
    <n v="31"/>
    <s v="N/A"/>
    <x v="2"/>
    <x v="0"/>
  </r>
  <r>
    <n v="32"/>
    <n v="0"/>
    <n v="3"/>
    <n v="2"/>
    <n v="1"/>
    <n v="22.432213960426498"/>
    <n v="57"/>
    <n v="18"/>
    <n v="75"/>
    <x v="0"/>
    <x v="0"/>
    <d v="2024-01-01T00:00:00"/>
    <d v="2024-01-19T00:00:00"/>
    <d v="2024-02-01T00:00:00"/>
    <n v="18"/>
    <n v="13"/>
    <x v="0"/>
    <x v="1"/>
  </r>
  <r>
    <n v="38"/>
    <n v="0"/>
    <n v="2"/>
    <n v="13"/>
    <n v="1"/>
    <n v="32.425108511810102"/>
    <n v="36"/>
    <n v="19"/>
    <n v="35"/>
    <x v="0"/>
    <x v="1"/>
    <d v="2024-01-01T00:00:00"/>
    <d v="2024-01-27T00:00:00"/>
    <s v="N/A"/>
    <n v="26"/>
    <s v="N/A"/>
    <x v="2"/>
    <x v="1"/>
  </r>
  <r>
    <n v="50"/>
    <n v="1"/>
    <n v="1"/>
    <n v="9"/>
    <n v="3"/>
    <n v="11.757781081202699"/>
    <n v="5"/>
    <n v="92"/>
    <n v="60"/>
    <x v="1"/>
    <x v="1"/>
    <d v="2024-01-01T00:00:00"/>
    <d v="2024-02-15T00:00:00"/>
    <s v="N/A"/>
    <n v="45"/>
    <s v="N/A"/>
    <x v="3"/>
    <x v="0"/>
  </r>
  <r>
    <n v="26"/>
    <n v="1"/>
    <n v="2"/>
    <n v="0"/>
    <n v="4"/>
    <n v="32.373394938303598"/>
    <n v="64"/>
    <n v="69"/>
    <n v="80"/>
    <x v="0"/>
    <x v="0"/>
    <d v="2024-01-01T00:00:00"/>
    <d v="2024-01-31T00:00:00"/>
    <d v="2024-03-01T00:00:00"/>
    <n v="30"/>
    <n v="30"/>
    <x v="0"/>
    <x v="1"/>
  </r>
  <r>
    <n v="36"/>
    <n v="1"/>
    <n v="2"/>
    <n v="10"/>
    <n v="2"/>
    <n v="47.183241877482601"/>
    <n v="5"/>
    <n v="16"/>
    <n v="39"/>
    <x v="0"/>
    <x v="1"/>
    <d v="2024-01-01T00:00:00"/>
    <d v="2024-02-06T00:00:00"/>
    <s v="N/A"/>
    <n v="36"/>
    <s v="N/A"/>
    <x v="2"/>
    <x v="0"/>
  </r>
  <r>
    <n v="39"/>
    <n v="0"/>
    <n v="2"/>
    <n v="15"/>
    <n v="2"/>
    <n v="50.875906558633702"/>
    <n v="49"/>
    <n v="88"/>
    <n v="92"/>
    <x v="0"/>
    <x v="0"/>
    <d v="2024-01-01T00:00:00"/>
    <d v="2024-01-28T00:00:00"/>
    <d v="2024-02-15T00:00:00"/>
    <n v="27"/>
    <n v="18"/>
    <x v="0"/>
    <x v="1"/>
  </r>
  <r>
    <n v="48"/>
    <n v="0"/>
    <n v="2"/>
    <n v="1"/>
    <n v="3"/>
    <n v="2.6225538395337802"/>
    <n v="21"/>
    <n v="67"/>
    <n v="26"/>
    <x v="1"/>
    <x v="1"/>
    <d v="2024-01-01T00:00:00"/>
    <d v="2024-02-01T00:00:00"/>
    <s v="N/A"/>
    <n v="31"/>
    <s v="N/A"/>
    <x v="1"/>
    <x v="0"/>
  </r>
  <r>
    <n v="23"/>
    <n v="1"/>
    <n v="2"/>
    <n v="13"/>
    <n v="3"/>
    <n v="12.779411412233801"/>
    <n v="87"/>
    <n v="93"/>
    <n v="0"/>
    <x v="2"/>
    <x v="1"/>
    <d v="2024-01-01T00:00:00"/>
    <d v="2024-01-30T00:00:00"/>
    <s v="N/A"/>
    <n v="29"/>
    <s v="N/A"/>
    <x v="3"/>
    <x v="1"/>
  </r>
  <r>
    <n v="49"/>
    <n v="0"/>
    <n v="2"/>
    <n v="15"/>
    <n v="3"/>
    <n v="16.515355789584799"/>
    <n v="24"/>
    <n v="83"/>
    <n v="33"/>
    <x v="2"/>
    <x v="1"/>
    <d v="2024-01-01T00:00:00"/>
    <d v="2024-02-13T00:00:00"/>
    <s v="N/A"/>
    <n v="43"/>
    <s v="N/A"/>
    <x v="3"/>
    <x v="0"/>
  </r>
  <r>
    <n v="24"/>
    <n v="0"/>
    <n v="1"/>
    <n v="6"/>
    <n v="5"/>
    <n v="20.956305022248301"/>
    <n v="78"/>
    <n v="2"/>
    <n v="67"/>
    <x v="0"/>
    <x v="0"/>
    <d v="2024-01-01T00:00:00"/>
    <d v="2024-01-16T00:00:00"/>
    <d v="2024-02-06T00:00:00"/>
    <n v="15"/>
    <n v="21"/>
    <x v="0"/>
    <x v="1"/>
  </r>
  <r>
    <n v="42"/>
    <n v="0"/>
    <n v="2"/>
    <n v="9"/>
    <n v="5"/>
    <n v="13.1128578792383"/>
    <n v="89"/>
    <n v="86"/>
    <n v="87"/>
    <x v="1"/>
    <x v="0"/>
    <d v="2024-01-01T00:00:00"/>
    <d v="2024-01-17T00:00:00"/>
    <d v="2024-01-31T00:00:00"/>
    <n v="16"/>
    <n v="14"/>
    <x v="0"/>
    <x v="1"/>
  </r>
  <r>
    <n v="26"/>
    <n v="0"/>
    <n v="3"/>
    <n v="1"/>
    <n v="5"/>
    <n v="11.1743997277656"/>
    <n v="71"/>
    <n v="50"/>
    <n v="20"/>
    <x v="1"/>
    <x v="1"/>
    <d v="2024-01-01T00:00:00"/>
    <d v="2024-01-31T00:00:00"/>
    <s v="N/A"/>
    <n v="30"/>
    <s v="N/A"/>
    <x v="1"/>
    <x v="1"/>
  </r>
  <r>
    <n v="32"/>
    <n v="1"/>
    <n v="3"/>
    <n v="5"/>
    <n v="1"/>
    <n v="48.727692120874998"/>
    <n v="50"/>
    <n v="81"/>
    <n v="32"/>
    <x v="2"/>
    <x v="1"/>
    <d v="2024-01-01T00:00:00"/>
    <d v="2024-01-15T00:00:00"/>
    <s v="N/A"/>
    <n v="14"/>
    <s v="N/A"/>
    <x v="3"/>
    <x v="1"/>
  </r>
  <r>
    <n v="34"/>
    <n v="0"/>
    <n v="3"/>
    <n v="14"/>
    <n v="2"/>
    <n v="46.926080138525798"/>
    <n v="87"/>
    <n v="25"/>
    <n v="6"/>
    <x v="0"/>
    <x v="0"/>
    <d v="2024-01-01T00:00:00"/>
    <d v="2024-02-13T00:00:00"/>
    <d v="2024-03-10T00:00:00"/>
    <n v="43"/>
    <n v="26"/>
    <x v="0"/>
    <x v="0"/>
  </r>
  <r>
    <n v="30"/>
    <n v="0"/>
    <n v="2"/>
    <n v="2"/>
    <n v="4"/>
    <n v="3.3496250501558702"/>
    <n v="47"/>
    <n v="55"/>
    <n v="64"/>
    <x v="1"/>
    <x v="1"/>
    <d v="2024-01-01T00:00:00"/>
    <d v="2024-01-28T00:00:00"/>
    <s v="N/A"/>
    <n v="27"/>
    <s v="N/A"/>
    <x v="1"/>
    <x v="1"/>
  </r>
  <r>
    <n v="48"/>
    <n v="0"/>
    <n v="2"/>
    <n v="3"/>
    <n v="1"/>
    <n v="17.9406510802424"/>
    <n v="69"/>
    <n v="99"/>
    <n v="2"/>
    <x v="1"/>
    <x v="1"/>
    <d v="2024-01-01T00:00:00"/>
    <d v="2024-01-17T00:00:00"/>
    <s v="N/A"/>
    <n v="16"/>
    <s v="N/A"/>
    <x v="3"/>
    <x v="1"/>
  </r>
  <r>
    <n v="23"/>
    <n v="0"/>
    <n v="2"/>
    <n v="10"/>
    <n v="2"/>
    <n v="21.257427683920302"/>
    <n v="98"/>
    <n v="63"/>
    <n v="50"/>
    <x v="2"/>
    <x v="1"/>
    <d v="2024-01-01T00:00:00"/>
    <d v="2024-01-18T00:00:00"/>
    <s v="N/A"/>
    <n v="17"/>
    <s v="N/A"/>
    <x v="1"/>
    <x v="1"/>
  </r>
  <r>
    <n v="32"/>
    <n v="1"/>
    <n v="2"/>
    <n v="14"/>
    <n v="2"/>
    <n v="12.950726733297101"/>
    <n v="64"/>
    <n v="7"/>
    <n v="78"/>
    <x v="0"/>
    <x v="0"/>
    <d v="2024-01-01T00:00:00"/>
    <d v="2024-01-23T00:00:00"/>
    <d v="2024-02-09T00:00:00"/>
    <n v="22"/>
    <n v="17"/>
    <x v="0"/>
    <x v="1"/>
  </r>
  <r>
    <n v="26"/>
    <n v="1"/>
    <n v="2"/>
    <n v="12"/>
    <n v="3"/>
    <n v="32.443644849408699"/>
    <n v="59"/>
    <n v="80"/>
    <n v="94"/>
    <x v="0"/>
    <x v="0"/>
    <d v="2024-01-01T00:00:00"/>
    <d v="2024-02-11T00:00:00"/>
    <d v="2024-03-12T00:00:00"/>
    <n v="41"/>
    <n v="30"/>
    <x v="0"/>
    <x v="0"/>
  </r>
  <r>
    <n v="46"/>
    <n v="0"/>
    <n v="1"/>
    <n v="7"/>
    <n v="3"/>
    <n v="33.019037332212001"/>
    <n v="45"/>
    <n v="94"/>
    <n v="53"/>
    <x v="0"/>
    <x v="0"/>
    <d v="2024-01-01T00:00:00"/>
    <d v="2024-01-17T00:00:00"/>
    <d v="2024-01-29T00:00:00"/>
    <n v="16"/>
    <n v="12"/>
    <x v="0"/>
    <x v="1"/>
  </r>
  <r>
    <n v="38"/>
    <n v="0"/>
    <n v="2"/>
    <n v="13"/>
    <n v="1"/>
    <n v="43.525211416429798"/>
    <n v="35"/>
    <n v="36"/>
    <n v="79"/>
    <x v="0"/>
    <x v="0"/>
    <d v="2024-01-01T00:00:00"/>
    <d v="2024-01-17T00:00:00"/>
    <d v="2024-02-06T00:00:00"/>
    <n v="16"/>
    <n v="20"/>
    <x v="0"/>
    <x v="1"/>
  </r>
  <r>
    <n v="41"/>
    <n v="0"/>
    <n v="4"/>
    <n v="2"/>
    <n v="3"/>
    <n v="38.043463419260803"/>
    <n v="57"/>
    <n v="96"/>
    <n v="73"/>
    <x v="1"/>
    <x v="1"/>
    <d v="2024-01-01T00:00:00"/>
    <d v="2024-01-17T00:00:00"/>
    <s v="N/A"/>
    <n v="16"/>
    <s v="N/A"/>
    <x v="3"/>
    <x v="1"/>
  </r>
  <r>
    <n v="47"/>
    <n v="0"/>
    <n v="2"/>
    <n v="9"/>
    <n v="2"/>
    <n v="28.128666348297699"/>
    <n v="75"/>
    <n v="26"/>
    <n v="92"/>
    <x v="1"/>
    <x v="1"/>
    <d v="2024-01-01T00:00:00"/>
    <d v="2024-02-07T00:00:00"/>
    <s v="N/A"/>
    <n v="37"/>
    <s v="N/A"/>
    <x v="2"/>
    <x v="0"/>
  </r>
  <r>
    <n v="21"/>
    <n v="0"/>
    <n v="1"/>
    <n v="5"/>
    <n v="3"/>
    <n v="33.679338502220901"/>
    <n v="37"/>
    <n v="44"/>
    <n v="58"/>
    <x v="1"/>
    <x v="1"/>
    <d v="2024-01-01T00:00:00"/>
    <d v="2024-02-04T00:00:00"/>
    <s v="N/A"/>
    <n v="34"/>
    <s v="N/A"/>
    <x v="2"/>
    <x v="0"/>
  </r>
  <r>
    <n v="29"/>
    <n v="0"/>
    <n v="2"/>
    <n v="0"/>
    <n v="5"/>
    <n v="14.699439077150901"/>
    <n v="10"/>
    <n v="3"/>
    <n v="5"/>
    <x v="0"/>
    <x v="1"/>
    <d v="2024-01-01T00:00:00"/>
    <d v="2024-02-06T00:00:00"/>
    <s v="N/A"/>
    <n v="36"/>
    <s v="N/A"/>
    <x v="2"/>
    <x v="0"/>
  </r>
  <r>
    <n v="32"/>
    <n v="1"/>
    <n v="3"/>
    <n v="6"/>
    <n v="3"/>
    <n v="30.652809498367802"/>
    <n v="11"/>
    <n v="85"/>
    <n v="28"/>
    <x v="0"/>
    <x v="0"/>
    <d v="2024-01-01T00:00:00"/>
    <d v="2024-02-04T00:00:00"/>
    <d v="2024-02-21T00:00:00"/>
    <n v="34"/>
    <n v="17"/>
    <x v="0"/>
    <x v="0"/>
  </r>
  <r>
    <n v="49"/>
    <n v="0"/>
    <n v="2"/>
    <n v="7"/>
    <n v="2"/>
    <n v="25.4613627374959"/>
    <n v="41"/>
    <n v="89"/>
    <n v="16"/>
    <x v="0"/>
    <x v="0"/>
    <d v="2024-01-01T00:00:00"/>
    <d v="2024-01-28T00:00:00"/>
    <d v="2024-02-24T00:00:00"/>
    <n v="27"/>
    <n v="27"/>
    <x v="0"/>
    <x v="1"/>
  </r>
  <r>
    <n v="44"/>
    <n v="1"/>
    <n v="2"/>
    <n v="10"/>
    <n v="1"/>
    <n v="7.6672233658185203"/>
    <n v="38"/>
    <n v="95"/>
    <n v="59"/>
    <x v="0"/>
    <x v="0"/>
    <d v="2024-01-01T00:00:00"/>
    <d v="2024-02-06T00:00:00"/>
    <d v="2024-02-23T00:00:00"/>
    <n v="36"/>
    <n v="17"/>
    <x v="0"/>
    <x v="0"/>
  </r>
  <r>
    <n v="40"/>
    <n v="1"/>
    <n v="1"/>
    <n v="13"/>
    <n v="4"/>
    <n v="13.1272138291485"/>
    <n v="70"/>
    <n v="87"/>
    <n v="21"/>
    <x v="1"/>
    <x v="1"/>
    <d v="2024-01-01T00:00:00"/>
    <d v="2024-01-27T00:00:00"/>
    <s v="N/A"/>
    <n v="26"/>
    <s v="N/A"/>
    <x v="3"/>
    <x v="1"/>
  </r>
  <r>
    <n v="25"/>
    <n v="0"/>
    <n v="2"/>
    <n v="7"/>
    <n v="3"/>
    <n v="15.584672536079299"/>
    <n v="10"/>
    <n v="98"/>
    <n v="23"/>
    <x v="0"/>
    <x v="0"/>
    <d v="2024-01-01T00:00:00"/>
    <d v="2024-02-03T00:00:00"/>
    <d v="2024-02-17T00:00:00"/>
    <n v="33"/>
    <n v="14"/>
    <x v="0"/>
    <x v="0"/>
  </r>
  <r>
    <n v="47"/>
    <n v="1"/>
    <n v="2"/>
    <n v="2"/>
    <n v="2"/>
    <n v="47.215478352627898"/>
    <n v="35"/>
    <n v="36"/>
    <n v="80"/>
    <x v="0"/>
    <x v="1"/>
    <d v="2024-01-01T00:00:00"/>
    <d v="2024-01-22T00:00:00"/>
    <s v="N/A"/>
    <n v="21"/>
    <s v="N/A"/>
    <x v="2"/>
    <x v="1"/>
  </r>
  <r>
    <n v="47"/>
    <n v="1"/>
    <n v="3"/>
    <n v="13"/>
    <n v="4"/>
    <n v="12.519331969294401"/>
    <n v="51"/>
    <n v="95"/>
    <n v="84"/>
    <x v="1"/>
    <x v="0"/>
    <d v="2024-01-01T00:00:00"/>
    <d v="2024-02-06T00:00:00"/>
    <d v="2024-02-22T00:00:00"/>
    <n v="36"/>
    <n v="16"/>
    <x v="0"/>
    <x v="0"/>
  </r>
  <r>
    <n v="31"/>
    <n v="1"/>
    <n v="2"/>
    <n v="9"/>
    <n v="4"/>
    <n v="15.4621951409834"/>
    <n v="30"/>
    <n v="70"/>
    <n v="50"/>
    <x v="1"/>
    <x v="1"/>
    <d v="2024-01-01T00:00:00"/>
    <d v="2024-01-23T00:00:00"/>
    <s v="N/A"/>
    <n v="22"/>
    <s v="N/A"/>
    <x v="3"/>
    <x v="1"/>
  </r>
  <r>
    <n v="31"/>
    <n v="1"/>
    <n v="1"/>
    <n v="0"/>
    <n v="5"/>
    <n v="19.4677065044716"/>
    <n v="32"/>
    <n v="32"/>
    <n v="49"/>
    <x v="1"/>
    <x v="1"/>
    <d v="2024-01-01T00:00:00"/>
    <d v="2024-02-15T00:00:00"/>
    <s v="N/A"/>
    <n v="45"/>
    <s v="N/A"/>
    <x v="2"/>
    <x v="0"/>
  </r>
  <r>
    <n v="39"/>
    <n v="1"/>
    <n v="1"/>
    <n v="8"/>
    <n v="4"/>
    <n v="34.187136931269301"/>
    <n v="12"/>
    <n v="30"/>
    <n v="10"/>
    <x v="2"/>
    <x v="1"/>
    <d v="2024-01-01T00:00:00"/>
    <d v="2024-02-13T00:00:00"/>
    <s v="N/A"/>
    <n v="43"/>
    <s v="N/A"/>
    <x v="2"/>
    <x v="0"/>
  </r>
  <r>
    <n v="49"/>
    <n v="1"/>
    <n v="1"/>
    <n v="12"/>
    <n v="2"/>
    <n v="6.9119196236070204"/>
    <n v="17"/>
    <n v="54"/>
    <n v="55"/>
    <x v="0"/>
    <x v="0"/>
    <d v="2024-01-01T00:00:00"/>
    <d v="2024-01-23T00:00:00"/>
    <d v="2024-02-20T00:00:00"/>
    <n v="22"/>
    <n v="28"/>
    <x v="0"/>
    <x v="1"/>
  </r>
  <r>
    <n v="49"/>
    <n v="0"/>
    <n v="2"/>
    <n v="5"/>
    <n v="2"/>
    <n v="48.697260624688802"/>
    <n v="40"/>
    <n v="11"/>
    <n v="70"/>
    <x v="1"/>
    <x v="1"/>
    <d v="2024-01-01T00:00:00"/>
    <d v="2024-01-15T00:00:00"/>
    <s v="N/A"/>
    <n v="14"/>
    <s v="N/A"/>
    <x v="2"/>
    <x v="1"/>
  </r>
  <r>
    <n v="30"/>
    <n v="1"/>
    <n v="2"/>
    <n v="10"/>
    <n v="3"/>
    <n v="44.278561004738201"/>
    <n v="57"/>
    <n v="10"/>
    <n v="41"/>
    <x v="1"/>
    <x v="1"/>
    <d v="2024-01-01T00:00:00"/>
    <d v="2024-02-15T00:00:00"/>
    <s v="N/A"/>
    <n v="45"/>
    <s v="N/A"/>
    <x v="2"/>
    <x v="0"/>
  </r>
  <r>
    <n v="45"/>
    <n v="1"/>
    <n v="2"/>
    <n v="8"/>
    <n v="3"/>
    <n v="29.860803650447501"/>
    <n v="55"/>
    <n v="87"/>
    <n v="38"/>
    <x v="1"/>
    <x v="1"/>
    <d v="2024-01-01T00:00:00"/>
    <d v="2024-01-31T00:00:00"/>
    <s v="N/A"/>
    <n v="30"/>
    <s v="N/A"/>
    <x v="3"/>
    <x v="1"/>
  </r>
  <r>
    <n v="42"/>
    <n v="1"/>
    <n v="2"/>
    <n v="6"/>
    <n v="3"/>
    <n v="34.701893371247799"/>
    <n v="23"/>
    <n v="71"/>
    <n v="68"/>
    <x v="2"/>
    <x v="1"/>
    <d v="2024-01-01T00:00:00"/>
    <d v="2024-01-30T00:00:00"/>
    <s v="N/A"/>
    <n v="29"/>
    <s v="N/A"/>
    <x v="3"/>
    <x v="1"/>
  </r>
  <r>
    <n v="47"/>
    <n v="0"/>
    <n v="2"/>
    <n v="0"/>
    <n v="4"/>
    <n v="1.83302356221079"/>
    <n v="72"/>
    <n v="31"/>
    <n v="47"/>
    <x v="0"/>
    <x v="1"/>
    <d v="2024-01-01T00:00:00"/>
    <d v="2024-02-01T00:00:00"/>
    <s v="N/A"/>
    <n v="31"/>
    <s v="N/A"/>
    <x v="2"/>
    <x v="0"/>
  </r>
  <r>
    <n v="44"/>
    <n v="1"/>
    <n v="1"/>
    <n v="11"/>
    <n v="4"/>
    <n v="17.947238767422402"/>
    <n v="30"/>
    <n v="56"/>
    <n v="56"/>
    <x v="1"/>
    <x v="1"/>
    <d v="2024-01-01T00:00:00"/>
    <d v="2024-02-08T00:00:00"/>
    <s v="N/A"/>
    <n v="38"/>
    <s v="N/A"/>
    <x v="1"/>
    <x v="0"/>
  </r>
  <r>
    <n v="26"/>
    <n v="0"/>
    <n v="1"/>
    <n v="11"/>
    <n v="5"/>
    <n v="40.783011533072099"/>
    <n v="54"/>
    <n v="37"/>
    <n v="20"/>
    <x v="0"/>
    <x v="1"/>
    <d v="2024-01-01T00:00:00"/>
    <d v="2024-01-16T00:00:00"/>
    <s v="N/A"/>
    <n v="15"/>
    <s v="N/A"/>
    <x v="2"/>
    <x v="1"/>
  </r>
  <r>
    <n v="49"/>
    <n v="1"/>
    <n v="3"/>
    <n v="0"/>
    <n v="3"/>
    <n v="4.8741486896192896"/>
    <n v="9"/>
    <n v="59"/>
    <n v="81"/>
    <x v="1"/>
    <x v="1"/>
    <d v="2024-01-01T00:00:00"/>
    <d v="2024-01-26T00:00:00"/>
    <s v="N/A"/>
    <n v="25"/>
    <s v="N/A"/>
    <x v="1"/>
    <x v="1"/>
  </r>
  <r>
    <n v="20"/>
    <n v="0"/>
    <n v="2"/>
    <n v="5"/>
    <n v="1"/>
    <n v="15.115691710536"/>
    <n v="59"/>
    <n v="85"/>
    <n v="98"/>
    <x v="1"/>
    <x v="1"/>
    <d v="2024-01-01T00:00:00"/>
    <d v="2024-01-17T00:00:00"/>
    <s v="N/A"/>
    <n v="16"/>
    <s v="N/A"/>
    <x v="3"/>
    <x v="1"/>
  </r>
  <r>
    <n v="20"/>
    <n v="0"/>
    <n v="2"/>
    <n v="4"/>
    <n v="5"/>
    <n v="30.264841416715502"/>
    <n v="1"/>
    <n v="97"/>
    <n v="19"/>
    <x v="2"/>
    <x v="1"/>
    <d v="2024-01-01T00:00:00"/>
    <d v="2024-02-14T00:00:00"/>
    <s v="N/A"/>
    <n v="44"/>
    <s v="N/A"/>
    <x v="3"/>
    <x v="0"/>
  </r>
  <r>
    <n v="44"/>
    <n v="1"/>
    <n v="3"/>
    <n v="8"/>
    <n v="1"/>
    <n v="13.820651384947"/>
    <n v="14"/>
    <n v="18"/>
    <n v="14"/>
    <x v="2"/>
    <x v="1"/>
    <d v="2024-01-01T00:00:00"/>
    <d v="2024-02-06T00:00:00"/>
    <s v="N/A"/>
    <n v="36"/>
    <s v="N/A"/>
    <x v="2"/>
    <x v="0"/>
  </r>
  <r>
    <n v="46"/>
    <n v="1"/>
    <n v="2"/>
    <n v="1"/>
    <n v="4"/>
    <n v="47.698898707225901"/>
    <n v="2"/>
    <n v="83"/>
    <n v="68"/>
    <x v="1"/>
    <x v="1"/>
    <d v="2024-01-01T00:00:00"/>
    <d v="2024-01-27T00:00:00"/>
    <s v="N/A"/>
    <n v="26"/>
    <s v="N/A"/>
    <x v="3"/>
    <x v="1"/>
  </r>
  <r>
    <n v="49"/>
    <n v="0"/>
    <n v="3"/>
    <n v="7"/>
    <n v="5"/>
    <n v="7.5529315402145096"/>
    <n v="42"/>
    <n v="55"/>
    <n v="76"/>
    <x v="0"/>
    <x v="0"/>
    <d v="2024-01-01T00:00:00"/>
    <d v="2024-01-15T00:00:00"/>
    <d v="2024-01-30T00:00:00"/>
    <n v="14"/>
    <n v="15"/>
    <x v="0"/>
    <x v="1"/>
  </r>
  <r>
    <n v="44"/>
    <n v="1"/>
    <n v="2"/>
    <n v="10"/>
    <n v="5"/>
    <n v="40.869717895388902"/>
    <n v="30"/>
    <n v="13"/>
    <n v="50"/>
    <x v="1"/>
    <x v="1"/>
    <d v="2024-01-01T00:00:00"/>
    <d v="2024-02-04T00:00:00"/>
    <s v="N/A"/>
    <n v="34"/>
    <s v="N/A"/>
    <x v="2"/>
    <x v="0"/>
  </r>
  <r>
    <n v="39"/>
    <n v="0"/>
    <n v="4"/>
    <n v="4"/>
    <n v="2"/>
    <n v="26.397434595320401"/>
    <n v="69"/>
    <n v="32"/>
    <n v="75"/>
    <x v="1"/>
    <x v="1"/>
    <d v="2024-01-01T00:00:00"/>
    <d v="2024-01-29T00:00:00"/>
    <s v="N/A"/>
    <n v="28"/>
    <s v="N/A"/>
    <x v="2"/>
    <x v="1"/>
  </r>
  <r>
    <n v="32"/>
    <n v="0"/>
    <n v="1"/>
    <n v="1"/>
    <n v="4"/>
    <n v="38.516538790997799"/>
    <n v="66"/>
    <n v="9"/>
    <n v="61"/>
    <x v="0"/>
    <x v="1"/>
    <d v="2024-01-01T00:00:00"/>
    <d v="2024-02-12T00:00:00"/>
    <s v="N/A"/>
    <n v="42"/>
    <s v="N/A"/>
    <x v="2"/>
    <x v="0"/>
  </r>
  <r>
    <n v="28"/>
    <n v="0"/>
    <n v="1"/>
    <n v="12"/>
    <n v="4"/>
    <n v="16.535766415572301"/>
    <n v="55"/>
    <n v="79"/>
    <n v="84"/>
    <x v="1"/>
    <x v="1"/>
    <d v="2024-01-01T00:00:00"/>
    <d v="2024-01-16T00:00:00"/>
    <s v="N/A"/>
    <n v="15"/>
    <s v="N/A"/>
    <x v="3"/>
    <x v="1"/>
  </r>
  <r>
    <n v="22"/>
    <n v="0"/>
    <n v="2"/>
    <n v="9"/>
    <n v="5"/>
    <n v="26.724480115601899"/>
    <n v="62"/>
    <n v="63"/>
    <n v="36"/>
    <x v="2"/>
    <x v="1"/>
    <d v="2024-01-01T00:00:00"/>
    <d v="2024-02-11T00:00:00"/>
    <s v="N/A"/>
    <n v="41"/>
    <s v="N/A"/>
    <x v="1"/>
    <x v="0"/>
  </r>
  <r>
    <n v="26"/>
    <n v="0"/>
    <n v="4"/>
    <n v="10"/>
    <n v="4"/>
    <n v="43.841767486158801"/>
    <n v="74"/>
    <n v="63"/>
    <n v="5"/>
    <x v="1"/>
    <x v="0"/>
    <d v="2024-01-01T00:00:00"/>
    <d v="2024-01-31T00:00:00"/>
    <d v="2024-02-24T00:00:00"/>
    <n v="30"/>
    <n v="24"/>
    <x v="0"/>
    <x v="1"/>
  </r>
  <r>
    <n v="25"/>
    <n v="1"/>
    <n v="3"/>
    <n v="10"/>
    <n v="5"/>
    <n v="24.3439049561552"/>
    <n v="14"/>
    <n v="61"/>
    <n v="70"/>
    <x v="1"/>
    <x v="0"/>
    <d v="2024-01-01T00:00:00"/>
    <d v="2024-01-24T00:00:00"/>
    <d v="2024-02-23T00:00:00"/>
    <n v="23"/>
    <n v="30"/>
    <x v="0"/>
    <x v="1"/>
  </r>
  <r>
    <n v="27"/>
    <n v="0"/>
    <n v="1"/>
    <n v="11"/>
    <n v="2"/>
    <n v="18.9859930955134"/>
    <n v="91"/>
    <n v="67"/>
    <n v="25"/>
    <x v="2"/>
    <x v="1"/>
    <d v="2024-01-01T00:00:00"/>
    <d v="2024-02-01T00:00:00"/>
    <s v="N/A"/>
    <n v="31"/>
    <s v="N/A"/>
    <x v="1"/>
    <x v="0"/>
  </r>
  <r>
    <n v="46"/>
    <n v="0"/>
    <n v="2"/>
    <n v="5"/>
    <n v="5"/>
    <n v="27.8077693126368"/>
    <n v="9"/>
    <n v="90"/>
    <n v="7"/>
    <x v="0"/>
    <x v="1"/>
    <d v="2024-01-01T00:00:00"/>
    <d v="2024-01-15T00:00:00"/>
    <s v="N/A"/>
    <n v="14"/>
    <s v="N/A"/>
    <x v="3"/>
    <x v="1"/>
  </r>
  <r>
    <n v="28"/>
    <n v="1"/>
    <n v="4"/>
    <n v="9"/>
    <n v="4"/>
    <n v="36.868137651818301"/>
    <n v="37"/>
    <n v="91"/>
    <n v="72"/>
    <x v="0"/>
    <x v="0"/>
    <d v="2024-01-01T00:00:00"/>
    <d v="2024-01-24T00:00:00"/>
    <d v="2024-02-15T00:00:00"/>
    <n v="23"/>
    <n v="22"/>
    <x v="0"/>
    <x v="1"/>
  </r>
  <r>
    <n v="49"/>
    <n v="0"/>
    <n v="2"/>
    <n v="7"/>
    <n v="4"/>
    <n v="23.178167274925102"/>
    <n v="46"/>
    <n v="42"/>
    <n v="90"/>
    <x v="1"/>
    <x v="1"/>
    <d v="2024-01-01T00:00:00"/>
    <d v="2024-01-20T00:00:00"/>
    <s v="N/A"/>
    <n v="19"/>
    <s v="N/A"/>
    <x v="2"/>
    <x v="1"/>
  </r>
  <r>
    <n v="24"/>
    <n v="1"/>
    <n v="3"/>
    <n v="3"/>
    <n v="5"/>
    <n v="47.943848757113599"/>
    <n v="56"/>
    <n v="79"/>
    <n v="3"/>
    <x v="1"/>
    <x v="1"/>
    <d v="2024-01-01T00:00:00"/>
    <d v="2024-01-17T00:00:00"/>
    <s v="N/A"/>
    <n v="16"/>
    <s v="N/A"/>
    <x v="3"/>
    <x v="1"/>
  </r>
  <r>
    <n v="20"/>
    <n v="1"/>
    <n v="3"/>
    <n v="1"/>
    <n v="5"/>
    <n v="15.747291202117101"/>
    <n v="49"/>
    <n v="58"/>
    <n v="20"/>
    <x v="1"/>
    <x v="1"/>
    <d v="2024-01-01T00:00:00"/>
    <d v="2024-01-16T00:00:00"/>
    <s v="N/A"/>
    <n v="15"/>
    <s v="N/A"/>
    <x v="1"/>
    <x v="1"/>
  </r>
  <r>
    <n v="38"/>
    <n v="1"/>
    <n v="2"/>
    <n v="11"/>
    <n v="5"/>
    <n v="24.773180308455998"/>
    <n v="70"/>
    <n v="51"/>
    <n v="30"/>
    <x v="0"/>
    <x v="0"/>
    <d v="2024-01-01T00:00:00"/>
    <d v="2024-01-20T00:00:00"/>
    <d v="2024-02-02T00:00:00"/>
    <n v="19"/>
    <n v="13"/>
    <x v="0"/>
    <x v="1"/>
  </r>
  <r>
    <n v="29"/>
    <n v="0"/>
    <n v="2"/>
    <n v="10"/>
    <n v="3"/>
    <n v="38.846382967072003"/>
    <n v="14"/>
    <n v="96"/>
    <n v="20"/>
    <x v="0"/>
    <x v="0"/>
    <d v="2024-01-01T00:00:00"/>
    <d v="2024-02-12T00:00:00"/>
    <d v="2024-03-06T00:00:00"/>
    <n v="42"/>
    <n v="23"/>
    <x v="0"/>
    <x v="0"/>
  </r>
  <r>
    <n v="31"/>
    <n v="0"/>
    <n v="2"/>
    <n v="4"/>
    <n v="4"/>
    <n v="35.456054524787902"/>
    <n v="17"/>
    <n v="18"/>
    <n v="24"/>
    <x v="0"/>
    <x v="1"/>
    <d v="2024-01-01T00:00:00"/>
    <d v="2024-01-18T00:00:00"/>
    <s v="N/A"/>
    <n v="17"/>
    <s v="N/A"/>
    <x v="2"/>
    <x v="1"/>
  </r>
  <r>
    <n v="43"/>
    <n v="0"/>
    <n v="2"/>
    <n v="14"/>
    <n v="4"/>
    <n v="44.182052620857803"/>
    <n v="81"/>
    <n v="20"/>
    <n v="14"/>
    <x v="2"/>
    <x v="1"/>
    <d v="2024-01-01T00:00:00"/>
    <d v="2024-01-22T00:00:00"/>
    <s v="N/A"/>
    <n v="21"/>
    <s v="N/A"/>
    <x v="2"/>
    <x v="1"/>
  </r>
  <r>
    <n v="34"/>
    <n v="1"/>
    <n v="3"/>
    <n v="11"/>
    <n v="3"/>
    <n v="50.840459034055399"/>
    <n v="87"/>
    <n v="21"/>
    <n v="34"/>
    <x v="1"/>
    <x v="1"/>
    <d v="2024-01-01T00:00:00"/>
    <d v="2024-01-17T00:00:00"/>
    <s v="N/A"/>
    <n v="16"/>
    <s v="N/A"/>
    <x v="2"/>
    <x v="1"/>
  </r>
  <r>
    <n v="46"/>
    <n v="0"/>
    <n v="2"/>
    <n v="1"/>
    <n v="5"/>
    <n v="22.342916439754401"/>
    <n v="1"/>
    <n v="8"/>
    <n v="48"/>
    <x v="1"/>
    <x v="1"/>
    <d v="2024-01-01T00:00:00"/>
    <d v="2024-01-16T00:00:00"/>
    <s v="N/A"/>
    <n v="15"/>
    <s v="N/A"/>
    <x v="2"/>
    <x v="1"/>
  </r>
  <r>
    <n v="41"/>
    <n v="1"/>
    <n v="3"/>
    <n v="1"/>
    <n v="2"/>
    <n v="6.5575439891655902"/>
    <n v="83"/>
    <n v="8"/>
    <n v="42"/>
    <x v="0"/>
    <x v="0"/>
    <d v="2024-01-01T00:00:00"/>
    <d v="2024-02-14T00:00:00"/>
    <d v="2024-03-14T00:00:00"/>
    <n v="44"/>
    <n v="29"/>
    <x v="0"/>
    <x v="0"/>
  </r>
  <r>
    <n v="43"/>
    <n v="0"/>
    <n v="1"/>
    <n v="14"/>
    <n v="5"/>
    <n v="2.5207940403983899"/>
    <n v="97"/>
    <n v="72"/>
    <n v="40"/>
    <x v="0"/>
    <x v="0"/>
    <d v="2024-01-01T00:00:00"/>
    <d v="2024-02-08T00:00:00"/>
    <d v="2024-02-27T00:00:00"/>
    <n v="38"/>
    <n v="19"/>
    <x v="0"/>
    <x v="0"/>
  </r>
  <r>
    <n v="28"/>
    <n v="1"/>
    <n v="4"/>
    <n v="5"/>
    <n v="5"/>
    <n v="37.343845306988499"/>
    <n v="42"/>
    <n v="26"/>
    <n v="36"/>
    <x v="1"/>
    <x v="1"/>
    <d v="2024-01-01T00:00:00"/>
    <d v="2024-02-05T00:00:00"/>
    <s v="N/A"/>
    <n v="35"/>
    <s v="N/A"/>
    <x v="2"/>
    <x v="0"/>
  </r>
  <r>
    <n v="39"/>
    <n v="0"/>
    <n v="2"/>
    <n v="15"/>
    <n v="3"/>
    <n v="44.700683565435703"/>
    <n v="25"/>
    <n v="16"/>
    <n v="56"/>
    <x v="0"/>
    <x v="1"/>
    <d v="2024-01-01T00:00:00"/>
    <d v="2024-01-28T00:00:00"/>
    <s v="N/A"/>
    <n v="27"/>
    <s v="N/A"/>
    <x v="2"/>
    <x v="1"/>
  </r>
  <r>
    <n v="36"/>
    <n v="0"/>
    <n v="1"/>
    <n v="10"/>
    <n v="4"/>
    <n v="12.0356292972209"/>
    <n v="70"/>
    <n v="43"/>
    <n v="41"/>
    <x v="1"/>
    <x v="1"/>
    <d v="2024-01-01T00:00:00"/>
    <d v="2024-01-23T00:00:00"/>
    <s v="N/A"/>
    <n v="22"/>
    <s v="N/A"/>
    <x v="2"/>
    <x v="1"/>
  </r>
  <r>
    <n v="49"/>
    <n v="0"/>
    <n v="1"/>
    <n v="9"/>
    <n v="5"/>
    <n v="8.9224018594952899"/>
    <n v="37"/>
    <n v="44"/>
    <n v="46"/>
    <x v="1"/>
    <x v="1"/>
    <d v="2024-01-01T00:00:00"/>
    <d v="2024-02-03T00:00:00"/>
    <s v="N/A"/>
    <n v="33"/>
    <s v="N/A"/>
    <x v="2"/>
    <x v="0"/>
  </r>
  <r>
    <n v="36"/>
    <n v="1"/>
    <n v="3"/>
    <n v="8"/>
    <n v="4"/>
    <n v="4.1102545762845404"/>
    <n v="93"/>
    <n v="7"/>
    <n v="91"/>
    <x v="1"/>
    <x v="0"/>
    <d v="2024-01-01T00:00:00"/>
    <d v="2024-02-13T00:00:00"/>
    <d v="2024-02-26T00:00:00"/>
    <n v="43"/>
    <n v="13"/>
    <x v="0"/>
    <x v="0"/>
  </r>
  <r>
    <n v="45"/>
    <n v="1"/>
    <n v="2"/>
    <n v="12"/>
    <n v="1"/>
    <n v="42.135146085860299"/>
    <n v="41"/>
    <n v="79"/>
    <n v="60"/>
    <x v="1"/>
    <x v="1"/>
    <d v="2024-01-01T00:00:00"/>
    <d v="2024-01-29T00:00:00"/>
    <s v="N/A"/>
    <n v="28"/>
    <s v="N/A"/>
    <x v="3"/>
    <x v="1"/>
  </r>
  <r>
    <n v="39"/>
    <n v="0"/>
    <n v="3"/>
    <n v="3"/>
    <n v="4"/>
    <n v="16.569096994629199"/>
    <n v="4"/>
    <n v="17"/>
    <n v="13"/>
    <x v="1"/>
    <x v="1"/>
    <d v="2024-01-01T00:00:00"/>
    <d v="2024-02-03T00:00:00"/>
    <s v="N/A"/>
    <n v="33"/>
    <s v="N/A"/>
    <x v="2"/>
    <x v="0"/>
  </r>
  <r>
    <n v="31"/>
    <n v="0"/>
    <n v="1"/>
    <n v="5"/>
    <n v="2"/>
    <n v="21.084844637988802"/>
    <n v="10"/>
    <n v="32"/>
    <n v="67"/>
    <x v="0"/>
    <x v="1"/>
    <d v="2024-01-01T00:00:00"/>
    <d v="2024-02-08T00:00:00"/>
    <s v="N/A"/>
    <n v="38"/>
    <s v="N/A"/>
    <x v="2"/>
    <x v="0"/>
  </r>
  <r>
    <n v="49"/>
    <n v="1"/>
    <n v="1"/>
    <n v="15"/>
    <n v="2"/>
    <n v="26.1375095804806"/>
    <n v="64"/>
    <n v="0"/>
    <n v="52"/>
    <x v="1"/>
    <x v="1"/>
    <d v="2024-01-01T00:00:00"/>
    <d v="2024-01-22T00:00:00"/>
    <s v="N/A"/>
    <n v="21"/>
    <s v="N/A"/>
    <x v="2"/>
    <x v="1"/>
  </r>
  <r>
    <n v="26"/>
    <n v="1"/>
    <n v="2"/>
    <n v="6"/>
    <n v="5"/>
    <n v="42.972661710477503"/>
    <n v="33"/>
    <n v="75"/>
    <n v="83"/>
    <x v="1"/>
    <x v="1"/>
    <d v="2024-01-01T00:00:00"/>
    <d v="2024-02-02T00:00:00"/>
    <s v="N/A"/>
    <n v="32"/>
    <s v="N/A"/>
    <x v="3"/>
    <x v="0"/>
  </r>
  <r>
    <n v="21"/>
    <n v="1"/>
    <n v="2"/>
    <n v="12"/>
    <n v="4"/>
    <n v="33.541661078074199"/>
    <n v="0"/>
    <n v="5"/>
    <n v="33"/>
    <x v="0"/>
    <x v="1"/>
    <d v="2024-01-01T00:00:00"/>
    <d v="2024-02-08T00:00:00"/>
    <s v="N/A"/>
    <n v="38"/>
    <s v="N/A"/>
    <x v="2"/>
    <x v="0"/>
  </r>
  <r>
    <n v="22"/>
    <n v="0"/>
    <n v="2"/>
    <n v="10"/>
    <n v="5"/>
    <n v="31.7532314928905"/>
    <n v="82"/>
    <n v="40"/>
    <n v="75"/>
    <x v="2"/>
    <x v="1"/>
    <d v="2024-01-01T00:00:00"/>
    <d v="2024-02-09T00:00:00"/>
    <s v="N/A"/>
    <n v="39"/>
    <s v="N/A"/>
    <x v="2"/>
    <x v="0"/>
  </r>
  <r>
    <n v="36"/>
    <n v="1"/>
    <n v="4"/>
    <n v="5"/>
    <n v="3"/>
    <n v="9.7836049977955302"/>
    <n v="1"/>
    <n v="54"/>
    <n v="96"/>
    <x v="0"/>
    <x v="0"/>
    <d v="2024-01-01T00:00:00"/>
    <d v="2024-01-27T00:00:00"/>
    <d v="2024-02-10T00:00:00"/>
    <n v="26"/>
    <n v="14"/>
    <x v="0"/>
    <x v="1"/>
  </r>
  <r>
    <n v="24"/>
    <n v="0"/>
    <n v="4"/>
    <n v="7"/>
    <n v="2"/>
    <n v="26.659494585491402"/>
    <n v="84"/>
    <n v="4"/>
    <n v="23"/>
    <x v="0"/>
    <x v="0"/>
    <d v="2024-01-01T00:00:00"/>
    <d v="2024-02-09T00:00:00"/>
    <d v="2024-02-17T00:00:00"/>
    <n v="39"/>
    <n v="8"/>
    <x v="0"/>
    <x v="0"/>
  </r>
  <r>
    <n v="36"/>
    <n v="1"/>
    <n v="4"/>
    <n v="3"/>
    <n v="5"/>
    <n v="36.769050858932701"/>
    <n v="19"/>
    <n v="58"/>
    <n v="19"/>
    <x v="0"/>
    <x v="0"/>
    <d v="2024-01-01T00:00:00"/>
    <d v="2024-02-06T00:00:00"/>
    <d v="2024-02-23T00:00:00"/>
    <n v="36"/>
    <n v="17"/>
    <x v="0"/>
    <x v="0"/>
  </r>
  <r>
    <n v="43"/>
    <n v="0"/>
    <n v="3"/>
    <n v="11"/>
    <n v="3"/>
    <n v="49.663044151524502"/>
    <n v="60"/>
    <n v="79"/>
    <n v="68"/>
    <x v="2"/>
    <x v="0"/>
    <d v="2024-01-01T00:00:00"/>
    <d v="2024-02-14T00:00:00"/>
    <d v="2024-02-23T00:00:00"/>
    <n v="44"/>
    <n v="9"/>
    <x v="0"/>
    <x v="0"/>
  </r>
  <r>
    <n v="36"/>
    <n v="1"/>
    <n v="2"/>
    <n v="14"/>
    <n v="5"/>
    <n v="11.070315460667601"/>
    <n v="86"/>
    <n v="17"/>
    <n v="29"/>
    <x v="1"/>
    <x v="1"/>
    <d v="2024-01-01T00:00:00"/>
    <d v="2024-01-23T00:00:00"/>
    <s v="N/A"/>
    <n v="22"/>
    <s v="N/A"/>
    <x v="2"/>
    <x v="1"/>
  </r>
  <r>
    <n v="46"/>
    <n v="1"/>
    <n v="2"/>
    <n v="0"/>
    <n v="4"/>
    <n v="1.47716765336133"/>
    <n v="20"/>
    <n v="48"/>
    <n v="87"/>
    <x v="1"/>
    <x v="1"/>
    <d v="2024-01-01T00:00:00"/>
    <d v="2024-01-18T00:00:00"/>
    <s v="N/A"/>
    <n v="17"/>
    <s v="N/A"/>
    <x v="2"/>
    <x v="1"/>
  </r>
  <r>
    <n v="36"/>
    <n v="1"/>
    <n v="2"/>
    <n v="6"/>
    <n v="4"/>
    <n v="4.76507167992348"/>
    <n v="87"/>
    <n v="81"/>
    <n v="6"/>
    <x v="0"/>
    <x v="0"/>
    <d v="2024-01-01T00:00:00"/>
    <d v="2024-01-19T00:00:00"/>
    <d v="2024-02-08T00:00:00"/>
    <n v="18"/>
    <n v="20"/>
    <x v="0"/>
    <x v="1"/>
  </r>
  <r>
    <n v="21"/>
    <n v="1"/>
    <n v="3"/>
    <n v="2"/>
    <n v="4"/>
    <n v="19.7926232590989"/>
    <n v="67"/>
    <n v="64"/>
    <n v="35"/>
    <x v="1"/>
    <x v="1"/>
    <d v="2024-01-01T00:00:00"/>
    <d v="2024-01-21T00:00:00"/>
    <s v="N/A"/>
    <n v="20"/>
    <s v="N/A"/>
    <x v="1"/>
    <x v="1"/>
  </r>
  <r>
    <n v="21"/>
    <n v="1"/>
    <n v="1"/>
    <n v="13"/>
    <n v="4"/>
    <n v="42.0272323872993"/>
    <n v="11"/>
    <n v="82"/>
    <n v="37"/>
    <x v="1"/>
    <x v="1"/>
    <d v="2024-01-01T00:00:00"/>
    <d v="2024-02-13T00:00:00"/>
    <s v="N/A"/>
    <n v="43"/>
    <s v="N/A"/>
    <x v="3"/>
    <x v="0"/>
  </r>
  <r>
    <n v="47"/>
    <n v="0"/>
    <n v="2"/>
    <n v="5"/>
    <n v="1"/>
    <n v="1.3571040884122501"/>
    <n v="21"/>
    <n v="53"/>
    <n v="79"/>
    <x v="2"/>
    <x v="1"/>
    <d v="2024-01-01T00:00:00"/>
    <d v="2024-02-02T00:00:00"/>
    <s v="N/A"/>
    <n v="32"/>
    <s v="N/A"/>
    <x v="1"/>
    <x v="0"/>
  </r>
  <r>
    <n v="41"/>
    <n v="1"/>
    <n v="1"/>
    <n v="1"/>
    <n v="3"/>
    <n v="23.836529644292"/>
    <n v="19"/>
    <n v="60"/>
    <n v="51"/>
    <x v="0"/>
    <x v="1"/>
    <d v="2024-01-01T00:00:00"/>
    <d v="2024-01-20T00:00:00"/>
    <s v="N/A"/>
    <n v="19"/>
    <s v="N/A"/>
    <x v="1"/>
    <x v="1"/>
  </r>
  <r>
    <n v="42"/>
    <n v="1"/>
    <n v="2"/>
    <n v="8"/>
    <n v="3"/>
    <n v="17.4615307670697"/>
    <n v="81"/>
    <n v="7"/>
    <n v="14"/>
    <x v="0"/>
    <x v="0"/>
    <d v="2024-01-01T00:00:00"/>
    <d v="2024-02-01T00:00:00"/>
    <d v="2024-02-12T00:00:00"/>
    <n v="31"/>
    <n v="11"/>
    <x v="0"/>
    <x v="0"/>
  </r>
  <r>
    <n v="24"/>
    <n v="1"/>
    <n v="3"/>
    <n v="0"/>
    <n v="4"/>
    <n v="3.6240855049863701"/>
    <n v="0"/>
    <n v="2"/>
    <n v="45"/>
    <x v="0"/>
    <x v="1"/>
    <d v="2024-01-01T00:00:00"/>
    <d v="2024-01-15T00:00:00"/>
    <s v="N/A"/>
    <n v="14"/>
    <s v="N/A"/>
    <x v="2"/>
    <x v="1"/>
  </r>
  <r>
    <n v="20"/>
    <n v="0"/>
    <n v="3"/>
    <n v="5"/>
    <n v="1"/>
    <n v="23.511814333630799"/>
    <n v="29"/>
    <n v="24"/>
    <n v="22"/>
    <x v="2"/>
    <x v="1"/>
    <d v="2024-01-01T00:00:00"/>
    <d v="2024-01-31T00:00:00"/>
    <s v="N/A"/>
    <n v="30"/>
    <s v="N/A"/>
    <x v="2"/>
    <x v="1"/>
  </r>
  <r>
    <n v="20"/>
    <n v="1"/>
    <n v="2"/>
    <n v="5"/>
    <n v="4"/>
    <n v="13.7374353668359"/>
    <n v="96"/>
    <n v="68"/>
    <n v="11"/>
    <x v="1"/>
    <x v="1"/>
    <d v="2024-01-01T00:00:00"/>
    <d v="2024-02-03T00:00:00"/>
    <s v="N/A"/>
    <n v="33"/>
    <s v="N/A"/>
    <x v="1"/>
    <x v="0"/>
  </r>
  <r>
    <n v="38"/>
    <n v="0"/>
    <n v="4"/>
    <n v="4"/>
    <n v="1"/>
    <n v="18.5942417173503"/>
    <n v="23"/>
    <n v="54"/>
    <n v="92"/>
    <x v="1"/>
    <x v="1"/>
    <d v="2024-01-01T00:00:00"/>
    <d v="2024-02-05T00:00:00"/>
    <s v="N/A"/>
    <n v="35"/>
    <s v="N/A"/>
    <x v="1"/>
    <x v="0"/>
  </r>
  <r>
    <n v="49"/>
    <n v="1"/>
    <n v="2"/>
    <n v="15"/>
    <n v="4"/>
    <n v="36.280765239214603"/>
    <n v="13"/>
    <n v="39"/>
    <n v="43"/>
    <x v="1"/>
    <x v="1"/>
    <d v="2024-01-01T00:00:00"/>
    <d v="2024-02-02T00:00:00"/>
    <s v="N/A"/>
    <n v="32"/>
    <s v="N/A"/>
    <x v="2"/>
    <x v="0"/>
  </r>
  <r>
    <n v="21"/>
    <n v="1"/>
    <n v="1"/>
    <n v="12"/>
    <n v="2"/>
    <n v="27.077549195548301"/>
    <n v="35"/>
    <n v="82"/>
    <n v="14"/>
    <x v="2"/>
    <x v="1"/>
    <d v="2024-01-01T00:00:00"/>
    <d v="2024-01-15T00:00:00"/>
    <s v="N/A"/>
    <n v="14"/>
    <s v="N/A"/>
    <x v="3"/>
    <x v="1"/>
  </r>
  <r>
    <n v="40"/>
    <n v="0"/>
    <n v="2"/>
    <n v="4"/>
    <n v="2"/>
    <n v="7.2323714496406604"/>
    <n v="68"/>
    <n v="81"/>
    <n v="92"/>
    <x v="2"/>
    <x v="1"/>
    <d v="2024-01-01T00:00:00"/>
    <d v="2024-02-01T00:00:00"/>
    <s v="N/A"/>
    <n v="31"/>
    <s v="N/A"/>
    <x v="3"/>
    <x v="0"/>
  </r>
  <r>
    <n v="31"/>
    <n v="1"/>
    <n v="2"/>
    <n v="0"/>
    <n v="5"/>
    <n v="49.070727021181902"/>
    <n v="74"/>
    <n v="49"/>
    <n v="48"/>
    <x v="1"/>
    <x v="1"/>
    <d v="2024-01-01T00:00:00"/>
    <d v="2024-01-27T00:00:00"/>
    <s v="N/A"/>
    <n v="26"/>
    <s v="N/A"/>
    <x v="2"/>
    <x v="1"/>
  </r>
  <r>
    <n v="45"/>
    <n v="0"/>
    <n v="1"/>
    <n v="9"/>
    <n v="4"/>
    <n v="32.795538285486899"/>
    <n v="23"/>
    <n v="94"/>
    <n v="20"/>
    <x v="0"/>
    <x v="0"/>
    <d v="2024-01-01T00:00:00"/>
    <d v="2024-02-11T00:00:00"/>
    <d v="2024-03-04T00:00:00"/>
    <n v="41"/>
    <n v="22"/>
    <x v="0"/>
    <x v="0"/>
  </r>
  <r>
    <n v="25"/>
    <n v="0"/>
    <n v="4"/>
    <n v="11"/>
    <n v="3"/>
    <n v="39.293421283126499"/>
    <n v="59"/>
    <n v="32"/>
    <n v="14"/>
    <x v="0"/>
    <x v="0"/>
    <d v="2024-01-01T00:00:00"/>
    <d v="2024-02-02T00:00:00"/>
    <d v="2024-02-27T00:00:00"/>
    <n v="32"/>
    <n v="25"/>
    <x v="0"/>
    <x v="0"/>
  </r>
  <r>
    <n v="42"/>
    <n v="1"/>
    <n v="2"/>
    <n v="4"/>
    <n v="5"/>
    <n v="4.9606575004185398"/>
    <n v="94"/>
    <n v="17"/>
    <n v="13"/>
    <x v="2"/>
    <x v="1"/>
    <d v="2024-01-01T00:00:00"/>
    <d v="2024-02-01T00:00:00"/>
    <s v="N/A"/>
    <n v="31"/>
    <s v="N/A"/>
    <x v="2"/>
    <x v="0"/>
  </r>
  <r>
    <n v="23"/>
    <n v="0"/>
    <n v="3"/>
    <n v="1"/>
    <n v="2"/>
    <n v="3.3529189730009401"/>
    <n v="54"/>
    <n v="56"/>
    <n v="41"/>
    <x v="1"/>
    <x v="1"/>
    <d v="2024-01-01T00:00:00"/>
    <d v="2024-01-24T00:00:00"/>
    <s v="N/A"/>
    <n v="23"/>
    <s v="N/A"/>
    <x v="1"/>
    <x v="1"/>
  </r>
  <r>
    <n v="42"/>
    <n v="1"/>
    <n v="2"/>
    <n v="6"/>
    <n v="4"/>
    <n v="1.9724025184040499"/>
    <n v="76"/>
    <n v="15"/>
    <n v="79"/>
    <x v="0"/>
    <x v="0"/>
    <d v="2024-01-01T00:00:00"/>
    <d v="2024-01-16T00:00:00"/>
    <d v="2024-02-07T00:00:00"/>
    <n v="15"/>
    <n v="22"/>
    <x v="0"/>
    <x v="1"/>
  </r>
  <r>
    <n v="30"/>
    <n v="1"/>
    <n v="1"/>
    <n v="2"/>
    <n v="5"/>
    <n v="10.4397013886722"/>
    <n v="79"/>
    <n v="79"/>
    <n v="14"/>
    <x v="1"/>
    <x v="1"/>
    <d v="2024-01-01T00:00:00"/>
    <d v="2024-01-28T00:00:00"/>
    <s v="N/A"/>
    <n v="27"/>
    <s v="N/A"/>
    <x v="3"/>
    <x v="1"/>
  </r>
  <r>
    <n v="43"/>
    <n v="0"/>
    <n v="2"/>
    <n v="12"/>
    <n v="4"/>
    <n v="21.720419885924699"/>
    <n v="23"/>
    <n v="37"/>
    <n v="62"/>
    <x v="2"/>
    <x v="1"/>
    <d v="2024-01-01T00:00:00"/>
    <d v="2024-01-24T00:00:00"/>
    <s v="N/A"/>
    <n v="23"/>
    <s v="N/A"/>
    <x v="2"/>
    <x v="1"/>
  </r>
  <r>
    <n v="46"/>
    <n v="0"/>
    <n v="1"/>
    <n v="14"/>
    <n v="2"/>
    <n v="47.791306670141097"/>
    <n v="76"/>
    <n v="40"/>
    <n v="67"/>
    <x v="1"/>
    <x v="1"/>
    <d v="2024-01-01T00:00:00"/>
    <d v="2024-01-26T00:00:00"/>
    <s v="N/A"/>
    <n v="25"/>
    <s v="N/A"/>
    <x v="2"/>
    <x v="1"/>
  </r>
  <r>
    <n v="36"/>
    <n v="0"/>
    <n v="2"/>
    <n v="3"/>
    <n v="5"/>
    <n v="23.852982963288799"/>
    <n v="23"/>
    <n v="6"/>
    <n v="26"/>
    <x v="1"/>
    <x v="1"/>
    <d v="2024-01-01T00:00:00"/>
    <d v="2024-01-22T00:00:00"/>
    <s v="N/A"/>
    <n v="21"/>
    <s v="N/A"/>
    <x v="2"/>
    <x v="1"/>
  </r>
  <r>
    <n v="50"/>
    <n v="0"/>
    <n v="4"/>
    <n v="2"/>
    <n v="2"/>
    <n v="15.5127552686264"/>
    <n v="53"/>
    <n v="77"/>
    <n v="86"/>
    <x v="2"/>
    <x v="1"/>
    <d v="2024-01-01T00:00:00"/>
    <d v="2024-02-03T00:00:00"/>
    <s v="N/A"/>
    <n v="33"/>
    <s v="N/A"/>
    <x v="3"/>
    <x v="0"/>
  </r>
  <r>
    <n v="25"/>
    <n v="1"/>
    <n v="2"/>
    <n v="2"/>
    <n v="1"/>
    <n v="29.096762675983101"/>
    <n v="25"/>
    <n v="52"/>
    <n v="92"/>
    <x v="1"/>
    <x v="1"/>
    <d v="2024-01-01T00:00:00"/>
    <d v="2024-02-14T00:00:00"/>
    <s v="N/A"/>
    <n v="44"/>
    <s v="N/A"/>
    <x v="1"/>
    <x v="0"/>
  </r>
  <r>
    <n v="43"/>
    <n v="1"/>
    <n v="2"/>
    <n v="3"/>
    <n v="2"/>
    <n v="6.5967289067394601"/>
    <n v="65"/>
    <n v="62"/>
    <n v="52"/>
    <x v="0"/>
    <x v="1"/>
    <d v="2024-01-01T00:00:00"/>
    <d v="2024-01-18T00:00:00"/>
    <s v="N/A"/>
    <n v="17"/>
    <s v="N/A"/>
    <x v="1"/>
    <x v="1"/>
  </r>
  <r>
    <n v="24"/>
    <n v="0"/>
    <n v="1"/>
    <n v="4"/>
    <n v="4"/>
    <n v="31.4752945502491"/>
    <n v="79"/>
    <n v="88"/>
    <n v="51"/>
    <x v="2"/>
    <x v="1"/>
    <d v="2024-01-01T00:00:00"/>
    <d v="2024-01-16T00:00:00"/>
    <s v="N/A"/>
    <n v="15"/>
    <s v="N/A"/>
    <x v="3"/>
    <x v="1"/>
  </r>
  <r>
    <n v="39"/>
    <n v="1"/>
    <n v="1"/>
    <n v="0"/>
    <n v="3"/>
    <n v="29.421597716525099"/>
    <n v="37"/>
    <n v="31"/>
    <n v="62"/>
    <x v="2"/>
    <x v="1"/>
    <d v="2024-01-01T00:00:00"/>
    <d v="2024-02-06T00:00:00"/>
    <s v="N/A"/>
    <n v="36"/>
    <s v="N/A"/>
    <x v="2"/>
    <x v="0"/>
  </r>
  <r>
    <n v="21"/>
    <n v="1"/>
    <n v="1"/>
    <n v="3"/>
    <n v="2"/>
    <n v="40.599651670285397"/>
    <n v="64"/>
    <n v="37"/>
    <n v="72"/>
    <x v="2"/>
    <x v="1"/>
    <d v="2024-01-01T00:00:00"/>
    <d v="2024-02-02T00:00:00"/>
    <s v="N/A"/>
    <n v="32"/>
    <s v="N/A"/>
    <x v="2"/>
    <x v="0"/>
  </r>
  <r>
    <n v="25"/>
    <n v="1"/>
    <n v="2"/>
    <n v="11"/>
    <n v="3"/>
    <n v="50.334380580851203"/>
    <n v="74"/>
    <n v="21"/>
    <n v="52"/>
    <x v="1"/>
    <x v="1"/>
    <d v="2024-01-01T00:00:00"/>
    <d v="2024-02-10T00:00:00"/>
    <s v="N/A"/>
    <n v="40"/>
    <s v="N/A"/>
    <x v="2"/>
    <x v="0"/>
  </r>
  <r>
    <n v="41"/>
    <n v="1"/>
    <n v="1"/>
    <n v="11"/>
    <n v="1"/>
    <n v="13.5436735858055"/>
    <n v="50"/>
    <n v="15"/>
    <n v="56"/>
    <x v="0"/>
    <x v="1"/>
    <d v="2024-01-01T00:00:00"/>
    <d v="2024-02-06T00:00:00"/>
    <s v="N/A"/>
    <n v="36"/>
    <s v="N/A"/>
    <x v="2"/>
    <x v="0"/>
  </r>
  <r>
    <n v="30"/>
    <n v="0"/>
    <n v="2"/>
    <n v="10"/>
    <n v="5"/>
    <n v="26.482822540188"/>
    <n v="34"/>
    <n v="51"/>
    <n v="51"/>
    <x v="2"/>
    <x v="1"/>
    <d v="2024-01-01T00:00:00"/>
    <d v="2024-02-01T00:00:00"/>
    <s v="N/A"/>
    <n v="31"/>
    <s v="N/A"/>
    <x v="1"/>
    <x v="0"/>
  </r>
  <r>
    <n v="50"/>
    <n v="0"/>
    <n v="2"/>
    <n v="7"/>
    <n v="5"/>
    <n v="46.443270315950102"/>
    <n v="42"/>
    <n v="28"/>
    <n v="42"/>
    <x v="0"/>
    <x v="1"/>
    <d v="2024-01-01T00:00:00"/>
    <d v="2024-01-27T00:00:00"/>
    <s v="N/A"/>
    <n v="26"/>
    <s v="N/A"/>
    <x v="2"/>
    <x v="1"/>
  </r>
  <r>
    <n v="35"/>
    <n v="1"/>
    <n v="2"/>
    <n v="9"/>
    <n v="3"/>
    <n v="40.259494221141999"/>
    <n v="28"/>
    <n v="15"/>
    <n v="6"/>
    <x v="2"/>
    <x v="1"/>
    <d v="2024-01-01T00:00:00"/>
    <d v="2024-02-11T00:00:00"/>
    <s v="N/A"/>
    <n v="41"/>
    <s v="N/A"/>
    <x v="2"/>
    <x v="0"/>
  </r>
  <r>
    <n v="35"/>
    <n v="0"/>
    <n v="1"/>
    <n v="6"/>
    <n v="5"/>
    <n v="25.370315155040299"/>
    <n v="36"/>
    <n v="75"/>
    <n v="41"/>
    <x v="2"/>
    <x v="1"/>
    <d v="2024-01-01T00:00:00"/>
    <d v="2024-01-18T00:00:00"/>
    <s v="N/A"/>
    <n v="17"/>
    <s v="N/A"/>
    <x v="3"/>
    <x v="1"/>
  </r>
  <r>
    <n v="20"/>
    <n v="0"/>
    <n v="2"/>
    <n v="8"/>
    <n v="2"/>
    <n v="48.2685824807388"/>
    <n v="80"/>
    <n v="16"/>
    <n v="3"/>
    <x v="1"/>
    <x v="1"/>
    <d v="2024-01-01T00:00:00"/>
    <d v="2024-02-07T00:00:00"/>
    <s v="N/A"/>
    <n v="37"/>
    <s v="N/A"/>
    <x v="2"/>
    <x v="0"/>
  </r>
  <r>
    <n v="28"/>
    <n v="0"/>
    <n v="4"/>
    <n v="4"/>
    <n v="3"/>
    <n v="3.86183467584046"/>
    <n v="57"/>
    <n v="100"/>
    <n v="68"/>
    <x v="2"/>
    <x v="1"/>
    <d v="2024-01-01T00:00:00"/>
    <d v="2024-02-07T00:00:00"/>
    <s v="N/A"/>
    <n v="37"/>
    <s v="N/A"/>
    <x v="3"/>
    <x v="0"/>
  </r>
  <r>
    <n v="47"/>
    <n v="1"/>
    <n v="2"/>
    <n v="12"/>
    <n v="4"/>
    <n v="47.549930985629203"/>
    <n v="53"/>
    <n v="63"/>
    <n v="4"/>
    <x v="1"/>
    <x v="1"/>
    <d v="2024-01-01T00:00:00"/>
    <d v="2024-01-23T00:00:00"/>
    <s v="N/A"/>
    <n v="22"/>
    <s v="N/A"/>
    <x v="1"/>
    <x v="1"/>
  </r>
  <r>
    <n v="46"/>
    <n v="1"/>
    <n v="2"/>
    <n v="14"/>
    <n v="2"/>
    <n v="3.5253696191403199"/>
    <n v="38"/>
    <n v="90"/>
    <n v="74"/>
    <x v="0"/>
    <x v="0"/>
    <d v="2024-01-01T00:00:00"/>
    <d v="2024-01-30T00:00:00"/>
    <d v="2024-02-13T00:00:00"/>
    <n v="29"/>
    <n v="14"/>
    <x v="0"/>
    <x v="1"/>
  </r>
  <r>
    <n v="25"/>
    <n v="1"/>
    <n v="1"/>
    <n v="9"/>
    <n v="2"/>
    <n v="28.3652372057342"/>
    <n v="41"/>
    <n v="88"/>
    <n v="91"/>
    <x v="1"/>
    <x v="1"/>
    <d v="2024-01-01T00:00:00"/>
    <d v="2024-01-21T00:00:00"/>
    <s v="N/A"/>
    <n v="20"/>
    <s v="N/A"/>
    <x v="3"/>
    <x v="1"/>
  </r>
  <r>
    <n v="35"/>
    <n v="0"/>
    <n v="4"/>
    <n v="3"/>
    <n v="2"/>
    <n v="45.522047400054198"/>
    <n v="27"/>
    <n v="12"/>
    <n v="79"/>
    <x v="0"/>
    <x v="0"/>
    <d v="2024-01-01T00:00:00"/>
    <d v="2024-01-21T00:00:00"/>
    <d v="2024-02-20T00:00:00"/>
    <n v="20"/>
    <n v="30"/>
    <x v="0"/>
    <x v="1"/>
  </r>
  <r>
    <n v="48"/>
    <n v="1"/>
    <n v="2"/>
    <n v="7"/>
    <n v="4"/>
    <n v="14.1360471780651"/>
    <n v="28"/>
    <n v="71"/>
    <n v="40"/>
    <x v="1"/>
    <x v="1"/>
    <d v="2024-01-01T00:00:00"/>
    <d v="2024-02-05T00:00:00"/>
    <s v="N/A"/>
    <n v="35"/>
    <s v="N/A"/>
    <x v="3"/>
    <x v="0"/>
  </r>
  <r>
    <n v="22"/>
    <n v="1"/>
    <n v="2"/>
    <n v="8"/>
    <n v="1"/>
    <n v="24.6124249472579"/>
    <n v="42"/>
    <n v="55"/>
    <n v="93"/>
    <x v="0"/>
    <x v="0"/>
    <d v="2024-01-01T00:00:00"/>
    <d v="2024-01-15T00:00:00"/>
    <d v="2024-02-05T00:00:00"/>
    <n v="14"/>
    <n v="21"/>
    <x v="0"/>
    <x v="1"/>
  </r>
  <r>
    <n v="39"/>
    <n v="0"/>
    <n v="3"/>
    <n v="12"/>
    <n v="5"/>
    <n v="17.216443956848298"/>
    <n v="2"/>
    <n v="4"/>
    <n v="3"/>
    <x v="1"/>
    <x v="1"/>
    <d v="2024-01-01T00:00:00"/>
    <d v="2024-02-03T00:00:00"/>
    <s v="N/A"/>
    <n v="33"/>
    <s v="N/A"/>
    <x v="2"/>
    <x v="0"/>
  </r>
  <r>
    <n v="47"/>
    <n v="1"/>
    <n v="2"/>
    <n v="6"/>
    <n v="3"/>
    <n v="48.607195853817501"/>
    <n v="9"/>
    <n v="11"/>
    <n v="1"/>
    <x v="2"/>
    <x v="1"/>
    <d v="2024-01-01T00:00:00"/>
    <d v="2024-02-09T00:00:00"/>
    <s v="N/A"/>
    <n v="39"/>
    <s v="N/A"/>
    <x v="2"/>
    <x v="0"/>
  </r>
  <r>
    <n v="46"/>
    <n v="1"/>
    <n v="2"/>
    <n v="13"/>
    <n v="1"/>
    <n v="42.182279737654497"/>
    <n v="58"/>
    <n v="40"/>
    <n v="66"/>
    <x v="2"/>
    <x v="1"/>
    <d v="2024-01-01T00:00:00"/>
    <d v="2024-01-18T00:00:00"/>
    <s v="N/A"/>
    <n v="17"/>
    <s v="N/A"/>
    <x v="2"/>
    <x v="1"/>
  </r>
  <r>
    <n v="23"/>
    <n v="0"/>
    <n v="2"/>
    <n v="15"/>
    <n v="3"/>
    <n v="36.450075566318901"/>
    <n v="13"/>
    <n v="2"/>
    <n v="20"/>
    <x v="1"/>
    <x v="1"/>
    <d v="2024-01-01T00:00:00"/>
    <d v="2024-02-09T00:00:00"/>
    <s v="N/A"/>
    <n v="39"/>
    <s v="N/A"/>
    <x v="2"/>
    <x v="0"/>
  </r>
  <r>
    <n v="38"/>
    <n v="0"/>
    <n v="2"/>
    <n v="6"/>
    <n v="5"/>
    <n v="30.381349330755398"/>
    <n v="75"/>
    <n v="98"/>
    <n v="69"/>
    <x v="1"/>
    <x v="0"/>
    <d v="2024-01-01T00:00:00"/>
    <d v="2024-01-30T00:00:00"/>
    <d v="2024-02-17T00:00:00"/>
    <n v="29"/>
    <n v="18"/>
    <x v="0"/>
    <x v="1"/>
  </r>
  <r>
    <n v="45"/>
    <n v="0"/>
    <n v="4"/>
    <n v="15"/>
    <n v="4"/>
    <n v="42.029589466207398"/>
    <n v="46"/>
    <n v="32"/>
    <n v="42"/>
    <x v="1"/>
    <x v="1"/>
    <d v="2024-01-01T00:00:00"/>
    <d v="2024-02-07T00:00:00"/>
    <s v="N/A"/>
    <n v="37"/>
    <s v="N/A"/>
    <x v="2"/>
    <x v="0"/>
  </r>
  <r>
    <n v="22"/>
    <n v="1"/>
    <n v="3"/>
    <n v="4"/>
    <n v="2"/>
    <n v="20.6133520761773"/>
    <n v="41"/>
    <n v="85"/>
    <n v="81"/>
    <x v="2"/>
    <x v="1"/>
    <d v="2024-01-01T00:00:00"/>
    <d v="2024-01-24T00:00:00"/>
    <s v="N/A"/>
    <n v="23"/>
    <s v="N/A"/>
    <x v="3"/>
    <x v="1"/>
  </r>
  <r>
    <n v="50"/>
    <n v="1"/>
    <n v="2"/>
    <n v="3"/>
    <n v="2"/>
    <n v="23.377592755302999"/>
    <n v="93"/>
    <n v="49"/>
    <n v="68"/>
    <x v="1"/>
    <x v="1"/>
    <d v="2024-01-01T00:00:00"/>
    <d v="2024-01-27T00:00:00"/>
    <s v="N/A"/>
    <n v="26"/>
    <s v="N/A"/>
    <x v="2"/>
    <x v="1"/>
  </r>
  <r>
    <n v="38"/>
    <n v="1"/>
    <n v="1"/>
    <n v="13"/>
    <n v="4"/>
    <n v="37.500086054043003"/>
    <n v="31"/>
    <n v="55"/>
    <n v="8"/>
    <x v="1"/>
    <x v="1"/>
    <d v="2024-01-01T00:00:00"/>
    <d v="2024-02-13T00:00:00"/>
    <s v="N/A"/>
    <n v="43"/>
    <s v="N/A"/>
    <x v="1"/>
    <x v="0"/>
  </r>
  <r>
    <n v="39"/>
    <n v="0"/>
    <n v="1"/>
    <n v="9"/>
    <n v="1"/>
    <n v="18.8877381646857"/>
    <n v="31"/>
    <n v="8"/>
    <n v="83"/>
    <x v="2"/>
    <x v="1"/>
    <d v="2024-01-01T00:00:00"/>
    <d v="2024-01-28T00:00:00"/>
    <s v="N/A"/>
    <n v="27"/>
    <s v="N/A"/>
    <x v="2"/>
    <x v="1"/>
  </r>
  <r>
    <n v="26"/>
    <n v="0"/>
    <n v="2"/>
    <n v="0"/>
    <n v="1"/>
    <n v="4.1950471024186902"/>
    <n v="41"/>
    <n v="81"/>
    <n v="27"/>
    <x v="1"/>
    <x v="1"/>
    <d v="2024-01-01T00:00:00"/>
    <d v="2024-01-28T00:00:00"/>
    <s v="N/A"/>
    <n v="27"/>
    <s v="N/A"/>
    <x v="3"/>
    <x v="1"/>
  </r>
  <r>
    <n v="39"/>
    <n v="1"/>
    <n v="3"/>
    <n v="9"/>
    <n v="3"/>
    <n v="4.71673044430357"/>
    <n v="31"/>
    <n v="49"/>
    <n v="25"/>
    <x v="2"/>
    <x v="1"/>
    <d v="2024-01-01T00:00:00"/>
    <d v="2024-02-09T00:00:00"/>
    <s v="N/A"/>
    <n v="39"/>
    <s v="N/A"/>
    <x v="2"/>
    <x v="0"/>
  </r>
  <r>
    <n v="28"/>
    <n v="1"/>
    <n v="2"/>
    <n v="9"/>
    <n v="4"/>
    <n v="6.7681400652851904"/>
    <n v="25"/>
    <n v="28"/>
    <n v="81"/>
    <x v="2"/>
    <x v="1"/>
    <d v="2024-01-01T00:00:00"/>
    <d v="2024-01-23T00:00:00"/>
    <s v="N/A"/>
    <n v="22"/>
    <s v="N/A"/>
    <x v="2"/>
    <x v="1"/>
  </r>
  <r>
    <n v="20"/>
    <n v="0"/>
    <n v="2"/>
    <n v="6"/>
    <n v="1"/>
    <n v="44.484066167183101"/>
    <n v="0"/>
    <n v="38"/>
    <n v="82"/>
    <x v="2"/>
    <x v="1"/>
    <d v="2024-01-01T00:00:00"/>
    <d v="2024-02-05T00:00:00"/>
    <s v="N/A"/>
    <n v="35"/>
    <s v="N/A"/>
    <x v="2"/>
    <x v="0"/>
  </r>
  <r>
    <n v="27"/>
    <n v="0"/>
    <n v="3"/>
    <n v="15"/>
    <n v="4"/>
    <n v="24.611321287810199"/>
    <n v="55"/>
    <n v="90"/>
    <n v="2"/>
    <x v="0"/>
    <x v="0"/>
    <d v="2024-01-01T00:00:00"/>
    <d v="2024-01-27T00:00:00"/>
    <d v="2024-02-11T00:00:00"/>
    <n v="26"/>
    <n v="15"/>
    <x v="0"/>
    <x v="1"/>
  </r>
  <r>
    <n v="26"/>
    <n v="0"/>
    <n v="1"/>
    <n v="0"/>
    <n v="5"/>
    <n v="36.644118467236801"/>
    <n v="1"/>
    <n v="99"/>
    <n v="72"/>
    <x v="1"/>
    <x v="1"/>
    <d v="2024-01-01T00:00:00"/>
    <d v="2024-02-07T00:00:00"/>
    <s v="N/A"/>
    <n v="37"/>
    <s v="N/A"/>
    <x v="3"/>
    <x v="0"/>
  </r>
  <r>
    <n v="37"/>
    <n v="0"/>
    <n v="2"/>
    <n v="0"/>
    <n v="2"/>
    <n v="20.6454667802446"/>
    <n v="80"/>
    <n v="44"/>
    <n v="99"/>
    <x v="2"/>
    <x v="1"/>
    <d v="2024-01-01T00:00:00"/>
    <d v="2024-01-18T00:00:00"/>
    <s v="N/A"/>
    <n v="17"/>
    <s v="N/A"/>
    <x v="2"/>
    <x v="1"/>
  </r>
  <r>
    <n v="27"/>
    <n v="1"/>
    <n v="1"/>
    <n v="4"/>
    <n v="2"/>
    <n v="13.9355473707817"/>
    <n v="29"/>
    <n v="16"/>
    <n v="94"/>
    <x v="1"/>
    <x v="1"/>
    <d v="2024-01-01T00:00:00"/>
    <d v="2024-01-25T00:00:00"/>
    <s v="N/A"/>
    <n v="24"/>
    <s v="N/A"/>
    <x v="2"/>
    <x v="1"/>
  </r>
  <r>
    <n v="20"/>
    <n v="0"/>
    <n v="4"/>
    <n v="12"/>
    <n v="2"/>
    <n v="18.359608378110501"/>
    <n v="70"/>
    <n v="55"/>
    <n v="48"/>
    <x v="1"/>
    <x v="1"/>
    <d v="2024-01-01T00:00:00"/>
    <d v="2024-02-12T00:00:00"/>
    <s v="N/A"/>
    <n v="42"/>
    <s v="N/A"/>
    <x v="1"/>
    <x v="0"/>
  </r>
  <r>
    <n v="30"/>
    <n v="1"/>
    <n v="2"/>
    <n v="8"/>
    <n v="4"/>
    <n v="40.709117265859099"/>
    <n v="51"/>
    <n v="97"/>
    <n v="16"/>
    <x v="0"/>
    <x v="0"/>
    <d v="2024-01-01T00:00:00"/>
    <d v="2024-02-08T00:00:00"/>
    <d v="2024-02-27T00:00:00"/>
    <n v="38"/>
    <n v="19"/>
    <x v="0"/>
    <x v="0"/>
  </r>
  <r>
    <n v="47"/>
    <n v="1"/>
    <n v="1"/>
    <n v="5"/>
    <n v="4"/>
    <n v="32.2608062515719"/>
    <n v="90"/>
    <n v="45"/>
    <n v="62"/>
    <x v="0"/>
    <x v="0"/>
    <d v="2024-01-01T00:00:00"/>
    <d v="2024-02-07T00:00:00"/>
    <d v="2024-02-24T00:00:00"/>
    <n v="37"/>
    <n v="17"/>
    <x v="0"/>
    <x v="0"/>
  </r>
  <r>
    <n v="44"/>
    <n v="1"/>
    <n v="2"/>
    <n v="2"/>
    <n v="3"/>
    <n v="47.8819889978951"/>
    <n v="8"/>
    <n v="66"/>
    <n v="54"/>
    <x v="1"/>
    <x v="1"/>
    <d v="2024-01-01T00:00:00"/>
    <d v="2024-01-30T00:00:00"/>
    <s v="N/A"/>
    <n v="29"/>
    <s v="N/A"/>
    <x v="1"/>
    <x v="1"/>
  </r>
  <r>
    <n v="44"/>
    <n v="0"/>
    <n v="2"/>
    <n v="12"/>
    <n v="2"/>
    <n v="34.985238928841603"/>
    <n v="21"/>
    <n v="68"/>
    <n v="22"/>
    <x v="1"/>
    <x v="1"/>
    <d v="2024-01-01T00:00:00"/>
    <d v="2024-01-28T00:00:00"/>
    <s v="N/A"/>
    <n v="27"/>
    <s v="N/A"/>
    <x v="1"/>
    <x v="1"/>
  </r>
  <r>
    <n v="37"/>
    <n v="0"/>
    <n v="3"/>
    <n v="2"/>
    <n v="3"/>
    <n v="29.509081587734698"/>
    <n v="33"/>
    <n v="13"/>
    <n v="33"/>
    <x v="1"/>
    <x v="1"/>
    <d v="2024-01-01T00:00:00"/>
    <d v="2024-02-09T00:00:00"/>
    <s v="N/A"/>
    <n v="39"/>
    <s v="N/A"/>
    <x v="2"/>
    <x v="0"/>
  </r>
  <r>
    <n v="42"/>
    <n v="0"/>
    <n v="3"/>
    <n v="6"/>
    <n v="2"/>
    <n v="31.509800449291699"/>
    <n v="48"/>
    <n v="66"/>
    <n v="68"/>
    <x v="1"/>
    <x v="0"/>
    <d v="2024-01-01T00:00:00"/>
    <d v="2024-02-01T00:00:00"/>
    <d v="2024-02-10T00:00:00"/>
    <n v="31"/>
    <n v="9"/>
    <x v="0"/>
    <x v="0"/>
  </r>
  <r>
    <n v="50"/>
    <n v="0"/>
    <n v="2"/>
    <n v="5"/>
    <n v="3"/>
    <n v="48.1185719734207"/>
    <n v="0"/>
    <n v="22"/>
    <n v="14"/>
    <x v="1"/>
    <x v="1"/>
    <d v="2024-01-01T00:00:00"/>
    <d v="2024-02-02T00:00:00"/>
    <s v="N/A"/>
    <n v="32"/>
    <s v="N/A"/>
    <x v="2"/>
    <x v="0"/>
  </r>
  <r>
    <n v="49"/>
    <n v="1"/>
    <n v="1"/>
    <n v="8"/>
    <n v="3"/>
    <n v="40.410046493335301"/>
    <n v="72"/>
    <n v="93"/>
    <n v="46"/>
    <x v="1"/>
    <x v="1"/>
    <d v="2024-01-01T00:00:00"/>
    <d v="2024-02-02T00:00:00"/>
    <s v="N/A"/>
    <n v="32"/>
    <s v="N/A"/>
    <x v="3"/>
    <x v="0"/>
  </r>
  <r>
    <n v="29"/>
    <n v="0"/>
    <n v="1"/>
    <n v="5"/>
    <n v="5"/>
    <n v="2.20206186832189"/>
    <n v="83"/>
    <n v="60"/>
    <n v="2"/>
    <x v="1"/>
    <x v="1"/>
    <d v="2024-01-01T00:00:00"/>
    <d v="2024-02-14T00:00:00"/>
    <s v="N/A"/>
    <n v="44"/>
    <s v="N/A"/>
    <x v="1"/>
    <x v="0"/>
  </r>
  <r>
    <n v="22"/>
    <n v="0"/>
    <n v="1"/>
    <n v="4"/>
    <n v="3"/>
    <n v="27.706984806784799"/>
    <n v="52"/>
    <n v="22"/>
    <n v="82"/>
    <x v="1"/>
    <x v="1"/>
    <d v="2024-01-01T00:00:00"/>
    <d v="2024-02-13T00:00:00"/>
    <s v="N/A"/>
    <n v="43"/>
    <s v="N/A"/>
    <x v="2"/>
    <x v="0"/>
  </r>
  <r>
    <n v="26"/>
    <n v="1"/>
    <n v="2"/>
    <n v="9"/>
    <n v="4"/>
    <n v="35.416920577328199"/>
    <n v="82"/>
    <n v="26"/>
    <n v="27"/>
    <x v="1"/>
    <x v="1"/>
    <d v="2024-01-01T00:00:00"/>
    <d v="2024-02-01T00:00:00"/>
    <s v="N/A"/>
    <n v="31"/>
    <s v="N/A"/>
    <x v="2"/>
    <x v="0"/>
  </r>
  <r>
    <n v="47"/>
    <n v="0"/>
    <n v="3"/>
    <n v="6"/>
    <n v="3"/>
    <n v="38.434923921957697"/>
    <n v="99"/>
    <n v="53"/>
    <n v="2"/>
    <x v="0"/>
    <x v="0"/>
    <d v="2024-01-01T00:00:00"/>
    <d v="2024-02-13T00:00:00"/>
    <d v="2024-02-28T00:00:00"/>
    <n v="43"/>
    <n v="15"/>
    <x v="0"/>
    <x v="0"/>
  </r>
  <r>
    <n v="35"/>
    <n v="1"/>
    <n v="2"/>
    <n v="0"/>
    <n v="2"/>
    <n v="11.6571059656968"/>
    <n v="39"/>
    <n v="9"/>
    <n v="3"/>
    <x v="1"/>
    <x v="1"/>
    <d v="2024-01-01T00:00:00"/>
    <d v="2024-01-26T00:00:00"/>
    <s v="N/A"/>
    <n v="25"/>
    <s v="N/A"/>
    <x v="2"/>
    <x v="1"/>
  </r>
  <r>
    <n v="45"/>
    <n v="1"/>
    <n v="1"/>
    <n v="11"/>
    <n v="3"/>
    <n v="44.358867722567602"/>
    <n v="44"/>
    <n v="88"/>
    <n v="87"/>
    <x v="1"/>
    <x v="1"/>
    <d v="2024-01-01T00:00:00"/>
    <d v="2024-01-17T00:00:00"/>
    <s v="N/A"/>
    <n v="16"/>
    <s v="N/A"/>
    <x v="3"/>
    <x v="1"/>
  </r>
  <r>
    <n v="35"/>
    <n v="1"/>
    <n v="2"/>
    <n v="6"/>
    <n v="1"/>
    <n v="48.792157358758097"/>
    <n v="67"/>
    <n v="76"/>
    <n v="30"/>
    <x v="1"/>
    <x v="1"/>
    <d v="2024-01-01T00:00:00"/>
    <d v="2024-01-16T00:00:00"/>
    <s v="N/A"/>
    <n v="15"/>
    <s v="N/A"/>
    <x v="3"/>
    <x v="1"/>
  </r>
  <r>
    <n v="44"/>
    <n v="1"/>
    <n v="3"/>
    <n v="15"/>
    <n v="2"/>
    <n v="12.8357652922434"/>
    <n v="8"/>
    <n v="15"/>
    <n v="44"/>
    <x v="1"/>
    <x v="1"/>
    <d v="2024-01-01T00:00:00"/>
    <d v="2024-02-09T00:00:00"/>
    <s v="N/A"/>
    <n v="39"/>
    <s v="N/A"/>
    <x v="2"/>
    <x v="0"/>
  </r>
  <r>
    <n v="39"/>
    <n v="1"/>
    <n v="3"/>
    <n v="2"/>
    <n v="1"/>
    <n v="45.130772875862199"/>
    <n v="21"/>
    <n v="40"/>
    <n v="58"/>
    <x v="1"/>
    <x v="1"/>
    <d v="2024-01-01T00:00:00"/>
    <d v="2024-01-24T00:00:00"/>
    <s v="N/A"/>
    <n v="23"/>
    <s v="N/A"/>
    <x v="2"/>
    <x v="1"/>
  </r>
  <r>
    <n v="47"/>
    <n v="1"/>
    <n v="3"/>
    <n v="13"/>
    <n v="2"/>
    <n v="5.8489381258047697"/>
    <n v="17"/>
    <n v="97"/>
    <n v="44"/>
    <x v="0"/>
    <x v="0"/>
    <d v="2024-01-01T00:00:00"/>
    <d v="2024-01-19T00:00:00"/>
    <d v="2024-02-10T00:00:00"/>
    <n v="18"/>
    <n v="22"/>
    <x v="0"/>
    <x v="1"/>
  </r>
  <r>
    <n v="36"/>
    <n v="1"/>
    <n v="2"/>
    <n v="8"/>
    <n v="4"/>
    <n v="3.7853418057622501"/>
    <n v="75"/>
    <n v="54"/>
    <n v="74"/>
    <x v="2"/>
    <x v="0"/>
    <d v="2024-01-01T00:00:00"/>
    <d v="2024-02-03T00:00:00"/>
    <d v="2024-02-15T00:00:00"/>
    <n v="33"/>
    <n v="12"/>
    <x v="0"/>
    <x v="0"/>
  </r>
  <r>
    <n v="21"/>
    <n v="1"/>
    <n v="1"/>
    <n v="14"/>
    <n v="4"/>
    <n v="7.4611900051374596"/>
    <n v="42"/>
    <n v="100"/>
    <n v="36"/>
    <x v="0"/>
    <x v="0"/>
    <d v="2024-01-01T00:00:00"/>
    <d v="2024-01-17T00:00:00"/>
    <d v="2024-01-27T00:00:00"/>
    <n v="16"/>
    <n v="10"/>
    <x v="0"/>
    <x v="1"/>
  </r>
  <r>
    <n v="20"/>
    <n v="0"/>
    <n v="3"/>
    <n v="5"/>
    <n v="4"/>
    <n v="3.8870539733517999"/>
    <n v="38"/>
    <n v="60"/>
    <n v="64"/>
    <x v="2"/>
    <x v="1"/>
    <d v="2024-01-01T00:00:00"/>
    <d v="2024-02-04T00:00:00"/>
    <s v="N/A"/>
    <n v="34"/>
    <s v="N/A"/>
    <x v="1"/>
    <x v="0"/>
  </r>
  <r>
    <n v="35"/>
    <n v="0"/>
    <n v="2"/>
    <n v="8"/>
    <n v="1"/>
    <n v="43.250611857788797"/>
    <n v="72"/>
    <n v="85"/>
    <n v="8"/>
    <x v="1"/>
    <x v="1"/>
    <d v="2024-01-01T00:00:00"/>
    <d v="2024-02-10T00:00:00"/>
    <s v="N/A"/>
    <n v="40"/>
    <s v="N/A"/>
    <x v="3"/>
    <x v="0"/>
  </r>
  <r>
    <n v="49"/>
    <n v="0"/>
    <n v="2"/>
    <n v="12"/>
    <n v="5"/>
    <n v="3.95250722291359"/>
    <n v="5"/>
    <n v="80"/>
    <n v="16"/>
    <x v="1"/>
    <x v="1"/>
    <d v="2024-01-01T00:00:00"/>
    <d v="2024-01-27T00:00:00"/>
    <s v="N/A"/>
    <n v="26"/>
    <s v="N/A"/>
    <x v="3"/>
    <x v="1"/>
  </r>
  <r>
    <n v="31"/>
    <n v="0"/>
    <n v="3"/>
    <n v="14"/>
    <n v="2"/>
    <n v="14.583209568182699"/>
    <n v="82"/>
    <n v="86"/>
    <n v="64"/>
    <x v="0"/>
    <x v="0"/>
    <d v="2024-01-01T00:00:00"/>
    <d v="2024-02-13T00:00:00"/>
    <d v="2024-02-25T00:00:00"/>
    <n v="43"/>
    <n v="12"/>
    <x v="0"/>
    <x v="0"/>
  </r>
  <r>
    <n v="24"/>
    <n v="1"/>
    <n v="3"/>
    <n v="4"/>
    <n v="4"/>
    <n v="6.1878171767928096"/>
    <n v="47"/>
    <n v="99"/>
    <n v="2"/>
    <x v="0"/>
    <x v="0"/>
    <d v="2024-01-01T00:00:00"/>
    <d v="2024-02-12T00:00:00"/>
    <d v="2024-03-07T00:00:00"/>
    <n v="42"/>
    <n v="24"/>
    <x v="0"/>
    <x v="0"/>
  </r>
  <r>
    <n v="24"/>
    <n v="0"/>
    <n v="2"/>
    <n v="6"/>
    <n v="2"/>
    <n v="15.771101815688199"/>
    <n v="6"/>
    <n v="48"/>
    <n v="25"/>
    <x v="0"/>
    <x v="1"/>
    <d v="2024-01-01T00:00:00"/>
    <d v="2024-01-15T00:00:00"/>
    <s v="N/A"/>
    <n v="14"/>
    <s v="N/A"/>
    <x v="2"/>
    <x v="1"/>
  </r>
  <r>
    <n v="46"/>
    <n v="1"/>
    <n v="2"/>
    <n v="12"/>
    <n v="1"/>
    <n v="5.5279733800460198"/>
    <n v="79"/>
    <n v="72"/>
    <n v="52"/>
    <x v="0"/>
    <x v="0"/>
    <d v="2024-01-01T00:00:00"/>
    <d v="2024-02-03T00:00:00"/>
    <d v="2024-02-25T00:00:00"/>
    <n v="33"/>
    <n v="22"/>
    <x v="0"/>
    <x v="0"/>
  </r>
  <r>
    <n v="42"/>
    <n v="0"/>
    <n v="2"/>
    <n v="15"/>
    <n v="5"/>
    <n v="34.400162537150699"/>
    <n v="68"/>
    <n v="51"/>
    <n v="30"/>
    <x v="1"/>
    <x v="1"/>
    <d v="2024-01-01T00:00:00"/>
    <d v="2024-01-21T00:00:00"/>
    <s v="N/A"/>
    <n v="20"/>
    <s v="N/A"/>
    <x v="1"/>
    <x v="1"/>
  </r>
  <r>
    <n v="28"/>
    <n v="0"/>
    <n v="2"/>
    <n v="13"/>
    <n v="1"/>
    <n v="7.6663408171287504"/>
    <n v="15"/>
    <n v="1"/>
    <n v="25"/>
    <x v="1"/>
    <x v="1"/>
    <d v="2024-01-01T00:00:00"/>
    <d v="2024-02-12T00:00:00"/>
    <s v="N/A"/>
    <n v="42"/>
    <s v="N/A"/>
    <x v="2"/>
    <x v="0"/>
  </r>
  <r>
    <n v="28"/>
    <n v="0"/>
    <n v="2"/>
    <n v="3"/>
    <n v="2"/>
    <n v="43.592296291944301"/>
    <n v="0"/>
    <n v="95"/>
    <n v="22"/>
    <x v="1"/>
    <x v="1"/>
    <d v="2024-01-01T00:00:00"/>
    <d v="2024-02-03T00:00:00"/>
    <s v="N/A"/>
    <n v="33"/>
    <s v="N/A"/>
    <x v="3"/>
    <x v="0"/>
  </r>
  <r>
    <n v="22"/>
    <n v="1"/>
    <n v="3"/>
    <n v="14"/>
    <n v="5"/>
    <n v="41.859552536331996"/>
    <n v="36"/>
    <n v="49"/>
    <n v="29"/>
    <x v="0"/>
    <x v="0"/>
    <d v="2024-01-01T00:00:00"/>
    <d v="2024-01-26T00:00:00"/>
    <d v="2024-02-08T00:00:00"/>
    <n v="25"/>
    <n v="13"/>
    <x v="0"/>
    <x v="1"/>
  </r>
  <r>
    <n v="38"/>
    <n v="0"/>
    <n v="3"/>
    <n v="15"/>
    <n v="5"/>
    <n v="1.6830842735304701"/>
    <n v="82"/>
    <n v="85"/>
    <n v="9"/>
    <x v="2"/>
    <x v="0"/>
    <d v="2024-01-01T00:00:00"/>
    <d v="2024-01-22T00:00:00"/>
    <d v="2024-02-03T00:00:00"/>
    <n v="21"/>
    <n v="12"/>
    <x v="0"/>
    <x v="1"/>
  </r>
  <r>
    <n v="35"/>
    <n v="1"/>
    <n v="3"/>
    <n v="6"/>
    <n v="1"/>
    <n v="45.786317775755698"/>
    <n v="36"/>
    <n v="42"/>
    <n v="71"/>
    <x v="1"/>
    <x v="1"/>
    <d v="2024-01-01T00:00:00"/>
    <d v="2024-02-06T00:00:00"/>
    <s v="N/A"/>
    <n v="36"/>
    <s v="N/A"/>
    <x v="2"/>
    <x v="0"/>
  </r>
  <r>
    <n v="35"/>
    <n v="1"/>
    <n v="1"/>
    <n v="12"/>
    <n v="4"/>
    <n v="2.4472158371683501"/>
    <n v="80"/>
    <n v="76"/>
    <n v="88"/>
    <x v="0"/>
    <x v="0"/>
    <d v="2024-01-01T00:00:00"/>
    <d v="2024-01-19T00:00:00"/>
    <d v="2024-02-06T00:00:00"/>
    <n v="18"/>
    <n v="18"/>
    <x v="0"/>
    <x v="1"/>
  </r>
  <r>
    <n v="22"/>
    <n v="0"/>
    <n v="3"/>
    <n v="0"/>
    <n v="2"/>
    <n v="12.9822892478778"/>
    <n v="63"/>
    <n v="7"/>
    <n v="63"/>
    <x v="1"/>
    <x v="1"/>
    <d v="2024-01-01T00:00:00"/>
    <d v="2024-01-15T00:00:00"/>
    <s v="N/A"/>
    <n v="14"/>
    <s v="N/A"/>
    <x v="2"/>
    <x v="1"/>
  </r>
  <r>
    <n v="39"/>
    <n v="0"/>
    <n v="3"/>
    <n v="6"/>
    <n v="3"/>
    <n v="2.6194568887997498"/>
    <n v="89"/>
    <n v="58"/>
    <n v="21"/>
    <x v="0"/>
    <x v="0"/>
    <d v="2024-01-01T00:00:00"/>
    <d v="2024-01-28T00:00:00"/>
    <d v="2024-02-25T00:00:00"/>
    <n v="27"/>
    <n v="28"/>
    <x v="0"/>
    <x v="1"/>
  </r>
  <r>
    <n v="43"/>
    <n v="0"/>
    <n v="2"/>
    <n v="7"/>
    <n v="3"/>
    <n v="17.792174351965699"/>
    <n v="85"/>
    <n v="64"/>
    <n v="14"/>
    <x v="0"/>
    <x v="0"/>
    <d v="2024-01-01T00:00:00"/>
    <d v="2024-02-12T00:00:00"/>
    <d v="2024-03-11T00:00:00"/>
    <n v="42"/>
    <n v="28"/>
    <x v="0"/>
    <x v="0"/>
  </r>
  <r>
    <n v="41"/>
    <n v="1"/>
    <n v="3"/>
    <n v="4"/>
    <n v="1"/>
    <n v="26.693326285663499"/>
    <n v="61"/>
    <n v="80"/>
    <n v="55"/>
    <x v="1"/>
    <x v="1"/>
    <d v="2024-01-01T00:00:00"/>
    <d v="2024-02-07T00:00:00"/>
    <s v="N/A"/>
    <n v="37"/>
    <s v="N/A"/>
    <x v="3"/>
    <x v="0"/>
  </r>
  <r>
    <n v="43"/>
    <n v="0"/>
    <n v="3"/>
    <n v="1"/>
    <n v="2"/>
    <n v="40.832243450756899"/>
    <n v="71"/>
    <n v="11"/>
    <n v="73"/>
    <x v="1"/>
    <x v="1"/>
    <d v="2024-01-01T00:00:00"/>
    <d v="2024-01-18T00:00:00"/>
    <s v="N/A"/>
    <n v="17"/>
    <s v="N/A"/>
    <x v="2"/>
    <x v="1"/>
  </r>
  <r>
    <n v="20"/>
    <n v="1"/>
    <n v="2"/>
    <n v="4"/>
    <n v="2"/>
    <n v="17.899077523491801"/>
    <n v="60"/>
    <n v="3"/>
    <n v="19"/>
    <x v="2"/>
    <x v="1"/>
    <d v="2024-01-01T00:00:00"/>
    <d v="2024-01-31T00:00:00"/>
    <s v="N/A"/>
    <n v="30"/>
    <s v="N/A"/>
    <x v="2"/>
    <x v="1"/>
  </r>
  <r>
    <n v="43"/>
    <n v="1"/>
    <n v="2"/>
    <n v="5"/>
    <n v="1"/>
    <n v="36.274501233655798"/>
    <n v="32"/>
    <n v="76"/>
    <n v="46"/>
    <x v="1"/>
    <x v="1"/>
    <d v="2024-01-01T00:00:00"/>
    <d v="2024-01-23T00:00:00"/>
    <s v="N/A"/>
    <n v="22"/>
    <s v="N/A"/>
    <x v="3"/>
    <x v="1"/>
  </r>
  <r>
    <n v="39"/>
    <n v="0"/>
    <n v="1"/>
    <n v="11"/>
    <n v="2"/>
    <n v="10.375222855949"/>
    <n v="65"/>
    <n v="94"/>
    <n v="86"/>
    <x v="2"/>
    <x v="1"/>
    <d v="2024-01-01T00:00:00"/>
    <d v="2024-02-15T00:00:00"/>
    <s v="N/A"/>
    <n v="45"/>
    <s v="N/A"/>
    <x v="3"/>
    <x v="0"/>
  </r>
  <r>
    <n v="30"/>
    <n v="0"/>
    <n v="2"/>
    <n v="1"/>
    <n v="4"/>
    <n v="38.5299228372063"/>
    <n v="29"/>
    <n v="40"/>
    <n v="52"/>
    <x v="2"/>
    <x v="1"/>
    <d v="2024-01-01T00:00:00"/>
    <d v="2024-02-03T00:00:00"/>
    <s v="N/A"/>
    <n v="33"/>
    <s v="N/A"/>
    <x v="2"/>
    <x v="0"/>
  </r>
  <r>
    <n v="36"/>
    <n v="1"/>
    <n v="2"/>
    <n v="13"/>
    <n v="1"/>
    <n v="12.799830295461801"/>
    <n v="19"/>
    <n v="6"/>
    <n v="52"/>
    <x v="2"/>
    <x v="1"/>
    <d v="2024-01-01T00:00:00"/>
    <d v="2024-01-27T00:00:00"/>
    <s v="N/A"/>
    <n v="26"/>
    <s v="N/A"/>
    <x v="2"/>
    <x v="1"/>
  </r>
  <r>
    <n v="27"/>
    <n v="1"/>
    <n v="3"/>
    <n v="5"/>
    <n v="4"/>
    <n v="8.1772377971883898"/>
    <n v="59"/>
    <n v="86"/>
    <n v="0"/>
    <x v="1"/>
    <x v="1"/>
    <d v="2024-01-01T00:00:00"/>
    <d v="2024-01-25T00:00:00"/>
    <s v="N/A"/>
    <n v="24"/>
    <s v="N/A"/>
    <x v="3"/>
    <x v="1"/>
  </r>
  <r>
    <n v="23"/>
    <n v="1"/>
    <n v="2"/>
    <n v="5"/>
    <n v="2"/>
    <n v="10.2704425187027"/>
    <n v="81"/>
    <n v="87"/>
    <n v="1"/>
    <x v="0"/>
    <x v="0"/>
    <d v="2024-01-01T00:00:00"/>
    <d v="2024-02-05T00:00:00"/>
    <d v="2024-02-29T00:00:00"/>
    <n v="35"/>
    <n v="24"/>
    <x v="0"/>
    <x v="0"/>
  </r>
  <r>
    <n v="25"/>
    <n v="0"/>
    <n v="1"/>
    <n v="0"/>
    <n v="1"/>
    <n v="10.103156444092701"/>
    <n v="73"/>
    <n v="68"/>
    <n v="57"/>
    <x v="0"/>
    <x v="0"/>
    <d v="2024-01-01T00:00:00"/>
    <d v="2024-02-04T00:00:00"/>
    <d v="2024-02-24T00:00:00"/>
    <n v="34"/>
    <n v="20"/>
    <x v="0"/>
    <x v="0"/>
  </r>
  <r>
    <n v="27"/>
    <n v="1"/>
    <n v="2"/>
    <n v="13"/>
    <n v="2"/>
    <n v="26.6431439688495"/>
    <n v="23"/>
    <n v="68"/>
    <n v="18"/>
    <x v="1"/>
    <x v="1"/>
    <d v="2024-01-01T00:00:00"/>
    <d v="2024-01-26T00:00:00"/>
    <s v="N/A"/>
    <n v="25"/>
    <s v="N/A"/>
    <x v="1"/>
    <x v="1"/>
  </r>
  <r>
    <n v="39"/>
    <n v="0"/>
    <n v="1"/>
    <n v="0"/>
    <n v="1"/>
    <n v="43.239879059407301"/>
    <n v="3"/>
    <n v="80"/>
    <n v="61"/>
    <x v="1"/>
    <x v="1"/>
    <d v="2024-01-01T00:00:00"/>
    <d v="2024-01-31T00:00:00"/>
    <s v="N/A"/>
    <n v="30"/>
    <s v="N/A"/>
    <x v="3"/>
    <x v="1"/>
  </r>
  <r>
    <n v="49"/>
    <n v="1"/>
    <n v="1"/>
    <n v="13"/>
    <n v="2"/>
    <n v="4.9802538496252797"/>
    <n v="36"/>
    <n v="29"/>
    <n v="77"/>
    <x v="0"/>
    <x v="0"/>
    <d v="2024-01-01T00:00:00"/>
    <d v="2024-01-18T00:00:00"/>
    <d v="2024-02-03T00:00:00"/>
    <n v="17"/>
    <n v="16"/>
    <x v="0"/>
    <x v="1"/>
  </r>
  <r>
    <n v="22"/>
    <n v="1"/>
    <n v="1"/>
    <n v="10"/>
    <n v="4"/>
    <n v="36.347815924671103"/>
    <n v="3"/>
    <n v="72"/>
    <n v="71"/>
    <x v="1"/>
    <x v="1"/>
    <d v="2024-01-01T00:00:00"/>
    <d v="2024-02-02T00:00:00"/>
    <s v="N/A"/>
    <n v="32"/>
    <s v="N/A"/>
    <x v="3"/>
    <x v="0"/>
  </r>
  <r>
    <n v="35"/>
    <n v="0"/>
    <n v="1"/>
    <n v="15"/>
    <n v="4"/>
    <n v="33.717322982642798"/>
    <n v="76"/>
    <n v="5"/>
    <n v="11"/>
    <x v="0"/>
    <x v="0"/>
    <d v="2024-01-01T00:00:00"/>
    <d v="2024-02-04T00:00:00"/>
    <d v="2024-02-28T00:00:00"/>
    <n v="34"/>
    <n v="24"/>
    <x v="0"/>
    <x v="0"/>
  </r>
  <r>
    <n v="49"/>
    <n v="1"/>
    <n v="1"/>
    <n v="9"/>
    <n v="2"/>
    <n v="44.625997591468099"/>
    <n v="88"/>
    <n v="88"/>
    <n v="25"/>
    <x v="1"/>
    <x v="1"/>
    <d v="2024-01-01T00:00:00"/>
    <d v="2024-02-15T00:00:00"/>
    <s v="N/A"/>
    <n v="45"/>
    <s v="N/A"/>
    <x v="3"/>
    <x v="0"/>
  </r>
  <r>
    <n v="44"/>
    <n v="0"/>
    <n v="2"/>
    <n v="2"/>
    <n v="1"/>
    <n v="13.207378025345299"/>
    <n v="76"/>
    <n v="18"/>
    <n v="26"/>
    <x v="0"/>
    <x v="1"/>
    <d v="2024-01-01T00:00:00"/>
    <d v="2024-01-30T00:00:00"/>
    <s v="N/A"/>
    <n v="29"/>
    <s v="N/A"/>
    <x v="2"/>
    <x v="1"/>
  </r>
  <r>
    <n v="22"/>
    <n v="0"/>
    <n v="2"/>
    <n v="13"/>
    <n v="3"/>
    <n v="23.5054929342514"/>
    <n v="17"/>
    <n v="79"/>
    <n v="28"/>
    <x v="1"/>
    <x v="1"/>
    <d v="2024-01-01T00:00:00"/>
    <d v="2024-02-09T00:00:00"/>
    <s v="N/A"/>
    <n v="39"/>
    <s v="N/A"/>
    <x v="3"/>
    <x v="0"/>
  </r>
  <r>
    <n v="44"/>
    <n v="1"/>
    <n v="3"/>
    <n v="9"/>
    <n v="4"/>
    <n v="47.291368722175797"/>
    <n v="87"/>
    <n v="84"/>
    <n v="14"/>
    <x v="1"/>
    <x v="0"/>
    <d v="2024-01-01T00:00:00"/>
    <d v="2024-01-23T00:00:00"/>
    <d v="2024-01-31T00:00:00"/>
    <n v="22"/>
    <n v="8"/>
    <x v="0"/>
    <x v="1"/>
  </r>
  <r>
    <n v="48"/>
    <n v="0"/>
    <n v="2"/>
    <n v="9"/>
    <n v="4"/>
    <n v="33.999672506765798"/>
    <n v="65"/>
    <n v="65"/>
    <n v="45"/>
    <x v="0"/>
    <x v="0"/>
    <d v="2024-01-01T00:00:00"/>
    <d v="2024-02-12T00:00:00"/>
    <d v="2024-03-13T00:00:00"/>
    <n v="42"/>
    <n v="30"/>
    <x v="0"/>
    <x v="0"/>
  </r>
  <r>
    <n v="37"/>
    <n v="0"/>
    <n v="3"/>
    <n v="14"/>
    <n v="3"/>
    <n v="20.438420643079802"/>
    <n v="47"/>
    <n v="9"/>
    <n v="0"/>
    <x v="1"/>
    <x v="1"/>
    <d v="2024-01-01T00:00:00"/>
    <d v="2024-01-17T00:00:00"/>
    <s v="N/A"/>
    <n v="16"/>
    <s v="N/A"/>
    <x v="2"/>
    <x v="1"/>
  </r>
  <r>
    <n v="33"/>
    <n v="1"/>
    <n v="1"/>
    <n v="11"/>
    <n v="2"/>
    <n v="7.5706191427634204"/>
    <n v="32"/>
    <n v="15"/>
    <n v="59"/>
    <x v="1"/>
    <x v="1"/>
    <d v="2024-01-01T00:00:00"/>
    <d v="2024-01-16T00:00:00"/>
    <s v="N/A"/>
    <n v="15"/>
    <s v="N/A"/>
    <x v="2"/>
    <x v="1"/>
  </r>
  <r>
    <n v="37"/>
    <n v="0"/>
    <n v="2"/>
    <n v="2"/>
    <n v="1"/>
    <n v="14.124250395029501"/>
    <n v="57"/>
    <n v="36"/>
    <n v="91"/>
    <x v="0"/>
    <x v="1"/>
    <d v="2024-01-01T00:00:00"/>
    <d v="2024-02-10T00:00:00"/>
    <s v="N/A"/>
    <n v="40"/>
    <s v="N/A"/>
    <x v="2"/>
    <x v="0"/>
  </r>
  <r>
    <n v="21"/>
    <n v="0"/>
    <n v="3"/>
    <n v="3"/>
    <n v="2"/>
    <n v="30.060773874469099"/>
    <n v="82"/>
    <n v="78"/>
    <n v="56"/>
    <x v="0"/>
    <x v="0"/>
    <d v="2024-01-01T00:00:00"/>
    <d v="2024-02-13T00:00:00"/>
    <d v="2024-03-09T00:00:00"/>
    <n v="43"/>
    <n v="25"/>
    <x v="0"/>
    <x v="0"/>
  </r>
  <r>
    <n v="41"/>
    <n v="0"/>
    <n v="1"/>
    <n v="1"/>
    <n v="5"/>
    <n v="36.908397378025597"/>
    <n v="72"/>
    <n v="76"/>
    <n v="2"/>
    <x v="1"/>
    <x v="1"/>
    <d v="2024-01-01T00:00:00"/>
    <d v="2024-02-08T00:00:00"/>
    <s v="N/A"/>
    <n v="38"/>
    <s v="N/A"/>
    <x v="3"/>
    <x v="0"/>
  </r>
  <r>
    <n v="22"/>
    <n v="1"/>
    <n v="2"/>
    <n v="8"/>
    <n v="4"/>
    <n v="7.2210943425946699"/>
    <n v="27"/>
    <n v="76"/>
    <n v="17"/>
    <x v="1"/>
    <x v="1"/>
    <d v="2024-01-01T00:00:00"/>
    <d v="2024-02-06T00:00:00"/>
    <s v="N/A"/>
    <n v="36"/>
    <s v="N/A"/>
    <x v="3"/>
    <x v="0"/>
  </r>
  <r>
    <n v="35"/>
    <n v="0"/>
    <n v="2"/>
    <n v="9"/>
    <n v="5"/>
    <n v="30.979863002202698"/>
    <n v="34"/>
    <n v="31"/>
    <n v="51"/>
    <x v="1"/>
    <x v="1"/>
    <d v="2024-01-01T00:00:00"/>
    <d v="2024-01-25T00:00:00"/>
    <s v="N/A"/>
    <n v="24"/>
    <s v="N/A"/>
    <x v="2"/>
    <x v="1"/>
  </r>
  <r>
    <n v="48"/>
    <n v="1"/>
    <n v="2"/>
    <n v="11"/>
    <n v="4"/>
    <n v="28.5175639419375"/>
    <n v="9"/>
    <n v="46"/>
    <n v="59"/>
    <x v="0"/>
    <x v="1"/>
    <d v="2024-01-01T00:00:00"/>
    <d v="2024-01-29T00:00:00"/>
    <s v="N/A"/>
    <n v="28"/>
    <s v="N/A"/>
    <x v="2"/>
    <x v="1"/>
  </r>
  <r>
    <n v="28"/>
    <n v="1"/>
    <n v="1"/>
    <n v="10"/>
    <n v="4"/>
    <n v="26.697772334535401"/>
    <n v="64"/>
    <n v="71"/>
    <n v="33"/>
    <x v="1"/>
    <x v="1"/>
    <d v="2024-01-01T00:00:00"/>
    <d v="2024-01-27T00:00:00"/>
    <s v="N/A"/>
    <n v="26"/>
    <s v="N/A"/>
    <x v="3"/>
    <x v="1"/>
  </r>
  <r>
    <n v="23"/>
    <n v="0"/>
    <n v="2"/>
    <n v="13"/>
    <n v="5"/>
    <n v="35.506155884100302"/>
    <n v="41"/>
    <n v="42"/>
    <n v="95"/>
    <x v="0"/>
    <x v="0"/>
    <d v="2024-01-01T00:00:00"/>
    <d v="2024-01-26T00:00:00"/>
    <d v="2024-02-02T00:00:00"/>
    <n v="25"/>
    <n v="7"/>
    <x v="0"/>
    <x v="1"/>
  </r>
  <r>
    <n v="20"/>
    <n v="0"/>
    <n v="2"/>
    <n v="6"/>
    <n v="5"/>
    <n v="42.872479754173"/>
    <n v="84"/>
    <n v="81"/>
    <n v="92"/>
    <x v="2"/>
    <x v="0"/>
    <d v="2024-01-01T00:00:00"/>
    <d v="2024-01-30T00:00:00"/>
    <d v="2024-02-17T00:00:00"/>
    <n v="29"/>
    <n v="18"/>
    <x v="0"/>
    <x v="1"/>
  </r>
  <r>
    <n v="23"/>
    <n v="0"/>
    <n v="1"/>
    <n v="6"/>
    <n v="2"/>
    <n v="17.1494841588434"/>
    <n v="8"/>
    <n v="35"/>
    <n v="88"/>
    <x v="1"/>
    <x v="1"/>
    <d v="2024-01-01T00:00:00"/>
    <d v="2024-02-15T00:00:00"/>
    <s v="N/A"/>
    <n v="45"/>
    <s v="N/A"/>
    <x v="2"/>
    <x v="0"/>
  </r>
  <r>
    <n v="20"/>
    <n v="1"/>
    <n v="2"/>
    <n v="14"/>
    <n v="5"/>
    <n v="45.450609505547902"/>
    <n v="59"/>
    <n v="25"/>
    <n v="59"/>
    <x v="2"/>
    <x v="1"/>
    <d v="2024-01-01T00:00:00"/>
    <d v="2024-01-31T00:00:00"/>
    <s v="N/A"/>
    <n v="30"/>
    <s v="N/A"/>
    <x v="2"/>
    <x v="1"/>
  </r>
  <r>
    <n v="33"/>
    <n v="0"/>
    <n v="3"/>
    <n v="5"/>
    <n v="2"/>
    <n v="9.0316806309275304"/>
    <n v="14"/>
    <n v="9"/>
    <n v="25"/>
    <x v="1"/>
    <x v="1"/>
    <d v="2024-01-01T00:00:00"/>
    <d v="2024-01-25T00:00:00"/>
    <s v="N/A"/>
    <n v="24"/>
    <s v="N/A"/>
    <x v="2"/>
    <x v="1"/>
  </r>
  <r>
    <n v="40"/>
    <n v="0"/>
    <n v="4"/>
    <n v="14"/>
    <n v="2"/>
    <n v="9.6511934875582099"/>
    <n v="98"/>
    <n v="30"/>
    <n v="71"/>
    <x v="1"/>
    <x v="0"/>
    <d v="2024-01-01T00:00:00"/>
    <d v="2024-01-19T00:00:00"/>
    <d v="2024-02-07T00:00:00"/>
    <n v="18"/>
    <n v="19"/>
    <x v="0"/>
    <x v="1"/>
  </r>
  <r>
    <n v="35"/>
    <n v="0"/>
    <n v="2"/>
    <n v="2"/>
    <n v="2"/>
    <n v="14.338603181196101"/>
    <n v="56"/>
    <n v="96"/>
    <n v="18"/>
    <x v="1"/>
    <x v="1"/>
    <d v="2024-01-01T00:00:00"/>
    <d v="2024-01-22T00:00:00"/>
    <s v="N/A"/>
    <n v="21"/>
    <s v="N/A"/>
    <x v="3"/>
    <x v="1"/>
  </r>
  <r>
    <n v="39"/>
    <n v="0"/>
    <n v="3"/>
    <n v="5"/>
    <n v="4"/>
    <n v="6.9765434773538901"/>
    <n v="68"/>
    <n v="28"/>
    <n v="21"/>
    <x v="1"/>
    <x v="1"/>
    <d v="2024-01-01T00:00:00"/>
    <d v="2024-02-14T00:00:00"/>
    <s v="N/A"/>
    <n v="44"/>
    <s v="N/A"/>
    <x v="2"/>
    <x v="0"/>
  </r>
  <r>
    <n v="43"/>
    <n v="0"/>
    <n v="2"/>
    <n v="14"/>
    <n v="4"/>
    <n v="12.5159612341438"/>
    <n v="21"/>
    <n v="4"/>
    <n v="92"/>
    <x v="1"/>
    <x v="1"/>
    <d v="2024-01-01T00:00:00"/>
    <d v="2024-01-30T00:00:00"/>
    <s v="N/A"/>
    <n v="29"/>
    <s v="N/A"/>
    <x v="2"/>
    <x v="1"/>
  </r>
  <r>
    <n v="27"/>
    <n v="1"/>
    <n v="2"/>
    <n v="13"/>
    <n v="5"/>
    <n v="6.3205881451422297"/>
    <n v="63"/>
    <n v="76"/>
    <n v="32"/>
    <x v="1"/>
    <x v="1"/>
    <d v="2024-01-01T00:00:00"/>
    <d v="2024-02-12T00:00:00"/>
    <s v="N/A"/>
    <n v="42"/>
    <s v="N/A"/>
    <x v="3"/>
    <x v="0"/>
  </r>
  <r>
    <n v="26"/>
    <n v="1"/>
    <n v="1"/>
    <n v="11"/>
    <n v="4"/>
    <n v="42.087620849269499"/>
    <n v="40"/>
    <n v="0"/>
    <n v="37"/>
    <x v="1"/>
    <x v="1"/>
    <d v="2024-01-01T00:00:00"/>
    <d v="2024-02-09T00:00:00"/>
    <s v="N/A"/>
    <n v="39"/>
    <s v="N/A"/>
    <x v="2"/>
    <x v="0"/>
  </r>
  <r>
    <n v="22"/>
    <n v="0"/>
    <n v="3"/>
    <n v="7"/>
    <n v="5"/>
    <n v="7.9484495943312297"/>
    <n v="86"/>
    <n v="86"/>
    <n v="34"/>
    <x v="1"/>
    <x v="0"/>
    <d v="2024-01-01T00:00:00"/>
    <d v="2024-01-16T00:00:00"/>
    <d v="2024-02-01T00:00:00"/>
    <n v="15"/>
    <n v="16"/>
    <x v="0"/>
    <x v="1"/>
  </r>
  <r>
    <n v="36"/>
    <n v="0"/>
    <n v="2"/>
    <n v="7"/>
    <n v="4"/>
    <n v="38.364877877992797"/>
    <n v="70"/>
    <n v="2"/>
    <n v="66"/>
    <x v="1"/>
    <x v="1"/>
    <d v="2024-01-01T00:00:00"/>
    <d v="2024-02-11T00:00:00"/>
    <s v="N/A"/>
    <n v="41"/>
    <s v="N/A"/>
    <x v="2"/>
    <x v="0"/>
  </r>
  <r>
    <n v="20"/>
    <n v="0"/>
    <n v="2"/>
    <n v="10"/>
    <n v="1"/>
    <n v="3.3956933956666799"/>
    <n v="55"/>
    <n v="66"/>
    <n v="82"/>
    <x v="2"/>
    <x v="1"/>
    <d v="2024-01-01T00:00:00"/>
    <d v="2024-02-07T00:00:00"/>
    <s v="N/A"/>
    <n v="37"/>
    <s v="N/A"/>
    <x v="1"/>
    <x v="0"/>
  </r>
  <r>
    <n v="35"/>
    <n v="0"/>
    <n v="1"/>
    <n v="12"/>
    <n v="1"/>
    <n v="48.426016375695703"/>
    <n v="22"/>
    <n v="70"/>
    <n v="9"/>
    <x v="1"/>
    <x v="1"/>
    <d v="2024-01-01T00:00:00"/>
    <d v="2024-01-21T00:00:00"/>
    <s v="N/A"/>
    <n v="20"/>
    <s v="N/A"/>
    <x v="3"/>
    <x v="1"/>
  </r>
  <r>
    <n v="31"/>
    <n v="1"/>
    <n v="3"/>
    <n v="8"/>
    <n v="5"/>
    <n v="36.558004376388297"/>
    <n v="24"/>
    <n v="99"/>
    <n v="90"/>
    <x v="1"/>
    <x v="0"/>
    <d v="2024-01-01T00:00:00"/>
    <d v="2024-01-21T00:00:00"/>
    <d v="2024-02-12T00:00:00"/>
    <n v="20"/>
    <n v="22"/>
    <x v="0"/>
    <x v="1"/>
  </r>
  <r>
    <n v="46"/>
    <n v="0"/>
    <n v="3"/>
    <n v="14"/>
    <n v="4"/>
    <n v="1.3398274293055801"/>
    <n v="90"/>
    <n v="34"/>
    <n v="14"/>
    <x v="1"/>
    <x v="1"/>
    <d v="2024-01-01T00:00:00"/>
    <d v="2024-02-15T00:00:00"/>
    <s v="N/A"/>
    <n v="45"/>
    <s v="N/A"/>
    <x v="2"/>
    <x v="0"/>
  </r>
  <r>
    <n v="38"/>
    <n v="1"/>
    <n v="3"/>
    <n v="0"/>
    <n v="4"/>
    <n v="39.192825010010701"/>
    <n v="5"/>
    <n v="14"/>
    <n v="10"/>
    <x v="1"/>
    <x v="1"/>
    <d v="2024-01-01T00:00:00"/>
    <d v="2024-01-29T00:00:00"/>
    <s v="N/A"/>
    <n v="28"/>
    <s v="N/A"/>
    <x v="2"/>
    <x v="1"/>
  </r>
  <r>
    <n v="41"/>
    <n v="1"/>
    <n v="2"/>
    <n v="13"/>
    <n v="2"/>
    <n v="26.704096038309199"/>
    <n v="33"/>
    <n v="66"/>
    <n v="89"/>
    <x v="2"/>
    <x v="1"/>
    <d v="2024-01-01T00:00:00"/>
    <d v="2024-01-27T00:00:00"/>
    <s v="N/A"/>
    <n v="26"/>
    <s v="N/A"/>
    <x v="1"/>
    <x v="1"/>
  </r>
  <r>
    <n v="42"/>
    <n v="0"/>
    <n v="1"/>
    <n v="0"/>
    <n v="3"/>
    <n v="39.968258516755903"/>
    <n v="62"/>
    <n v="92"/>
    <n v="23"/>
    <x v="2"/>
    <x v="1"/>
    <d v="2024-01-01T00:00:00"/>
    <d v="2024-02-11T00:00:00"/>
    <s v="N/A"/>
    <n v="41"/>
    <s v="N/A"/>
    <x v="3"/>
    <x v="0"/>
  </r>
  <r>
    <n v="41"/>
    <n v="1"/>
    <n v="2"/>
    <n v="2"/>
    <n v="5"/>
    <n v="27.124840444529401"/>
    <n v="8"/>
    <n v="29"/>
    <n v="76"/>
    <x v="1"/>
    <x v="1"/>
    <d v="2024-01-01T00:00:00"/>
    <d v="2024-02-01T00:00:00"/>
    <s v="N/A"/>
    <n v="31"/>
    <s v="N/A"/>
    <x v="2"/>
    <x v="0"/>
  </r>
  <r>
    <n v="33"/>
    <n v="1"/>
    <n v="2"/>
    <n v="2"/>
    <n v="3"/>
    <n v="33.051242881767699"/>
    <n v="59"/>
    <n v="81"/>
    <n v="95"/>
    <x v="1"/>
    <x v="1"/>
    <d v="2024-01-01T00:00:00"/>
    <d v="2024-01-30T00:00:00"/>
    <s v="N/A"/>
    <n v="29"/>
    <s v="N/A"/>
    <x v="3"/>
    <x v="1"/>
  </r>
  <r>
    <n v="49"/>
    <n v="1"/>
    <n v="1"/>
    <n v="9"/>
    <n v="3"/>
    <n v="40.316582769752003"/>
    <n v="48"/>
    <n v="74"/>
    <n v="100"/>
    <x v="1"/>
    <x v="1"/>
    <d v="2024-01-01T00:00:00"/>
    <d v="2024-02-01T00:00:00"/>
    <s v="N/A"/>
    <n v="31"/>
    <s v="N/A"/>
    <x v="3"/>
    <x v="0"/>
  </r>
  <r>
    <n v="25"/>
    <n v="1"/>
    <n v="2"/>
    <n v="7"/>
    <n v="5"/>
    <n v="21.255402729392799"/>
    <n v="96"/>
    <n v="42"/>
    <n v="3"/>
    <x v="1"/>
    <x v="1"/>
    <d v="2024-01-01T00:00:00"/>
    <d v="2024-02-03T00:00:00"/>
    <s v="N/A"/>
    <n v="33"/>
    <s v="N/A"/>
    <x v="2"/>
    <x v="0"/>
  </r>
  <r>
    <n v="25"/>
    <n v="0"/>
    <n v="4"/>
    <n v="14"/>
    <n v="4"/>
    <n v="1.1354074910226"/>
    <n v="50"/>
    <n v="59"/>
    <n v="12"/>
    <x v="2"/>
    <x v="1"/>
    <d v="2024-01-01T00:00:00"/>
    <d v="2024-02-09T00:00:00"/>
    <s v="N/A"/>
    <n v="39"/>
    <s v="N/A"/>
    <x v="1"/>
    <x v="0"/>
  </r>
  <r>
    <n v="32"/>
    <n v="0"/>
    <n v="3"/>
    <n v="9"/>
    <n v="5"/>
    <n v="43.497324797259402"/>
    <n v="59"/>
    <n v="39"/>
    <n v="72"/>
    <x v="0"/>
    <x v="0"/>
    <d v="2024-01-01T00:00:00"/>
    <d v="2024-01-29T00:00:00"/>
    <d v="2024-02-19T00:00:00"/>
    <n v="28"/>
    <n v="21"/>
    <x v="0"/>
    <x v="1"/>
  </r>
  <r>
    <n v="38"/>
    <n v="1"/>
    <n v="3"/>
    <n v="0"/>
    <n v="3"/>
    <n v="20.044518131233101"/>
    <n v="69"/>
    <n v="64"/>
    <n v="56"/>
    <x v="0"/>
    <x v="0"/>
    <d v="2024-01-01T00:00:00"/>
    <d v="2024-01-22T00:00:00"/>
    <d v="2024-02-11T00:00:00"/>
    <n v="21"/>
    <n v="20"/>
    <x v="0"/>
    <x v="1"/>
  </r>
  <r>
    <n v="41"/>
    <n v="0"/>
    <n v="4"/>
    <n v="12"/>
    <n v="4"/>
    <n v="25.802136300829101"/>
    <n v="36"/>
    <n v="28"/>
    <n v="97"/>
    <x v="0"/>
    <x v="0"/>
    <d v="2024-01-01T00:00:00"/>
    <d v="2024-01-21T00:00:00"/>
    <d v="2024-02-19T00:00:00"/>
    <n v="20"/>
    <n v="29"/>
    <x v="0"/>
    <x v="1"/>
  </r>
  <r>
    <n v="27"/>
    <n v="0"/>
    <n v="2"/>
    <n v="1"/>
    <n v="1"/>
    <n v="1.3883321076984301"/>
    <n v="30"/>
    <n v="73"/>
    <n v="36"/>
    <x v="1"/>
    <x v="1"/>
    <d v="2024-01-01T00:00:00"/>
    <d v="2024-01-29T00:00:00"/>
    <s v="N/A"/>
    <n v="28"/>
    <s v="N/A"/>
    <x v="3"/>
    <x v="1"/>
  </r>
  <r>
    <n v="46"/>
    <n v="0"/>
    <n v="2"/>
    <n v="1"/>
    <n v="5"/>
    <n v="25.604600517504899"/>
    <n v="97"/>
    <n v="91"/>
    <n v="47"/>
    <x v="2"/>
    <x v="1"/>
    <d v="2024-01-01T00:00:00"/>
    <d v="2024-01-17T00:00:00"/>
    <s v="N/A"/>
    <n v="16"/>
    <s v="N/A"/>
    <x v="3"/>
    <x v="1"/>
  </r>
  <r>
    <n v="46"/>
    <n v="0"/>
    <n v="4"/>
    <n v="2"/>
    <n v="5"/>
    <n v="50.324370078586398"/>
    <n v="40"/>
    <n v="94"/>
    <n v="70"/>
    <x v="0"/>
    <x v="0"/>
    <d v="2024-01-01T00:00:00"/>
    <d v="2024-01-27T00:00:00"/>
    <d v="2024-02-20T00:00:00"/>
    <n v="26"/>
    <n v="24"/>
    <x v="0"/>
    <x v="1"/>
  </r>
  <r>
    <n v="21"/>
    <n v="0"/>
    <n v="1"/>
    <n v="12"/>
    <n v="4"/>
    <n v="14.913383040938401"/>
    <n v="61"/>
    <n v="18"/>
    <n v="0"/>
    <x v="1"/>
    <x v="1"/>
    <d v="2024-01-01T00:00:00"/>
    <d v="2024-02-06T00:00:00"/>
    <s v="N/A"/>
    <n v="36"/>
    <s v="N/A"/>
    <x v="2"/>
    <x v="0"/>
  </r>
  <r>
    <n v="40"/>
    <n v="1"/>
    <n v="3"/>
    <n v="5"/>
    <n v="1"/>
    <n v="20.770913512118899"/>
    <n v="92"/>
    <n v="2"/>
    <n v="59"/>
    <x v="1"/>
    <x v="1"/>
    <d v="2024-01-01T00:00:00"/>
    <d v="2024-01-20T00:00:00"/>
    <s v="N/A"/>
    <n v="19"/>
    <s v="N/A"/>
    <x v="2"/>
    <x v="1"/>
  </r>
  <r>
    <n v="49"/>
    <n v="0"/>
    <n v="2"/>
    <n v="0"/>
    <n v="1"/>
    <n v="35.359499823433801"/>
    <n v="57"/>
    <n v="35"/>
    <n v="11"/>
    <x v="1"/>
    <x v="1"/>
    <d v="2024-01-01T00:00:00"/>
    <d v="2024-02-12T00:00:00"/>
    <s v="N/A"/>
    <n v="42"/>
    <s v="N/A"/>
    <x v="2"/>
    <x v="0"/>
  </r>
  <r>
    <n v="20"/>
    <n v="0"/>
    <n v="2"/>
    <n v="1"/>
    <n v="4"/>
    <n v="41.739683376182903"/>
    <n v="13"/>
    <n v="42"/>
    <n v="20"/>
    <x v="1"/>
    <x v="1"/>
    <d v="2024-01-01T00:00:00"/>
    <d v="2024-02-07T00:00:00"/>
    <s v="N/A"/>
    <n v="37"/>
    <s v="N/A"/>
    <x v="2"/>
    <x v="0"/>
  </r>
  <r>
    <n v="47"/>
    <n v="0"/>
    <n v="2"/>
    <n v="12"/>
    <n v="2"/>
    <n v="21.869581200304999"/>
    <n v="35"/>
    <n v="14"/>
    <n v="10"/>
    <x v="2"/>
    <x v="1"/>
    <d v="2024-01-01T00:00:00"/>
    <d v="2024-02-14T00:00:00"/>
    <s v="N/A"/>
    <n v="44"/>
    <s v="N/A"/>
    <x v="2"/>
    <x v="0"/>
  </r>
  <r>
    <n v="34"/>
    <n v="0"/>
    <n v="4"/>
    <n v="15"/>
    <n v="5"/>
    <n v="16.483443520064601"/>
    <n v="35"/>
    <n v="96"/>
    <n v="43"/>
    <x v="0"/>
    <x v="0"/>
    <d v="2024-01-01T00:00:00"/>
    <d v="2024-02-10T00:00:00"/>
    <d v="2024-02-21T00:00:00"/>
    <n v="40"/>
    <n v="11"/>
    <x v="0"/>
    <x v="0"/>
  </r>
  <r>
    <n v="20"/>
    <n v="1"/>
    <n v="3"/>
    <n v="14"/>
    <n v="5"/>
    <n v="47.891289999253303"/>
    <n v="78"/>
    <n v="40"/>
    <n v="57"/>
    <x v="1"/>
    <x v="1"/>
    <d v="2024-01-01T00:00:00"/>
    <d v="2024-01-15T00:00:00"/>
    <s v="N/A"/>
    <n v="14"/>
    <s v="N/A"/>
    <x v="2"/>
    <x v="1"/>
  </r>
  <r>
    <n v="24"/>
    <n v="1"/>
    <n v="1"/>
    <n v="12"/>
    <n v="3"/>
    <n v="34.857248333583399"/>
    <n v="7"/>
    <n v="89"/>
    <n v="43"/>
    <x v="0"/>
    <x v="0"/>
    <d v="2024-01-01T00:00:00"/>
    <d v="2024-01-21T00:00:00"/>
    <d v="2024-02-16T00:00:00"/>
    <n v="20"/>
    <n v="26"/>
    <x v="0"/>
    <x v="1"/>
  </r>
  <r>
    <n v="47"/>
    <n v="1"/>
    <n v="3"/>
    <n v="15"/>
    <n v="4"/>
    <n v="6.9510652246570501"/>
    <n v="25"/>
    <n v="79"/>
    <n v="77"/>
    <x v="1"/>
    <x v="0"/>
    <d v="2024-01-01T00:00:00"/>
    <d v="2024-01-27T00:00:00"/>
    <d v="2024-02-18T00:00:00"/>
    <n v="26"/>
    <n v="22"/>
    <x v="0"/>
    <x v="1"/>
  </r>
  <r>
    <n v="48"/>
    <n v="1"/>
    <n v="2"/>
    <n v="0"/>
    <n v="3"/>
    <n v="4.4463939067324301"/>
    <n v="35"/>
    <n v="35"/>
    <n v="97"/>
    <x v="2"/>
    <x v="1"/>
    <d v="2024-01-01T00:00:00"/>
    <d v="2024-01-25T00:00:00"/>
    <s v="N/A"/>
    <n v="24"/>
    <s v="N/A"/>
    <x v="2"/>
    <x v="1"/>
  </r>
  <r>
    <n v="35"/>
    <n v="0"/>
    <n v="2"/>
    <n v="4"/>
    <n v="3"/>
    <n v="25.177492539518401"/>
    <n v="47"/>
    <n v="96"/>
    <n v="33"/>
    <x v="0"/>
    <x v="1"/>
    <d v="2024-01-01T00:00:00"/>
    <d v="2024-02-10T00:00:00"/>
    <s v="N/A"/>
    <n v="40"/>
    <s v="N/A"/>
    <x v="3"/>
    <x v="0"/>
  </r>
  <r>
    <n v="38"/>
    <n v="1"/>
    <n v="2"/>
    <n v="15"/>
    <n v="1"/>
    <n v="12.004503302363601"/>
    <n v="84"/>
    <n v="83"/>
    <n v="24"/>
    <x v="0"/>
    <x v="0"/>
    <d v="2024-01-01T00:00:00"/>
    <d v="2024-01-30T00:00:00"/>
    <d v="2024-02-09T00:00:00"/>
    <n v="29"/>
    <n v="10"/>
    <x v="0"/>
    <x v="1"/>
  </r>
  <r>
    <n v="23"/>
    <n v="0"/>
    <n v="2"/>
    <n v="12"/>
    <n v="5"/>
    <n v="13.6992376688126"/>
    <n v="27"/>
    <n v="76"/>
    <n v="3"/>
    <x v="1"/>
    <x v="1"/>
    <d v="2024-01-01T00:00:00"/>
    <d v="2024-02-05T00:00:00"/>
    <s v="N/A"/>
    <n v="35"/>
    <s v="N/A"/>
    <x v="3"/>
    <x v="0"/>
  </r>
  <r>
    <n v="22"/>
    <n v="0"/>
    <n v="2"/>
    <n v="12"/>
    <n v="3"/>
    <n v="44.884608941392401"/>
    <n v="67"/>
    <n v="32"/>
    <n v="63"/>
    <x v="1"/>
    <x v="1"/>
    <d v="2024-01-01T00:00:00"/>
    <d v="2024-02-02T00:00:00"/>
    <s v="N/A"/>
    <n v="32"/>
    <s v="N/A"/>
    <x v="2"/>
    <x v="0"/>
  </r>
  <r>
    <n v="36"/>
    <n v="0"/>
    <n v="4"/>
    <n v="6"/>
    <n v="1"/>
    <n v="5.47830121581553"/>
    <n v="61"/>
    <n v="4"/>
    <n v="89"/>
    <x v="1"/>
    <x v="1"/>
    <d v="2024-01-01T00:00:00"/>
    <d v="2024-01-20T00:00:00"/>
    <s v="N/A"/>
    <n v="19"/>
    <s v="N/A"/>
    <x v="2"/>
    <x v="1"/>
  </r>
  <r>
    <n v="36"/>
    <n v="0"/>
    <n v="3"/>
    <n v="15"/>
    <n v="4"/>
    <n v="36.768205761444399"/>
    <n v="79"/>
    <n v="100"/>
    <n v="15"/>
    <x v="0"/>
    <x v="0"/>
    <d v="2024-01-01T00:00:00"/>
    <d v="2024-02-07T00:00:00"/>
    <d v="2024-02-24T00:00:00"/>
    <n v="37"/>
    <n v="17"/>
    <x v="0"/>
    <x v="0"/>
  </r>
  <r>
    <n v="31"/>
    <n v="0"/>
    <n v="2"/>
    <n v="7"/>
    <n v="3"/>
    <n v="14.557112669029401"/>
    <n v="85"/>
    <n v="77"/>
    <n v="9"/>
    <x v="0"/>
    <x v="0"/>
    <d v="2024-01-01T00:00:00"/>
    <d v="2024-01-21T00:00:00"/>
    <d v="2024-02-02T00:00:00"/>
    <n v="20"/>
    <n v="12"/>
    <x v="0"/>
    <x v="1"/>
  </r>
  <r>
    <n v="47"/>
    <n v="1"/>
    <n v="1"/>
    <n v="9"/>
    <n v="5"/>
    <n v="39.0164110702068"/>
    <n v="75"/>
    <n v="90"/>
    <n v="65"/>
    <x v="1"/>
    <x v="0"/>
    <d v="2024-01-01T00:00:00"/>
    <d v="2024-01-21T00:00:00"/>
    <d v="2024-02-20T00:00:00"/>
    <n v="20"/>
    <n v="30"/>
    <x v="0"/>
    <x v="1"/>
  </r>
  <r>
    <n v="49"/>
    <n v="1"/>
    <n v="4"/>
    <n v="0"/>
    <n v="3"/>
    <n v="37.120569223177199"/>
    <n v="79"/>
    <n v="86"/>
    <n v="34"/>
    <x v="0"/>
    <x v="0"/>
    <d v="2024-01-01T00:00:00"/>
    <d v="2024-01-15T00:00:00"/>
    <d v="2024-01-25T00:00:00"/>
    <n v="14"/>
    <n v="10"/>
    <x v="0"/>
    <x v="1"/>
  </r>
  <r>
    <n v="48"/>
    <n v="1"/>
    <n v="4"/>
    <n v="6"/>
    <n v="4"/>
    <n v="1.3695950722146499"/>
    <n v="50"/>
    <n v="13"/>
    <n v="82"/>
    <x v="2"/>
    <x v="1"/>
    <d v="2024-01-01T00:00:00"/>
    <d v="2024-02-01T00:00:00"/>
    <s v="N/A"/>
    <n v="31"/>
    <s v="N/A"/>
    <x v="2"/>
    <x v="0"/>
  </r>
  <r>
    <n v="33"/>
    <n v="1"/>
    <n v="3"/>
    <n v="12"/>
    <n v="3"/>
    <n v="26.456770646079899"/>
    <n v="41"/>
    <n v="67"/>
    <n v="5"/>
    <x v="0"/>
    <x v="0"/>
    <d v="2024-01-01T00:00:00"/>
    <d v="2024-02-08T00:00:00"/>
    <d v="2024-02-20T00:00:00"/>
    <n v="38"/>
    <n v="12"/>
    <x v="0"/>
    <x v="0"/>
  </r>
  <r>
    <n v="40"/>
    <n v="0"/>
    <n v="1"/>
    <n v="4"/>
    <n v="5"/>
    <n v="7.9659741189023103"/>
    <n v="100"/>
    <n v="82"/>
    <n v="18"/>
    <x v="1"/>
    <x v="1"/>
    <d v="2024-01-01T00:00:00"/>
    <d v="2024-02-09T00:00:00"/>
    <s v="N/A"/>
    <n v="39"/>
    <s v="N/A"/>
    <x v="3"/>
    <x v="0"/>
  </r>
  <r>
    <n v="25"/>
    <n v="1"/>
    <n v="1"/>
    <n v="9"/>
    <n v="1"/>
    <n v="44.311351528933798"/>
    <n v="28"/>
    <n v="46"/>
    <n v="58"/>
    <x v="0"/>
    <x v="1"/>
    <d v="2024-01-01T00:00:00"/>
    <d v="2024-01-17T00:00:00"/>
    <s v="N/A"/>
    <n v="16"/>
    <s v="N/A"/>
    <x v="2"/>
    <x v="1"/>
  </r>
  <r>
    <n v="22"/>
    <n v="0"/>
    <n v="2"/>
    <n v="0"/>
    <n v="5"/>
    <n v="44.5792941431203"/>
    <n v="81"/>
    <n v="53"/>
    <n v="52"/>
    <x v="0"/>
    <x v="0"/>
    <d v="2024-01-01T00:00:00"/>
    <d v="2024-01-16T00:00:00"/>
    <d v="2024-02-06T00:00:00"/>
    <n v="15"/>
    <n v="21"/>
    <x v="0"/>
    <x v="1"/>
  </r>
  <r>
    <n v="47"/>
    <n v="1"/>
    <n v="1"/>
    <n v="2"/>
    <n v="1"/>
    <n v="21.917290374687902"/>
    <n v="9"/>
    <n v="3"/>
    <n v="7"/>
    <x v="1"/>
    <x v="1"/>
    <d v="2024-01-01T00:00:00"/>
    <d v="2024-02-10T00:00:00"/>
    <s v="N/A"/>
    <n v="40"/>
    <s v="N/A"/>
    <x v="2"/>
    <x v="0"/>
  </r>
  <r>
    <n v="28"/>
    <n v="0"/>
    <n v="2"/>
    <n v="6"/>
    <n v="2"/>
    <n v="23.219780922554001"/>
    <n v="38"/>
    <n v="93"/>
    <n v="77"/>
    <x v="1"/>
    <x v="1"/>
    <d v="2024-01-01T00:00:00"/>
    <d v="2024-02-02T00:00:00"/>
    <s v="N/A"/>
    <n v="32"/>
    <s v="N/A"/>
    <x v="3"/>
    <x v="0"/>
  </r>
  <r>
    <n v="24"/>
    <n v="0"/>
    <n v="4"/>
    <n v="9"/>
    <n v="5"/>
    <n v="16.164146970226302"/>
    <n v="81"/>
    <n v="82"/>
    <n v="9"/>
    <x v="0"/>
    <x v="0"/>
    <d v="2024-01-01T00:00:00"/>
    <d v="2024-01-24T00:00:00"/>
    <d v="2024-02-13T00:00:00"/>
    <n v="23"/>
    <n v="20"/>
    <x v="0"/>
    <x v="1"/>
  </r>
  <r>
    <n v="43"/>
    <n v="1"/>
    <n v="2"/>
    <n v="0"/>
    <n v="5"/>
    <n v="36.830314948001501"/>
    <n v="0"/>
    <n v="94"/>
    <n v="66"/>
    <x v="0"/>
    <x v="0"/>
    <d v="2024-01-01T00:00:00"/>
    <d v="2024-02-04T00:00:00"/>
    <d v="2024-02-16T00:00:00"/>
    <n v="34"/>
    <n v="12"/>
    <x v="0"/>
    <x v="0"/>
  </r>
  <r>
    <n v="48"/>
    <n v="0"/>
    <n v="1"/>
    <n v="6"/>
    <n v="4"/>
    <n v="18.9330681513229"/>
    <n v="38"/>
    <n v="94"/>
    <n v="37"/>
    <x v="0"/>
    <x v="0"/>
    <d v="2024-01-01T00:00:00"/>
    <d v="2024-01-17T00:00:00"/>
    <d v="2024-01-27T00:00:00"/>
    <n v="16"/>
    <n v="10"/>
    <x v="0"/>
    <x v="1"/>
  </r>
  <r>
    <n v="36"/>
    <n v="0"/>
    <n v="2"/>
    <n v="4"/>
    <n v="3"/>
    <n v="14.3896237261316"/>
    <n v="20"/>
    <n v="8"/>
    <n v="28"/>
    <x v="1"/>
    <x v="1"/>
    <d v="2024-01-01T00:00:00"/>
    <d v="2024-02-05T00:00:00"/>
    <s v="N/A"/>
    <n v="35"/>
    <s v="N/A"/>
    <x v="2"/>
    <x v="0"/>
  </r>
  <r>
    <n v="33"/>
    <n v="1"/>
    <n v="1"/>
    <n v="0"/>
    <n v="1"/>
    <n v="22.611552975225401"/>
    <n v="64"/>
    <n v="52"/>
    <n v="14"/>
    <x v="1"/>
    <x v="1"/>
    <d v="2024-01-01T00:00:00"/>
    <d v="2024-01-29T00:00:00"/>
    <s v="N/A"/>
    <n v="28"/>
    <s v="N/A"/>
    <x v="1"/>
    <x v="1"/>
  </r>
  <r>
    <n v="40"/>
    <n v="0"/>
    <n v="1"/>
    <n v="0"/>
    <n v="1"/>
    <n v="5.5743759193729296"/>
    <n v="14"/>
    <n v="76"/>
    <n v="86"/>
    <x v="0"/>
    <x v="0"/>
    <d v="2024-01-01T00:00:00"/>
    <d v="2024-01-28T00:00:00"/>
    <d v="2024-02-17T00:00:00"/>
    <n v="27"/>
    <n v="20"/>
    <x v="0"/>
    <x v="1"/>
  </r>
  <r>
    <n v="50"/>
    <n v="1"/>
    <n v="2"/>
    <n v="13"/>
    <n v="4"/>
    <n v="38.330160232210098"/>
    <n v="3"/>
    <n v="77"/>
    <n v="22"/>
    <x v="1"/>
    <x v="1"/>
    <d v="2024-01-01T00:00:00"/>
    <d v="2024-01-24T00:00:00"/>
    <s v="N/A"/>
    <n v="23"/>
    <s v="N/A"/>
    <x v="3"/>
    <x v="1"/>
  </r>
  <r>
    <n v="22"/>
    <n v="1"/>
    <n v="2"/>
    <n v="0"/>
    <n v="4"/>
    <n v="1.6298200635893401"/>
    <n v="59"/>
    <n v="59"/>
    <n v="81"/>
    <x v="1"/>
    <x v="1"/>
    <d v="2024-01-01T00:00:00"/>
    <d v="2024-02-03T00:00:00"/>
    <s v="N/A"/>
    <n v="33"/>
    <s v="N/A"/>
    <x v="1"/>
    <x v="0"/>
  </r>
  <r>
    <n v="47"/>
    <n v="1"/>
    <n v="3"/>
    <n v="10"/>
    <n v="3"/>
    <n v="33.224253076029697"/>
    <n v="60"/>
    <n v="45"/>
    <n v="45"/>
    <x v="2"/>
    <x v="1"/>
    <d v="2024-01-01T00:00:00"/>
    <d v="2024-02-11T00:00:00"/>
    <s v="N/A"/>
    <n v="41"/>
    <s v="N/A"/>
    <x v="2"/>
    <x v="0"/>
  </r>
  <r>
    <n v="20"/>
    <n v="0"/>
    <n v="4"/>
    <n v="8"/>
    <n v="3"/>
    <n v="10.1432263377436"/>
    <n v="19"/>
    <n v="53"/>
    <n v="82"/>
    <x v="2"/>
    <x v="0"/>
    <d v="2024-01-01T00:00:00"/>
    <d v="2024-01-24T00:00:00"/>
    <d v="2024-02-21T00:00:00"/>
    <n v="23"/>
    <n v="28"/>
    <x v="0"/>
    <x v="1"/>
  </r>
  <r>
    <n v="39"/>
    <n v="0"/>
    <n v="2"/>
    <n v="10"/>
    <n v="5"/>
    <n v="12.6202023107206"/>
    <n v="9"/>
    <n v="73"/>
    <n v="27"/>
    <x v="1"/>
    <x v="1"/>
    <d v="2024-01-01T00:00:00"/>
    <d v="2024-01-21T00:00:00"/>
    <s v="N/A"/>
    <n v="20"/>
    <s v="N/A"/>
    <x v="3"/>
    <x v="1"/>
  </r>
  <r>
    <n v="50"/>
    <n v="0"/>
    <n v="2"/>
    <n v="12"/>
    <n v="2"/>
    <n v="32.781599932001903"/>
    <n v="86"/>
    <n v="94"/>
    <n v="25"/>
    <x v="0"/>
    <x v="0"/>
    <d v="2024-01-01T00:00:00"/>
    <d v="2024-02-13T00:00:00"/>
    <d v="2024-02-21T00:00:00"/>
    <n v="43"/>
    <n v="8"/>
    <x v="0"/>
    <x v="0"/>
  </r>
  <r>
    <n v="48"/>
    <n v="1"/>
    <n v="3"/>
    <n v="2"/>
    <n v="3"/>
    <n v="50.6471732891453"/>
    <n v="33"/>
    <n v="36"/>
    <n v="9"/>
    <x v="0"/>
    <x v="1"/>
    <d v="2024-01-01T00:00:00"/>
    <d v="2024-01-25T00:00:00"/>
    <s v="N/A"/>
    <n v="24"/>
    <s v="N/A"/>
    <x v="2"/>
    <x v="1"/>
  </r>
  <r>
    <n v="40"/>
    <n v="0"/>
    <n v="2"/>
    <n v="14"/>
    <n v="4"/>
    <n v="39.885874453627501"/>
    <n v="47"/>
    <n v="22"/>
    <n v="46"/>
    <x v="1"/>
    <x v="1"/>
    <d v="2024-01-01T00:00:00"/>
    <d v="2024-02-11T00:00:00"/>
    <s v="N/A"/>
    <n v="41"/>
    <s v="N/A"/>
    <x v="2"/>
    <x v="0"/>
  </r>
  <r>
    <n v="42"/>
    <n v="1"/>
    <n v="1"/>
    <n v="12"/>
    <n v="3"/>
    <n v="12.2919816111696"/>
    <n v="32"/>
    <n v="26"/>
    <n v="3"/>
    <x v="2"/>
    <x v="1"/>
    <d v="2024-01-01T00:00:00"/>
    <d v="2024-01-20T00:00:00"/>
    <s v="N/A"/>
    <n v="19"/>
    <s v="N/A"/>
    <x v="2"/>
    <x v="1"/>
  </r>
  <r>
    <n v="20"/>
    <n v="1"/>
    <n v="3"/>
    <n v="4"/>
    <n v="1"/>
    <n v="9.8012377520566893"/>
    <n v="97"/>
    <n v="69"/>
    <n v="54"/>
    <x v="1"/>
    <x v="1"/>
    <d v="2024-01-01T00:00:00"/>
    <d v="2024-01-18T00:00:00"/>
    <s v="N/A"/>
    <n v="17"/>
    <s v="N/A"/>
    <x v="1"/>
    <x v="1"/>
  </r>
  <r>
    <n v="22"/>
    <n v="0"/>
    <n v="1"/>
    <n v="10"/>
    <n v="2"/>
    <n v="44.311643513383501"/>
    <n v="60"/>
    <n v="89"/>
    <n v="65"/>
    <x v="1"/>
    <x v="1"/>
    <d v="2024-01-01T00:00:00"/>
    <d v="2024-02-04T00:00:00"/>
    <s v="N/A"/>
    <n v="34"/>
    <s v="N/A"/>
    <x v="3"/>
    <x v="0"/>
  </r>
  <r>
    <n v="37"/>
    <n v="1"/>
    <n v="2"/>
    <n v="15"/>
    <n v="5"/>
    <n v="23.209197396075201"/>
    <n v="9"/>
    <n v="65"/>
    <n v="66"/>
    <x v="1"/>
    <x v="1"/>
    <d v="2024-01-01T00:00:00"/>
    <d v="2024-01-28T00:00:00"/>
    <s v="N/A"/>
    <n v="27"/>
    <s v="N/A"/>
    <x v="1"/>
    <x v="1"/>
  </r>
  <r>
    <n v="44"/>
    <n v="0"/>
    <n v="2"/>
    <n v="9"/>
    <n v="1"/>
    <n v="7.85264014140777"/>
    <n v="53"/>
    <n v="60"/>
    <n v="6"/>
    <x v="1"/>
    <x v="1"/>
    <d v="2024-01-01T00:00:00"/>
    <d v="2024-01-27T00:00:00"/>
    <s v="N/A"/>
    <n v="26"/>
    <s v="N/A"/>
    <x v="1"/>
    <x v="1"/>
  </r>
  <r>
    <n v="29"/>
    <n v="0"/>
    <n v="2"/>
    <n v="11"/>
    <n v="1"/>
    <n v="44.110571166096904"/>
    <n v="83"/>
    <n v="76"/>
    <n v="54"/>
    <x v="0"/>
    <x v="0"/>
    <d v="2024-01-01T00:00:00"/>
    <d v="2024-02-03T00:00:00"/>
    <d v="2024-03-04T00:00:00"/>
    <n v="33"/>
    <n v="30"/>
    <x v="0"/>
    <x v="0"/>
  </r>
  <r>
    <n v="50"/>
    <n v="0"/>
    <n v="2"/>
    <n v="15"/>
    <n v="2"/>
    <n v="41.804617645713002"/>
    <n v="64"/>
    <n v="50"/>
    <n v="79"/>
    <x v="1"/>
    <x v="1"/>
    <d v="2024-01-01T00:00:00"/>
    <d v="2024-01-18T00:00:00"/>
    <s v="N/A"/>
    <n v="17"/>
    <s v="N/A"/>
    <x v="1"/>
    <x v="1"/>
  </r>
  <r>
    <n v="41"/>
    <n v="0"/>
    <n v="3"/>
    <n v="8"/>
    <n v="5"/>
    <n v="50.195318194858103"/>
    <n v="76"/>
    <n v="49"/>
    <n v="30"/>
    <x v="0"/>
    <x v="0"/>
    <d v="2024-01-01T00:00:00"/>
    <d v="2024-01-25T00:00:00"/>
    <d v="2024-02-02T00:00:00"/>
    <n v="24"/>
    <n v="8"/>
    <x v="0"/>
    <x v="1"/>
  </r>
  <r>
    <n v="45"/>
    <n v="0"/>
    <n v="1"/>
    <n v="5"/>
    <n v="4"/>
    <n v="46.487184335634197"/>
    <n v="0"/>
    <n v="18"/>
    <n v="73"/>
    <x v="0"/>
    <x v="1"/>
    <d v="2024-01-01T00:00:00"/>
    <d v="2024-01-16T00:00:00"/>
    <s v="N/A"/>
    <n v="15"/>
    <s v="N/A"/>
    <x v="2"/>
    <x v="1"/>
  </r>
  <r>
    <n v="22"/>
    <n v="1"/>
    <n v="2"/>
    <n v="11"/>
    <n v="5"/>
    <n v="43.589516933026999"/>
    <n v="4"/>
    <n v="0"/>
    <n v="18"/>
    <x v="1"/>
    <x v="1"/>
    <d v="2024-01-01T00:00:00"/>
    <d v="2024-02-06T00:00:00"/>
    <s v="N/A"/>
    <n v="36"/>
    <s v="N/A"/>
    <x v="2"/>
    <x v="0"/>
  </r>
  <r>
    <n v="27"/>
    <n v="1"/>
    <n v="3"/>
    <n v="8"/>
    <n v="3"/>
    <n v="3.6287198905501499"/>
    <n v="79"/>
    <n v="39"/>
    <n v="27"/>
    <x v="0"/>
    <x v="0"/>
    <d v="2024-01-01T00:00:00"/>
    <d v="2024-01-25T00:00:00"/>
    <d v="2024-02-12T00:00:00"/>
    <n v="24"/>
    <n v="18"/>
    <x v="0"/>
    <x v="1"/>
  </r>
  <r>
    <n v="33"/>
    <n v="1"/>
    <n v="2"/>
    <n v="7"/>
    <n v="1"/>
    <n v="6.2207684749059"/>
    <n v="14"/>
    <n v="31"/>
    <n v="80"/>
    <x v="0"/>
    <x v="0"/>
    <d v="2024-01-01T00:00:00"/>
    <d v="2024-01-21T00:00:00"/>
    <d v="2024-02-12T00:00:00"/>
    <n v="20"/>
    <n v="22"/>
    <x v="0"/>
    <x v="1"/>
  </r>
  <r>
    <n v="43"/>
    <n v="0"/>
    <n v="1"/>
    <n v="7"/>
    <n v="3"/>
    <n v="29.4491597152061"/>
    <n v="27"/>
    <n v="21"/>
    <n v="27"/>
    <x v="0"/>
    <x v="1"/>
    <d v="2024-01-01T00:00:00"/>
    <d v="2024-02-07T00:00:00"/>
    <s v="N/A"/>
    <n v="37"/>
    <s v="N/A"/>
    <x v="2"/>
    <x v="0"/>
  </r>
  <r>
    <n v="37"/>
    <n v="0"/>
    <n v="3"/>
    <n v="0"/>
    <n v="4"/>
    <n v="27.573962314090998"/>
    <n v="94"/>
    <n v="92"/>
    <n v="18"/>
    <x v="2"/>
    <x v="1"/>
    <d v="2024-01-01T00:00:00"/>
    <d v="2024-01-26T00:00:00"/>
    <s v="N/A"/>
    <n v="25"/>
    <s v="N/A"/>
    <x v="3"/>
    <x v="1"/>
  </r>
  <r>
    <n v="34"/>
    <n v="0"/>
    <n v="2"/>
    <n v="12"/>
    <n v="3"/>
    <n v="23.8981607244767"/>
    <n v="22"/>
    <n v="65"/>
    <n v="100"/>
    <x v="1"/>
    <x v="1"/>
    <d v="2024-01-01T00:00:00"/>
    <d v="2024-01-22T00:00:00"/>
    <s v="N/A"/>
    <n v="21"/>
    <s v="N/A"/>
    <x v="1"/>
    <x v="1"/>
  </r>
  <r>
    <n v="41"/>
    <n v="1"/>
    <n v="3"/>
    <n v="8"/>
    <n v="5"/>
    <n v="20.839466270729201"/>
    <n v="16"/>
    <n v="39"/>
    <n v="86"/>
    <x v="0"/>
    <x v="0"/>
    <d v="2024-01-01T00:00:00"/>
    <d v="2024-02-07T00:00:00"/>
    <d v="2024-02-18T00:00:00"/>
    <n v="37"/>
    <n v="11"/>
    <x v="0"/>
    <x v="0"/>
  </r>
  <r>
    <n v="42"/>
    <n v="0"/>
    <n v="3"/>
    <n v="5"/>
    <n v="3"/>
    <n v="22.560524243216399"/>
    <n v="97"/>
    <n v="37"/>
    <n v="19"/>
    <x v="1"/>
    <x v="1"/>
    <d v="2024-01-01T00:00:00"/>
    <d v="2024-02-05T00:00:00"/>
    <s v="N/A"/>
    <n v="35"/>
    <s v="N/A"/>
    <x v="2"/>
    <x v="0"/>
  </r>
  <r>
    <n v="21"/>
    <n v="1"/>
    <n v="2"/>
    <n v="15"/>
    <n v="4"/>
    <n v="29.464896706739701"/>
    <n v="12"/>
    <n v="47"/>
    <n v="12"/>
    <x v="0"/>
    <x v="1"/>
    <d v="2024-01-01T00:00:00"/>
    <d v="2024-02-15T00:00:00"/>
    <s v="N/A"/>
    <n v="45"/>
    <s v="N/A"/>
    <x v="2"/>
    <x v="0"/>
  </r>
  <r>
    <n v="50"/>
    <n v="1"/>
    <n v="2"/>
    <n v="8"/>
    <n v="4"/>
    <n v="1.1038258800040599"/>
    <n v="13"/>
    <n v="54"/>
    <n v="76"/>
    <x v="1"/>
    <x v="1"/>
    <d v="2024-01-01T00:00:00"/>
    <d v="2024-01-28T00:00:00"/>
    <s v="N/A"/>
    <n v="27"/>
    <s v="N/A"/>
    <x v="1"/>
    <x v="1"/>
  </r>
  <r>
    <n v="46"/>
    <n v="0"/>
    <n v="4"/>
    <n v="2"/>
    <n v="4"/>
    <n v="14.0354387066426"/>
    <n v="10"/>
    <n v="74"/>
    <n v="42"/>
    <x v="1"/>
    <x v="1"/>
    <d v="2024-01-01T00:00:00"/>
    <d v="2024-02-05T00:00:00"/>
    <s v="N/A"/>
    <n v="35"/>
    <s v="N/A"/>
    <x v="3"/>
    <x v="0"/>
  </r>
  <r>
    <n v="29"/>
    <n v="0"/>
    <n v="1"/>
    <n v="11"/>
    <n v="5"/>
    <n v="26.913986034435499"/>
    <n v="27"/>
    <n v="80"/>
    <n v="10"/>
    <x v="2"/>
    <x v="1"/>
    <d v="2024-01-01T00:00:00"/>
    <d v="2024-01-28T00:00:00"/>
    <s v="N/A"/>
    <n v="27"/>
    <s v="N/A"/>
    <x v="3"/>
    <x v="1"/>
  </r>
  <r>
    <n v="21"/>
    <n v="1"/>
    <n v="3"/>
    <n v="2"/>
    <n v="4"/>
    <n v="37.110804933682303"/>
    <n v="41"/>
    <n v="54"/>
    <n v="47"/>
    <x v="1"/>
    <x v="1"/>
    <d v="2024-01-01T00:00:00"/>
    <d v="2024-01-22T00:00:00"/>
    <s v="N/A"/>
    <n v="21"/>
    <s v="N/A"/>
    <x v="1"/>
    <x v="1"/>
  </r>
  <r>
    <n v="45"/>
    <n v="0"/>
    <n v="1"/>
    <n v="5"/>
    <n v="1"/>
    <n v="9.7078346197698107"/>
    <n v="95"/>
    <n v="50"/>
    <n v="14"/>
    <x v="2"/>
    <x v="1"/>
    <d v="2024-01-01T00:00:00"/>
    <d v="2024-01-21T00:00:00"/>
    <s v="N/A"/>
    <n v="20"/>
    <s v="N/A"/>
    <x v="1"/>
    <x v="1"/>
  </r>
  <r>
    <n v="36"/>
    <n v="1"/>
    <n v="2"/>
    <n v="8"/>
    <n v="4"/>
    <n v="28.3440586893716"/>
    <n v="98"/>
    <n v="59"/>
    <n v="16"/>
    <x v="2"/>
    <x v="1"/>
    <d v="2024-01-01T00:00:00"/>
    <d v="2024-01-29T00:00:00"/>
    <s v="N/A"/>
    <n v="28"/>
    <s v="N/A"/>
    <x v="1"/>
    <x v="1"/>
  </r>
  <r>
    <n v="27"/>
    <n v="0"/>
    <n v="2"/>
    <n v="6"/>
    <n v="3"/>
    <n v="36.722984194288998"/>
    <n v="60"/>
    <n v="7"/>
    <n v="53"/>
    <x v="2"/>
    <x v="1"/>
    <d v="2024-01-01T00:00:00"/>
    <d v="2024-02-11T00:00:00"/>
    <s v="N/A"/>
    <n v="41"/>
    <s v="N/A"/>
    <x v="2"/>
    <x v="0"/>
  </r>
  <r>
    <n v="20"/>
    <n v="0"/>
    <n v="4"/>
    <n v="13"/>
    <n v="3"/>
    <n v="23.231382895695202"/>
    <n v="63"/>
    <n v="85"/>
    <n v="49"/>
    <x v="1"/>
    <x v="1"/>
    <d v="2024-01-01T00:00:00"/>
    <d v="2024-02-01T00:00:00"/>
    <s v="N/A"/>
    <n v="31"/>
    <s v="N/A"/>
    <x v="3"/>
    <x v="0"/>
  </r>
  <r>
    <n v="28"/>
    <n v="1"/>
    <n v="4"/>
    <n v="12"/>
    <n v="3"/>
    <n v="2.35405668350255"/>
    <n v="30"/>
    <n v="67"/>
    <n v="27"/>
    <x v="1"/>
    <x v="1"/>
    <d v="2024-01-01T00:00:00"/>
    <d v="2024-01-19T00:00:00"/>
    <s v="N/A"/>
    <n v="18"/>
    <s v="N/A"/>
    <x v="1"/>
    <x v="1"/>
  </r>
  <r>
    <n v="30"/>
    <n v="0"/>
    <n v="1"/>
    <n v="2"/>
    <n v="5"/>
    <n v="23.4634079232818"/>
    <n v="80"/>
    <n v="74"/>
    <n v="82"/>
    <x v="1"/>
    <x v="1"/>
    <d v="2024-01-01T00:00:00"/>
    <d v="2024-01-24T00:00:00"/>
    <s v="N/A"/>
    <n v="23"/>
    <s v="N/A"/>
    <x v="3"/>
    <x v="1"/>
  </r>
  <r>
    <n v="41"/>
    <n v="1"/>
    <n v="1"/>
    <n v="2"/>
    <n v="3"/>
    <n v="15.822244387207601"/>
    <n v="72"/>
    <n v="71"/>
    <n v="3"/>
    <x v="0"/>
    <x v="0"/>
    <d v="2024-01-01T00:00:00"/>
    <d v="2024-01-18T00:00:00"/>
    <d v="2024-02-12T00:00:00"/>
    <n v="17"/>
    <n v="25"/>
    <x v="0"/>
    <x v="1"/>
  </r>
  <r>
    <n v="35"/>
    <n v="0"/>
    <n v="3"/>
    <n v="1"/>
    <n v="5"/>
    <n v="47.482480385066403"/>
    <n v="9"/>
    <n v="8"/>
    <n v="21"/>
    <x v="0"/>
    <x v="1"/>
    <d v="2024-01-01T00:00:00"/>
    <d v="2024-02-03T00:00:00"/>
    <s v="N/A"/>
    <n v="33"/>
    <s v="N/A"/>
    <x v="2"/>
    <x v="0"/>
  </r>
  <r>
    <n v="26"/>
    <n v="1"/>
    <n v="2"/>
    <n v="8"/>
    <n v="5"/>
    <n v="7.2306692839163604"/>
    <n v="7"/>
    <n v="89"/>
    <n v="85"/>
    <x v="1"/>
    <x v="1"/>
    <d v="2024-01-01T00:00:00"/>
    <d v="2024-02-14T00:00:00"/>
    <s v="N/A"/>
    <n v="44"/>
    <s v="N/A"/>
    <x v="3"/>
    <x v="0"/>
  </r>
  <r>
    <n v="48"/>
    <n v="1"/>
    <n v="1"/>
    <n v="12"/>
    <n v="4"/>
    <n v="33.623797775361602"/>
    <n v="20"/>
    <n v="1"/>
    <n v="100"/>
    <x v="1"/>
    <x v="1"/>
    <d v="2024-01-01T00:00:00"/>
    <d v="2024-01-29T00:00:00"/>
    <s v="N/A"/>
    <n v="28"/>
    <s v="N/A"/>
    <x v="2"/>
    <x v="1"/>
  </r>
  <r>
    <n v="29"/>
    <n v="0"/>
    <n v="2"/>
    <n v="14"/>
    <n v="1"/>
    <n v="3.63598831672505"/>
    <n v="76"/>
    <n v="79"/>
    <n v="38"/>
    <x v="2"/>
    <x v="1"/>
    <d v="2024-01-01T00:00:00"/>
    <d v="2024-01-25T00:00:00"/>
    <s v="N/A"/>
    <n v="24"/>
    <s v="N/A"/>
    <x v="3"/>
    <x v="1"/>
  </r>
  <r>
    <n v="42"/>
    <n v="1"/>
    <n v="2"/>
    <n v="2"/>
    <n v="4"/>
    <n v="23.3085218906348"/>
    <n v="58"/>
    <n v="94"/>
    <n v="33"/>
    <x v="0"/>
    <x v="1"/>
    <d v="2024-01-01T00:00:00"/>
    <d v="2024-01-15T00:00:00"/>
    <s v="N/A"/>
    <n v="14"/>
    <s v="N/A"/>
    <x v="3"/>
    <x v="1"/>
  </r>
  <r>
    <n v="45"/>
    <n v="0"/>
    <n v="4"/>
    <n v="10"/>
    <n v="4"/>
    <n v="28.698974361004002"/>
    <n v="49"/>
    <n v="69"/>
    <n v="96"/>
    <x v="0"/>
    <x v="0"/>
    <d v="2024-01-01T00:00:00"/>
    <d v="2024-01-26T00:00:00"/>
    <d v="2024-02-16T00:00:00"/>
    <n v="25"/>
    <n v="21"/>
    <x v="0"/>
    <x v="1"/>
  </r>
  <r>
    <n v="22"/>
    <n v="0"/>
    <n v="2"/>
    <n v="4"/>
    <n v="5"/>
    <n v="15.8977465658432"/>
    <n v="68"/>
    <n v="84"/>
    <n v="43"/>
    <x v="1"/>
    <x v="1"/>
    <d v="2024-01-01T00:00:00"/>
    <d v="2024-02-02T00:00:00"/>
    <s v="N/A"/>
    <n v="32"/>
    <s v="N/A"/>
    <x v="3"/>
    <x v="0"/>
  </r>
  <r>
    <n v="37"/>
    <n v="0"/>
    <n v="2"/>
    <n v="13"/>
    <n v="5"/>
    <n v="23.753781776019199"/>
    <n v="69"/>
    <n v="89"/>
    <n v="41"/>
    <x v="1"/>
    <x v="1"/>
    <d v="2024-01-01T00:00:00"/>
    <d v="2024-01-25T00:00:00"/>
    <s v="N/A"/>
    <n v="24"/>
    <s v="N/A"/>
    <x v="3"/>
    <x v="1"/>
  </r>
  <r>
    <n v="44"/>
    <n v="1"/>
    <n v="2"/>
    <n v="13"/>
    <n v="3"/>
    <n v="9.1776897265093602"/>
    <n v="29"/>
    <n v="58"/>
    <n v="39"/>
    <x v="0"/>
    <x v="0"/>
    <d v="2024-01-01T00:00:00"/>
    <d v="2024-02-03T00:00:00"/>
    <d v="2024-02-15T00:00:00"/>
    <n v="33"/>
    <n v="12"/>
    <x v="0"/>
    <x v="0"/>
  </r>
  <r>
    <n v="43"/>
    <n v="1"/>
    <n v="3"/>
    <n v="8"/>
    <n v="3"/>
    <n v="16.206192473401799"/>
    <n v="94"/>
    <n v="18"/>
    <n v="96"/>
    <x v="2"/>
    <x v="0"/>
    <d v="2024-01-01T00:00:00"/>
    <d v="2024-02-05T00:00:00"/>
    <d v="2024-02-18T00:00:00"/>
    <n v="35"/>
    <n v="13"/>
    <x v="0"/>
    <x v="0"/>
  </r>
  <r>
    <n v="32"/>
    <n v="0"/>
    <n v="2"/>
    <n v="7"/>
    <n v="4"/>
    <n v="32.055316245510099"/>
    <n v="16"/>
    <n v="27"/>
    <n v="11"/>
    <x v="1"/>
    <x v="1"/>
    <d v="2024-01-01T00:00:00"/>
    <d v="2024-02-03T00:00:00"/>
    <s v="N/A"/>
    <n v="33"/>
    <s v="N/A"/>
    <x v="2"/>
    <x v="0"/>
  </r>
  <r>
    <n v="47"/>
    <n v="0"/>
    <n v="2"/>
    <n v="1"/>
    <n v="2"/>
    <n v="16.0900027930577"/>
    <n v="74"/>
    <n v="71"/>
    <n v="1"/>
    <x v="1"/>
    <x v="1"/>
    <d v="2024-01-01T00:00:00"/>
    <d v="2024-01-20T00:00:00"/>
    <s v="N/A"/>
    <n v="19"/>
    <s v="N/A"/>
    <x v="3"/>
    <x v="1"/>
  </r>
  <r>
    <n v="45"/>
    <n v="1"/>
    <n v="2"/>
    <n v="2"/>
    <n v="2"/>
    <n v="45.987153920443497"/>
    <n v="19"/>
    <n v="13"/>
    <n v="27"/>
    <x v="2"/>
    <x v="1"/>
    <d v="2024-01-01T00:00:00"/>
    <d v="2024-01-20T00:00:00"/>
    <s v="N/A"/>
    <n v="19"/>
    <s v="N/A"/>
    <x v="2"/>
    <x v="1"/>
  </r>
  <r>
    <n v="26"/>
    <n v="0"/>
    <n v="3"/>
    <n v="15"/>
    <n v="3"/>
    <n v="32.420347882049398"/>
    <n v="47"/>
    <n v="23"/>
    <n v="73"/>
    <x v="1"/>
    <x v="1"/>
    <d v="2024-01-01T00:00:00"/>
    <d v="2024-02-08T00:00:00"/>
    <s v="N/A"/>
    <n v="38"/>
    <s v="N/A"/>
    <x v="2"/>
    <x v="0"/>
  </r>
  <r>
    <n v="44"/>
    <n v="0"/>
    <n v="2"/>
    <n v="15"/>
    <n v="2"/>
    <n v="22.932450921799202"/>
    <n v="72"/>
    <n v="43"/>
    <n v="85"/>
    <x v="1"/>
    <x v="1"/>
    <d v="2024-01-01T00:00:00"/>
    <d v="2024-02-07T00:00:00"/>
    <s v="N/A"/>
    <n v="37"/>
    <s v="N/A"/>
    <x v="2"/>
    <x v="0"/>
  </r>
  <r>
    <n v="23"/>
    <n v="1"/>
    <n v="1"/>
    <n v="1"/>
    <n v="3"/>
    <n v="2.9378467777091202"/>
    <n v="1"/>
    <n v="100"/>
    <n v="80"/>
    <x v="2"/>
    <x v="1"/>
    <d v="2024-01-01T00:00:00"/>
    <d v="2024-01-23T00:00:00"/>
    <s v="N/A"/>
    <n v="22"/>
    <s v="N/A"/>
    <x v="3"/>
    <x v="1"/>
  </r>
  <r>
    <n v="32"/>
    <n v="0"/>
    <n v="2"/>
    <n v="15"/>
    <n v="5"/>
    <n v="25.977416760233499"/>
    <n v="36"/>
    <n v="55"/>
    <n v="89"/>
    <x v="0"/>
    <x v="0"/>
    <d v="2024-01-01T00:00:00"/>
    <d v="2024-02-05T00:00:00"/>
    <d v="2024-02-20T00:00:00"/>
    <n v="35"/>
    <n v="15"/>
    <x v="0"/>
    <x v="0"/>
  </r>
  <r>
    <n v="39"/>
    <n v="1"/>
    <n v="2"/>
    <n v="7"/>
    <n v="4"/>
    <n v="39.2388121062544"/>
    <n v="0"/>
    <n v="89"/>
    <n v="66"/>
    <x v="1"/>
    <x v="1"/>
    <d v="2024-01-01T00:00:00"/>
    <d v="2024-02-15T00:00:00"/>
    <s v="N/A"/>
    <n v="45"/>
    <s v="N/A"/>
    <x v="3"/>
    <x v="0"/>
  </r>
  <r>
    <n v="20"/>
    <n v="0"/>
    <n v="1"/>
    <n v="5"/>
    <n v="1"/>
    <n v="14.277879900620601"/>
    <n v="3"/>
    <n v="94"/>
    <n v="70"/>
    <x v="0"/>
    <x v="0"/>
    <d v="2024-01-01T00:00:00"/>
    <d v="2024-02-08T00:00:00"/>
    <d v="2024-02-21T00:00:00"/>
    <n v="38"/>
    <n v="13"/>
    <x v="0"/>
    <x v="0"/>
  </r>
  <r>
    <n v="27"/>
    <n v="1"/>
    <n v="3"/>
    <n v="5"/>
    <n v="4"/>
    <n v="41.338678482438297"/>
    <n v="99"/>
    <n v="50"/>
    <n v="71"/>
    <x v="0"/>
    <x v="0"/>
    <d v="2024-01-01T00:00:00"/>
    <d v="2024-01-25T00:00:00"/>
    <d v="2024-02-23T00:00:00"/>
    <n v="24"/>
    <n v="29"/>
    <x v="0"/>
    <x v="1"/>
  </r>
  <r>
    <n v="33"/>
    <n v="0"/>
    <n v="2"/>
    <n v="11"/>
    <n v="3"/>
    <n v="13.590338302544"/>
    <n v="53"/>
    <n v="31"/>
    <n v="83"/>
    <x v="2"/>
    <x v="1"/>
    <d v="2024-01-01T00:00:00"/>
    <d v="2024-02-07T00:00:00"/>
    <s v="N/A"/>
    <n v="37"/>
    <s v="N/A"/>
    <x v="2"/>
    <x v="0"/>
  </r>
  <r>
    <n v="35"/>
    <n v="0"/>
    <n v="3"/>
    <n v="14"/>
    <n v="3"/>
    <n v="42.187319397540001"/>
    <n v="24"/>
    <n v="49"/>
    <n v="75"/>
    <x v="1"/>
    <x v="1"/>
    <d v="2024-01-01T00:00:00"/>
    <d v="2024-01-23T00:00:00"/>
    <s v="N/A"/>
    <n v="22"/>
    <s v="N/A"/>
    <x v="2"/>
    <x v="1"/>
  </r>
  <r>
    <n v="33"/>
    <n v="1"/>
    <n v="2"/>
    <n v="8"/>
    <n v="4"/>
    <n v="5.2634170805838698"/>
    <n v="2"/>
    <n v="40"/>
    <n v="98"/>
    <x v="1"/>
    <x v="1"/>
    <d v="2024-01-01T00:00:00"/>
    <d v="2024-02-14T00:00:00"/>
    <s v="N/A"/>
    <n v="44"/>
    <s v="N/A"/>
    <x v="2"/>
    <x v="0"/>
  </r>
  <r>
    <n v="31"/>
    <n v="0"/>
    <n v="3"/>
    <n v="7"/>
    <n v="3"/>
    <n v="44.309185443451398"/>
    <n v="8"/>
    <n v="65"/>
    <n v="80"/>
    <x v="2"/>
    <x v="0"/>
    <d v="2024-01-01T00:00:00"/>
    <d v="2024-02-02T00:00:00"/>
    <d v="2024-02-10T00:00:00"/>
    <n v="32"/>
    <n v="8"/>
    <x v="0"/>
    <x v="0"/>
  </r>
  <r>
    <n v="38"/>
    <n v="1"/>
    <n v="1"/>
    <n v="3"/>
    <n v="2"/>
    <n v="25.959322546666499"/>
    <n v="85"/>
    <n v="24"/>
    <n v="91"/>
    <x v="2"/>
    <x v="1"/>
    <d v="2024-01-01T00:00:00"/>
    <d v="2024-02-01T00:00:00"/>
    <s v="N/A"/>
    <n v="31"/>
    <s v="N/A"/>
    <x v="2"/>
    <x v="0"/>
  </r>
  <r>
    <n v="42"/>
    <n v="0"/>
    <n v="2"/>
    <n v="14"/>
    <n v="2"/>
    <n v="15.826879481013099"/>
    <n v="86"/>
    <n v="60"/>
    <n v="9"/>
    <x v="2"/>
    <x v="1"/>
    <d v="2024-01-01T00:00:00"/>
    <d v="2024-02-10T00:00:00"/>
    <s v="N/A"/>
    <n v="40"/>
    <s v="N/A"/>
    <x v="1"/>
    <x v="0"/>
  </r>
  <r>
    <n v="34"/>
    <n v="1"/>
    <n v="4"/>
    <n v="11"/>
    <n v="3"/>
    <n v="14.255662520757401"/>
    <n v="75"/>
    <n v="65"/>
    <n v="85"/>
    <x v="1"/>
    <x v="0"/>
    <d v="2024-01-01T00:00:00"/>
    <d v="2024-02-01T00:00:00"/>
    <d v="2024-02-24T00:00:00"/>
    <n v="31"/>
    <n v="23"/>
    <x v="0"/>
    <x v="0"/>
  </r>
  <r>
    <n v="47"/>
    <n v="1"/>
    <n v="3"/>
    <n v="3"/>
    <n v="3"/>
    <n v="22.600527946518099"/>
    <n v="73"/>
    <n v="41"/>
    <n v="56"/>
    <x v="1"/>
    <x v="1"/>
    <d v="2024-01-01T00:00:00"/>
    <d v="2024-01-29T00:00:00"/>
    <s v="N/A"/>
    <n v="28"/>
    <s v="N/A"/>
    <x v="2"/>
    <x v="1"/>
  </r>
  <r>
    <n v="21"/>
    <n v="1"/>
    <n v="2"/>
    <n v="8"/>
    <n v="2"/>
    <n v="50.9524749051822"/>
    <n v="33"/>
    <n v="64"/>
    <n v="96"/>
    <x v="0"/>
    <x v="0"/>
    <d v="2024-01-01T00:00:00"/>
    <d v="2024-01-15T00:00:00"/>
    <d v="2024-02-10T00:00:00"/>
    <n v="14"/>
    <n v="26"/>
    <x v="0"/>
    <x v="1"/>
  </r>
  <r>
    <n v="21"/>
    <n v="1"/>
    <n v="2"/>
    <n v="0"/>
    <n v="3"/>
    <n v="12.016369671879101"/>
    <n v="42"/>
    <n v="35"/>
    <n v="85"/>
    <x v="1"/>
    <x v="1"/>
    <d v="2024-01-01T00:00:00"/>
    <d v="2024-02-11T00:00:00"/>
    <s v="N/A"/>
    <n v="41"/>
    <s v="N/A"/>
    <x v="2"/>
    <x v="0"/>
  </r>
  <r>
    <n v="42"/>
    <n v="0"/>
    <n v="3"/>
    <n v="12"/>
    <n v="3"/>
    <n v="6.16083244394998"/>
    <n v="73"/>
    <n v="75"/>
    <n v="36"/>
    <x v="1"/>
    <x v="0"/>
    <d v="2024-01-01T00:00:00"/>
    <d v="2024-01-17T00:00:00"/>
    <d v="2024-01-30T00:00:00"/>
    <n v="16"/>
    <n v="13"/>
    <x v="0"/>
    <x v="1"/>
  </r>
  <r>
    <n v="50"/>
    <n v="0"/>
    <n v="2"/>
    <n v="1"/>
    <n v="4"/>
    <n v="30.251758435932999"/>
    <n v="93"/>
    <n v="8"/>
    <n v="76"/>
    <x v="1"/>
    <x v="1"/>
    <d v="2024-01-01T00:00:00"/>
    <d v="2024-02-04T00:00:00"/>
    <s v="N/A"/>
    <n v="34"/>
    <s v="N/A"/>
    <x v="2"/>
    <x v="0"/>
  </r>
  <r>
    <n v="41"/>
    <n v="1"/>
    <n v="3"/>
    <n v="1"/>
    <n v="1"/>
    <n v="25.4271233220128"/>
    <n v="21"/>
    <n v="35"/>
    <n v="90"/>
    <x v="1"/>
    <x v="1"/>
    <d v="2024-01-01T00:00:00"/>
    <d v="2024-02-07T00:00:00"/>
    <s v="N/A"/>
    <n v="37"/>
    <s v="N/A"/>
    <x v="2"/>
    <x v="0"/>
  </r>
  <r>
    <n v="38"/>
    <n v="1"/>
    <n v="3"/>
    <n v="12"/>
    <n v="2"/>
    <n v="27.209813553165301"/>
    <n v="69"/>
    <n v="91"/>
    <n v="63"/>
    <x v="2"/>
    <x v="0"/>
    <d v="2024-01-01T00:00:00"/>
    <d v="2024-02-05T00:00:00"/>
    <d v="2024-03-06T00:00:00"/>
    <n v="35"/>
    <n v="30"/>
    <x v="0"/>
    <x v="0"/>
  </r>
  <r>
    <n v="44"/>
    <n v="1"/>
    <n v="1"/>
    <n v="12"/>
    <n v="4"/>
    <n v="34.346770877860799"/>
    <n v="1"/>
    <n v="37"/>
    <n v="78"/>
    <x v="1"/>
    <x v="1"/>
    <d v="2024-01-01T00:00:00"/>
    <d v="2024-02-09T00:00:00"/>
    <s v="N/A"/>
    <n v="39"/>
    <s v="N/A"/>
    <x v="2"/>
    <x v="0"/>
  </r>
  <r>
    <n v="45"/>
    <n v="0"/>
    <n v="1"/>
    <n v="5"/>
    <n v="1"/>
    <n v="14.357203493532401"/>
    <n v="93"/>
    <n v="32"/>
    <n v="85"/>
    <x v="1"/>
    <x v="1"/>
    <d v="2024-01-01T00:00:00"/>
    <d v="2024-01-27T00:00:00"/>
    <s v="N/A"/>
    <n v="26"/>
    <s v="N/A"/>
    <x v="2"/>
    <x v="1"/>
  </r>
  <r>
    <n v="50"/>
    <n v="0"/>
    <n v="2"/>
    <n v="14"/>
    <n v="3"/>
    <n v="46.533249769194398"/>
    <n v="65"/>
    <n v="41"/>
    <n v="93"/>
    <x v="1"/>
    <x v="1"/>
    <d v="2024-01-01T00:00:00"/>
    <d v="2024-01-25T00:00:00"/>
    <s v="N/A"/>
    <n v="24"/>
    <s v="N/A"/>
    <x v="2"/>
    <x v="1"/>
  </r>
  <r>
    <n v="49"/>
    <n v="0"/>
    <n v="1"/>
    <n v="3"/>
    <n v="3"/>
    <n v="22.7836033061145"/>
    <n v="31"/>
    <n v="60"/>
    <n v="39"/>
    <x v="0"/>
    <x v="1"/>
    <d v="2024-01-01T00:00:00"/>
    <d v="2024-01-24T00:00:00"/>
    <s v="N/A"/>
    <n v="23"/>
    <s v="N/A"/>
    <x v="1"/>
    <x v="1"/>
  </r>
  <r>
    <n v="48"/>
    <n v="0"/>
    <n v="2"/>
    <n v="15"/>
    <n v="4"/>
    <n v="7.4543097571230801"/>
    <n v="15"/>
    <n v="45"/>
    <n v="100"/>
    <x v="0"/>
    <x v="0"/>
    <d v="2024-01-01T00:00:00"/>
    <d v="2024-01-26T00:00:00"/>
    <d v="2024-02-05T00:00:00"/>
    <n v="25"/>
    <n v="10"/>
    <x v="0"/>
    <x v="1"/>
  </r>
  <r>
    <n v="41"/>
    <n v="1"/>
    <n v="4"/>
    <n v="12"/>
    <n v="3"/>
    <n v="38.114937836697202"/>
    <n v="75"/>
    <n v="85"/>
    <n v="97"/>
    <x v="1"/>
    <x v="0"/>
    <d v="2024-01-01T00:00:00"/>
    <d v="2024-02-10T00:00:00"/>
    <d v="2024-02-29T00:00:00"/>
    <n v="40"/>
    <n v="19"/>
    <x v="0"/>
    <x v="0"/>
  </r>
  <r>
    <n v="45"/>
    <n v="1"/>
    <n v="2"/>
    <n v="10"/>
    <n v="5"/>
    <n v="33.155217630892501"/>
    <n v="0"/>
    <n v="88"/>
    <n v="59"/>
    <x v="0"/>
    <x v="0"/>
    <d v="2024-01-01T00:00:00"/>
    <d v="2024-01-25T00:00:00"/>
    <d v="2024-02-24T00:00:00"/>
    <n v="24"/>
    <n v="30"/>
    <x v="0"/>
    <x v="1"/>
  </r>
  <r>
    <n v="45"/>
    <n v="1"/>
    <n v="3"/>
    <n v="9"/>
    <n v="4"/>
    <n v="16.787170124201801"/>
    <n v="71"/>
    <n v="60"/>
    <n v="97"/>
    <x v="1"/>
    <x v="0"/>
    <d v="2024-01-01T00:00:00"/>
    <d v="2024-02-04T00:00:00"/>
    <d v="2024-02-16T00:00:00"/>
    <n v="34"/>
    <n v="12"/>
    <x v="0"/>
    <x v="0"/>
  </r>
  <r>
    <n v="41"/>
    <n v="0"/>
    <n v="2"/>
    <n v="12"/>
    <n v="1"/>
    <n v="32.075936201702397"/>
    <n v="47"/>
    <n v="17"/>
    <n v="47"/>
    <x v="1"/>
    <x v="1"/>
    <d v="2024-01-01T00:00:00"/>
    <d v="2024-02-11T00:00:00"/>
    <s v="N/A"/>
    <n v="41"/>
    <s v="N/A"/>
    <x v="2"/>
    <x v="0"/>
  </r>
  <r>
    <n v="36"/>
    <n v="0"/>
    <n v="2"/>
    <n v="2"/>
    <n v="4"/>
    <n v="11.993097818448801"/>
    <n v="49"/>
    <n v="69"/>
    <n v="98"/>
    <x v="0"/>
    <x v="0"/>
    <d v="2024-01-01T00:00:00"/>
    <d v="2024-02-04T00:00:00"/>
    <d v="2024-02-23T00:00:00"/>
    <n v="34"/>
    <n v="19"/>
    <x v="0"/>
    <x v="0"/>
  </r>
  <r>
    <n v="39"/>
    <n v="0"/>
    <n v="1"/>
    <n v="2"/>
    <n v="2"/>
    <n v="23.241967967026401"/>
    <n v="12"/>
    <n v="81"/>
    <n v="18"/>
    <x v="0"/>
    <x v="1"/>
    <d v="2024-01-01T00:00:00"/>
    <d v="2024-01-19T00:00:00"/>
    <s v="N/A"/>
    <n v="18"/>
    <s v="N/A"/>
    <x v="3"/>
    <x v="1"/>
  </r>
  <r>
    <n v="29"/>
    <n v="1"/>
    <n v="2"/>
    <n v="2"/>
    <n v="4"/>
    <n v="45.970626108366197"/>
    <n v="14"/>
    <n v="79"/>
    <n v="71"/>
    <x v="1"/>
    <x v="1"/>
    <d v="2024-01-01T00:00:00"/>
    <d v="2024-01-17T00:00:00"/>
    <s v="N/A"/>
    <n v="16"/>
    <s v="N/A"/>
    <x v="3"/>
    <x v="1"/>
  </r>
  <r>
    <n v="25"/>
    <n v="1"/>
    <n v="2"/>
    <n v="5"/>
    <n v="3"/>
    <n v="7.6767116580374699"/>
    <n v="52"/>
    <n v="14"/>
    <n v="32"/>
    <x v="1"/>
    <x v="1"/>
    <d v="2024-01-01T00:00:00"/>
    <d v="2024-01-21T00:00:00"/>
    <s v="N/A"/>
    <n v="20"/>
    <s v="N/A"/>
    <x v="2"/>
    <x v="1"/>
  </r>
  <r>
    <n v="34"/>
    <n v="0"/>
    <n v="2"/>
    <n v="13"/>
    <n v="3"/>
    <n v="20.3348224993731"/>
    <n v="43"/>
    <n v="47"/>
    <n v="43"/>
    <x v="1"/>
    <x v="1"/>
    <d v="2024-01-01T00:00:00"/>
    <d v="2024-02-09T00:00:00"/>
    <s v="N/A"/>
    <n v="39"/>
    <s v="N/A"/>
    <x v="2"/>
    <x v="0"/>
  </r>
  <r>
    <n v="41"/>
    <n v="1"/>
    <n v="3"/>
    <n v="15"/>
    <n v="5"/>
    <n v="42.057121236017302"/>
    <n v="7"/>
    <n v="71"/>
    <n v="91"/>
    <x v="1"/>
    <x v="0"/>
    <d v="2024-01-01T00:00:00"/>
    <d v="2024-02-05T00:00:00"/>
    <d v="2024-02-27T00:00:00"/>
    <n v="35"/>
    <n v="22"/>
    <x v="0"/>
    <x v="0"/>
  </r>
  <r>
    <n v="30"/>
    <n v="0"/>
    <n v="2"/>
    <n v="7"/>
    <n v="5"/>
    <n v="49.474544970308898"/>
    <n v="73"/>
    <n v="12"/>
    <n v="36"/>
    <x v="1"/>
    <x v="1"/>
    <d v="2024-01-01T00:00:00"/>
    <d v="2024-01-21T00:00:00"/>
    <s v="N/A"/>
    <n v="20"/>
    <s v="N/A"/>
    <x v="2"/>
    <x v="1"/>
  </r>
  <r>
    <n v="47"/>
    <n v="0"/>
    <n v="2"/>
    <n v="10"/>
    <n v="5"/>
    <n v="23.696306821089699"/>
    <n v="45"/>
    <n v="42"/>
    <n v="88"/>
    <x v="2"/>
    <x v="1"/>
    <d v="2024-01-01T00:00:00"/>
    <d v="2024-01-16T00:00:00"/>
    <s v="N/A"/>
    <n v="15"/>
    <s v="N/A"/>
    <x v="2"/>
    <x v="1"/>
  </r>
  <r>
    <n v="24"/>
    <n v="1"/>
    <n v="2"/>
    <n v="6"/>
    <n v="1"/>
    <n v="26.349981007167301"/>
    <n v="68"/>
    <n v="59"/>
    <n v="35"/>
    <x v="1"/>
    <x v="1"/>
    <d v="2024-01-01T00:00:00"/>
    <d v="2024-01-18T00:00:00"/>
    <s v="N/A"/>
    <n v="17"/>
    <s v="N/A"/>
    <x v="1"/>
    <x v="1"/>
  </r>
  <r>
    <n v="20"/>
    <n v="0"/>
    <n v="1"/>
    <n v="13"/>
    <n v="5"/>
    <n v="29.608598089188401"/>
    <n v="18"/>
    <n v="56"/>
    <n v="80"/>
    <x v="2"/>
    <x v="1"/>
    <d v="2024-01-01T00:00:00"/>
    <d v="2024-01-24T00:00:00"/>
    <s v="N/A"/>
    <n v="23"/>
    <s v="N/A"/>
    <x v="1"/>
    <x v="1"/>
  </r>
  <r>
    <n v="27"/>
    <n v="1"/>
    <n v="2"/>
    <n v="3"/>
    <n v="1"/>
    <n v="47.617407081685499"/>
    <n v="37"/>
    <n v="70"/>
    <n v="87"/>
    <x v="0"/>
    <x v="0"/>
    <d v="2024-01-01T00:00:00"/>
    <d v="2024-01-26T00:00:00"/>
    <d v="2024-02-09T00:00:00"/>
    <n v="25"/>
    <n v="14"/>
    <x v="0"/>
    <x v="1"/>
  </r>
  <r>
    <n v="40"/>
    <n v="0"/>
    <n v="1"/>
    <n v="10"/>
    <n v="5"/>
    <n v="43.910339548851397"/>
    <n v="10"/>
    <n v="16"/>
    <n v="20"/>
    <x v="1"/>
    <x v="1"/>
    <d v="2024-01-01T00:00:00"/>
    <d v="2024-01-20T00:00:00"/>
    <s v="N/A"/>
    <n v="19"/>
    <s v="N/A"/>
    <x v="2"/>
    <x v="1"/>
  </r>
  <r>
    <n v="47"/>
    <n v="1"/>
    <n v="1"/>
    <n v="11"/>
    <n v="1"/>
    <n v="9.5300562310822095"/>
    <n v="42"/>
    <n v="49"/>
    <n v="1"/>
    <x v="1"/>
    <x v="1"/>
    <d v="2024-01-01T00:00:00"/>
    <d v="2024-01-19T00:00:00"/>
    <s v="N/A"/>
    <n v="18"/>
    <s v="N/A"/>
    <x v="2"/>
    <x v="1"/>
  </r>
  <r>
    <n v="31"/>
    <n v="1"/>
    <n v="1"/>
    <n v="3"/>
    <n v="4"/>
    <n v="22.837890892353698"/>
    <n v="19"/>
    <n v="31"/>
    <n v="30"/>
    <x v="0"/>
    <x v="1"/>
    <d v="2024-01-01T00:00:00"/>
    <d v="2024-02-02T00:00:00"/>
    <s v="N/A"/>
    <n v="32"/>
    <s v="N/A"/>
    <x v="2"/>
    <x v="0"/>
  </r>
  <r>
    <n v="31"/>
    <n v="1"/>
    <n v="2"/>
    <n v="10"/>
    <n v="4"/>
    <n v="24.2000214098213"/>
    <n v="19"/>
    <n v="21"/>
    <n v="96"/>
    <x v="0"/>
    <x v="0"/>
    <d v="2024-01-01T00:00:00"/>
    <d v="2024-02-14T00:00:00"/>
    <d v="2024-03-12T00:00:00"/>
    <n v="44"/>
    <n v="27"/>
    <x v="0"/>
    <x v="0"/>
  </r>
  <r>
    <n v="24"/>
    <n v="0"/>
    <n v="3"/>
    <n v="9"/>
    <n v="3"/>
    <n v="40.4548055824378"/>
    <n v="20"/>
    <n v="54"/>
    <n v="29"/>
    <x v="1"/>
    <x v="1"/>
    <d v="2024-01-01T00:00:00"/>
    <d v="2024-01-17T00:00:00"/>
    <s v="N/A"/>
    <n v="16"/>
    <s v="N/A"/>
    <x v="1"/>
    <x v="1"/>
  </r>
  <r>
    <n v="26"/>
    <n v="0"/>
    <n v="2"/>
    <n v="14"/>
    <n v="1"/>
    <n v="31.144644130271701"/>
    <n v="81"/>
    <n v="56"/>
    <n v="75"/>
    <x v="0"/>
    <x v="0"/>
    <d v="2024-01-01T00:00:00"/>
    <d v="2024-02-12T00:00:00"/>
    <d v="2024-03-05T00:00:00"/>
    <n v="42"/>
    <n v="22"/>
    <x v="0"/>
    <x v="0"/>
  </r>
  <r>
    <n v="23"/>
    <n v="1"/>
    <n v="2"/>
    <n v="10"/>
    <n v="2"/>
    <n v="33.7110231014506"/>
    <n v="56"/>
    <n v="12"/>
    <n v="43"/>
    <x v="0"/>
    <x v="1"/>
    <d v="2024-01-01T00:00:00"/>
    <d v="2024-02-01T00:00:00"/>
    <s v="N/A"/>
    <n v="31"/>
    <s v="N/A"/>
    <x v="2"/>
    <x v="0"/>
  </r>
  <r>
    <n v="25"/>
    <n v="1"/>
    <n v="2"/>
    <n v="15"/>
    <n v="3"/>
    <n v="50.909995383280801"/>
    <n v="49"/>
    <n v="46"/>
    <n v="11"/>
    <x v="2"/>
    <x v="1"/>
    <d v="2024-01-01T00:00:00"/>
    <d v="2024-02-02T00:00:00"/>
    <s v="N/A"/>
    <n v="32"/>
    <s v="N/A"/>
    <x v="2"/>
    <x v="0"/>
  </r>
  <r>
    <n v="32"/>
    <n v="0"/>
    <n v="1"/>
    <n v="10"/>
    <n v="4"/>
    <n v="4.7480021735006499"/>
    <n v="73"/>
    <n v="86"/>
    <n v="50"/>
    <x v="2"/>
    <x v="1"/>
    <d v="2024-01-01T00:00:00"/>
    <d v="2024-02-02T00:00:00"/>
    <s v="N/A"/>
    <n v="32"/>
    <s v="N/A"/>
    <x v="3"/>
    <x v="0"/>
  </r>
  <r>
    <n v="39"/>
    <n v="0"/>
    <n v="3"/>
    <n v="13"/>
    <n v="1"/>
    <n v="12.1504911766866"/>
    <n v="97"/>
    <n v="61"/>
    <n v="48"/>
    <x v="1"/>
    <x v="0"/>
    <d v="2024-01-01T00:00:00"/>
    <d v="2024-02-01T00:00:00"/>
    <d v="2024-02-17T00:00:00"/>
    <n v="31"/>
    <n v="16"/>
    <x v="0"/>
    <x v="0"/>
  </r>
  <r>
    <n v="49"/>
    <n v="0"/>
    <n v="2"/>
    <n v="10"/>
    <n v="5"/>
    <n v="21.394796868577298"/>
    <n v="25"/>
    <n v="53"/>
    <n v="23"/>
    <x v="1"/>
    <x v="1"/>
    <d v="2024-01-01T00:00:00"/>
    <d v="2024-02-03T00:00:00"/>
    <s v="N/A"/>
    <n v="33"/>
    <s v="N/A"/>
    <x v="1"/>
    <x v="0"/>
  </r>
  <r>
    <n v="34"/>
    <n v="1"/>
    <n v="2"/>
    <n v="1"/>
    <n v="2"/>
    <n v="18.389120152444299"/>
    <n v="29"/>
    <n v="28"/>
    <n v="23"/>
    <x v="2"/>
    <x v="1"/>
    <d v="2024-01-01T00:00:00"/>
    <d v="2024-01-17T00:00:00"/>
    <s v="N/A"/>
    <n v="16"/>
    <s v="N/A"/>
    <x v="2"/>
    <x v="1"/>
  </r>
  <r>
    <n v="22"/>
    <n v="0"/>
    <n v="2"/>
    <n v="13"/>
    <n v="4"/>
    <n v="2.0822780673491699"/>
    <n v="72"/>
    <n v="21"/>
    <n v="59"/>
    <x v="1"/>
    <x v="1"/>
    <d v="2024-01-01T00:00:00"/>
    <d v="2024-01-26T00:00:00"/>
    <s v="N/A"/>
    <n v="25"/>
    <s v="N/A"/>
    <x v="2"/>
    <x v="1"/>
  </r>
  <r>
    <n v="42"/>
    <n v="0"/>
    <n v="1"/>
    <n v="15"/>
    <n v="3"/>
    <n v="5.5888803235587901"/>
    <n v="30"/>
    <n v="64"/>
    <n v="10"/>
    <x v="0"/>
    <x v="0"/>
    <d v="2024-01-01T00:00:00"/>
    <d v="2024-02-15T00:00:00"/>
    <d v="2024-02-29T00:00:00"/>
    <n v="45"/>
    <n v="14"/>
    <x v="0"/>
    <x v="0"/>
  </r>
  <r>
    <n v="27"/>
    <n v="1"/>
    <n v="2"/>
    <n v="0"/>
    <n v="1"/>
    <n v="35.047664570178803"/>
    <n v="41"/>
    <n v="28"/>
    <n v="12"/>
    <x v="2"/>
    <x v="1"/>
    <d v="2024-01-01T00:00:00"/>
    <d v="2024-02-15T00:00:00"/>
    <s v="N/A"/>
    <n v="45"/>
    <s v="N/A"/>
    <x v="2"/>
    <x v="0"/>
  </r>
  <r>
    <n v="39"/>
    <n v="0"/>
    <n v="2"/>
    <n v="8"/>
    <n v="2"/>
    <n v="44.966223168128003"/>
    <n v="67"/>
    <n v="47"/>
    <n v="90"/>
    <x v="1"/>
    <x v="1"/>
    <d v="2024-01-01T00:00:00"/>
    <d v="2024-02-08T00:00:00"/>
    <s v="N/A"/>
    <n v="38"/>
    <s v="N/A"/>
    <x v="2"/>
    <x v="0"/>
  </r>
  <r>
    <n v="35"/>
    <n v="0"/>
    <n v="3"/>
    <n v="11"/>
    <n v="1"/>
    <n v="26.711350563298801"/>
    <n v="60"/>
    <n v="4"/>
    <n v="71"/>
    <x v="1"/>
    <x v="1"/>
    <d v="2024-01-01T00:00:00"/>
    <d v="2024-02-15T00:00:00"/>
    <s v="N/A"/>
    <n v="45"/>
    <s v="N/A"/>
    <x v="2"/>
    <x v="0"/>
  </r>
  <r>
    <n v="32"/>
    <n v="0"/>
    <n v="1"/>
    <n v="14"/>
    <n v="5"/>
    <n v="27.959553975681601"/>
    <n v="60"/>
    <n v="34"/>
    <n v="73"/>
    <x v="1"/>
    <x v="1"/>
    <d v="2024-01-01T00:00:00"/>
    <d v="2024-01-18T00:00:00"/>
    <s v="N/A"/>
    <n v="17"/>
    <s v="N/A"/>
    <x v="2"/>
    <x v="1"/>
  </r>
  <r>
    <n v="37"/>
    <n v="1"/>
    <n v="2"/>
    <n v="11"/>
    <n v="3"/>
    <n v="13.7546716416189"/>
    <n v="69"/>
    <n v="73"/>
    <n v="71"/>
    <x v="1"/>
    <x v="1"/>
    <d v="2024-01-01T00:00:00"/>
    <d v="2024-01-17T00:00:00"/>
    <s v="N/A"/>
    <n v="16"/>
    <s v="N/A"/>
    <x v="3"/>
    <x v="1"/>
  </r>
  <r>
    <n v="47"/>
    <n v="1"/>
    <n v="2"/>
    <n v="1"/>
    <n v="1"/>
    <n v="39.393818181685504"/>
    <n v="77"/>
    <n v="82"/>
    <n v="63"/>
    <x v="2"/>
    <x v="1"/>
    <d v="2024-01-01T00:00:00"/>
    <d v="2024-01-23T00:00:00"/>
    <s v="N/A"/>
    <n v="22"/>
    <s v="N/A"/>
    <x v="3"/>
    <x v="1"/>
  </r>
  <r>
    <n v="29"/>
    <n v="1"/>
    <n v="1"/>
    <n v="12"/>
    <n v="4"/>
    <n v="38.589729368362804"/>
    <n v="67"/>
    <n v="100"/>
    <n v="19"/>
    <x v="1"/>
    <x v="1"/>
    <d v="2024-01-01T00:00:00"/>
    <d v="2024-02-02T00:00:00"/>
    <s v="N/A"/>
    <n v="32"/>
    <s v="N/A"/>
    <x v="3"/>
    <x v="0"/>
  </r>
  <r>
    <n v="49"/>
    <n v="1"/>
    <n v="2"/>
    <n v="7"/>
    <n v="3"/>
    <n v="30.418284460882798"/>
    <n v="89"/>
    <n v="70"/>
    <n v="71"/>
    <x v="2"/>
    <x v="0"/>
    <d v="2024-01-01T00:00:00"/>
    <d v="2024-01-24T00:00:00"/>
    <d v="2024-02-07T00:00:00"/>
    <n v="23"/>
    <n v="14"/>
    <x v="0"/>
    <x v="1"/>
  </r>
  <r>
    <n v="38"/>
    <n v="1"/>
    <n v="3"/>
    <n v="14"/>
    <n v="4"/>
    <n v="11.633214325567099"/>
    <n v="16"/>
    <n v="45"/>
    <n v="72"/>
    <x v="2"/>
    <x v="1"/>
    <d v="2024-01-01T00:00:00"/>
    <d v="2024-02-01T00:00:00"/>
    <s v="N/A"/>
    <n v="31"/>
    <s v="N/A"/>
    <x v="2"/>
    <x v="0"/>
  </r>
  <r>
    <n v="36"/>
    <n v="1"/>
    <n v="3"/>
    <n v="15"/>
    <n v="1"/>
    <n v="5.85091091185447"/>
    <n v="18"/>
    <n v="34"/>
    <n v="70"/>
    <x v="1"/>
    <x v="1"/>
    <d v="2024-01-01T00:00:00"/>
    <d v="2024-02-03T00:00:00"/>
    <s v="N/A"/>
    <n v="33"/>
    <s v="N/A"/>
    <x v="2"/>
    <x v="0"/>
  </r>
  <r>
    <n v="43"/>
    <n v="1"/>
    <n v="2"/>
    <n v="8"/>
    <n v="3"/>
    <n v="4.2119287928562903"/>
    <n v="50"/>
    <n v="44"/>
    <n v="77"/>
    <x v="1"/>
    <x v="1"/>
    <d v="2024-01-01T00:00:00"/>
    <d v="2024-02-14T00:00:00"/>
    <s v="N/A"/>
    <n v="44"/>
    <s v="N/A"/>
    <x v="2"/>
    <x v="0"/>
  </r>
  <r>
    <n v="50"/>
    <n v="0"/>
    <n v="3"/>
    <n v="3"/>
    <n v="4"/>
    <n v="30.6348033321438"/>
    <n v="69"/>
    <n v="12"/>
    <n v="27"/>
    <x v="1"/>
    <x v="1"/>
    <d v="2024-01-01T00:00:00"/>
    <d v="2024-02-05T00:00:00"/>
    <s v="N/A"/>
    <n v="35"/>
    <s v="N/A"/>
    <x v="2"/>
    <x v="0"/>
  </r>
  <r>
    <n v="38"/>
    <n v="0"/>
    <n v="4"/>
    <n v="7"/>
    <n v="5"/>
    <n v="42.251765957140002"/>
    <n v="62"/>
    <n v="9"/>
    <n v="1"/>
    <x v="0"/>
    <x v="0"/>
    <d v="2024-01-01T00:00:00"/>
    <d v="2024-01-25T00:00:00"/>
    <d v="2024-02-06T00:00:00"/>
    <n v="24"/>
    <n v="12"/>
    <x v="0"/>
    <x v="1"/>
  </r>
  <r>
    <n v="47"/>
    <n v="1"/>
    <n v="3"/>
    <n v="8"/>
    <n v="5"/>
    <n v="43.916521589046198"/>
    <n v="92"/>
    <n v="65"/>
    <n v="42"/>
    <x v="0"/>
    <x v="0"/>
    <d v="2024-01-01T00:00:00"/>
    <d v="2024-01-18T00:00:00"/>
    <d v="2024-02-01T00:00:00"/>
    <n v="17"/>
    <n v="14"/>
    <x v="0"/>
    <x v="1"/>
  </r>
  <r>
    <n v="45"/>
    <n v="0"/>
    <n v="1"/>
    <n v="9"/>
    <n v="1"/>
    <n v="24.181103717172402"/>
    <n v="74"/>
    <n v="69"/>
    <n v="7"/>
    <x v="1"/>
    <x v="1"/>
    <d v="2024-01-01T00:00:00"/>
    <d v="2024-01-15T00:00:00"/>
    <s v="N/A"/>
    <n v="14"/>
    <s v="N/A"/>
    <x v="1"/>
    <x v="1"/>
  </r>
  <r>
    <n v="42"/>
    <n v="0"/>
    <n v="3"/>
    <n v="9"/>
    <n v="3"/>
    <n v="40.213564965335799"/>
    <n v="79"/>
    <n v="71"/>
    <n v="12"/>
    <x v="1"/>
    <x v="0"/>
    <d v="2024-01-01T00:00:00"/>
    <d v="2024-02-04T00:00:00"/>
    <d v="2024-02-29T00:00:00"/>
    <n v="34"/>
    <n v="25"/>
    <x v="0"/>
    <x v="0"/>
  </r>
  <r>
    <n v="45"/>
    <n v="1"/>
    <n v="2"/>
    <n v="4"/>
    <n v="2"/>
    <n v="48.344009817051102"/>
    <n v="29"/>
    <n v="99"/>
    <n v="84"/>
    <x v="0"/>
    <x v="0"/>
    <d v="2024-01-01T00:00:00"/>
    <d v="2024-01-29T00:00:00"/>
    <d v="2024-02-12T00:00:00"/>
    <n v="28"/>
    <n v="14"/>
    <x v="0"/>
    <x v="1"/>
  </r>
  <r>
    <n v="24"/>
    <n v="0"/>
    <n v="4"/>
    <n v="15"/>
    <n v="3"/>
    <n v="14.7585056244034"/>
    <n v="24"/>
    <n v="24"/>
    <n v="91"/>
    <x v="0"/>
    <x v="0"/>
    <d v="2024-01-01T00:00:00"/>
    <d v="2024-01-29T00:00:00"/>
    <d v="2024-02-19T00:00:00"/>
    <n v="28"/>
    <n v="21"/>
    <x v="0"/>
    <x v="1"/>
  </r>
  <r>
    <n v="45"/>
    <n v="0"/>
    <n v="2"/>
    <n v="12"/>
    <n v="5"/>
    <n v="20.898017319037798"/>
    <n v="74"/>
    <n v="43"/>
    <n v="34"/>
    <x v="2"/>
    <x v="1"/>
    <d v="2024-01-01T00:00:00"/>
    <d v="2024-01-26T00:00:00"/>
    <s v="N/A"/>
    <n v="25"/>
    <s v="N/A"/>
    <x v="2"/>
    <x v="1"/>
  </r>
  <r>
    <n v="40"/>
    <n v="0"/>
    <n v="1"/>
    <n v="13"/>
    <n v="4"/>
    <n v="47.573949629833997"/>
    <n v="70"/>
    <n v="59"/>
    <n v="22"/>
    <x v="1"/>
    <x v="1"/>
    <d v="2024-01-01T00:00:00"/>
    <d v="2024-02-08T00:00:00"/>
    <s v="N/A"/>
    <n v="38"/>
    <s v="N/A"/>
    <x v="1"/>
    <x v="0"/>
  </r>
  <r>
    <n v="49"/>
    <n v="0"/>
    <n v="3"/>
    <n v="6"/>
    <n v="2"/>
    <n v="17.911548365864199"/>
    <n v="25"/>
    <n v="46"/>
    <n v="45"/>
    <x v="2"/>
    <x v="1"/>
    <d v="2024-01-01T00:00:00"/>
    <d v="2024-01-16T00:00:00"/>
    <s v="N/A"/>
    <n v="15"/>
    <s v="N/A"/>
    <x v="2"/>
    <x v="1"/>
  </r>
  <r>
    <n v="42"/>
    <n v="0"/>
    <n v="2"/>
    <n v="15"/>
    <n v="1"/>
    <n v="46.693814516089802"/>
    <n v="55"/>
    <n v="39"/>
    <n v="14"/>
    <x v="1"/>
    <x v="1"/>
    <d v="2024-01-01T00:00:00"/>
    <d v="2024-01-17T00:00:00"/>
    <s v="N/A"/>
    <n v="16"/>
    <s v="N/A"/>
    <x v="2"/>
    <x v="1"/>
  </r>
  <r>
    <n v="50"/>
    <n v="1"/>
    <n v="4"/>
    <n v="9"/>
    <n v="2"/>
    <n v="50.052243112723197"/>
    <n v="21"/>
    <n v="6"/>
    <n v="1"/>
    <x v="1"/>
    <x v="1"/>
    <d v="2024-01-01T00:00:00"/>
    <d v="2024-01-22T00:00:00"/>
    <s v="N/A"/>
    <n v="21"/>
    <s v="N/A"/>
    <x v="2"/>
    <x v="1"/>
  </r>
  <r>
    <n v="28"/>
    <n v="1"/>
    <n v="4"/>
    <n v="3"/>
    <n v="1"/>
    <n v="34.090536428721201"/>
    <n v="88"/>
    <n v="45"/>
    <n v="60"/>
    <x v="0"/>
    <x v="0"/>
    <d v="2024-01-01T00:00:00"/>
    <d v="2024-01-31T00:00:00"/>
    <d v="2024-02-14T00:00:00"/>
    <n v="30"/>
    <n v="14"/>
    <x v="0"/>
    <x v="1"/>
  </r>
  <r>
    <n v="31"/>
    <n v="1"/>
    <n v="2"/>
    <n v="0"/>
    <n v="2"/>
    <n v="41.844514475208399"/>
    <n v="18"/>
    <n v="22"/>
    <n v="75"/>
    <x v="1"/>
    <x v="1"/>
    <d v="2024-01-01T00:00:00"/>
    <d v="2024-01-21T00:00:00"/>
    <s v="N/A"/>
    <n v="20"/>
    <s v="N/A"/>
    <x v="2"/>
    <x v="1"/>
  </r>
  <r>
    <n v="40"/>
    <n v="0"/>
    <n v="1"/>
    <n v="2"/>
    <n v="1"/>
    <n v="38.477278211054198"/>
    <n v="30"/>
    <n v="82"/>
    <n v="63"/>
    <x v="1"/>
    <x v="1"/>
    <d v="2024-01-01T00:00:00"/>
    <d v="2024-02-08T00:00:00"/>
    <s v="N/A"/>
    <n v="38"/>
    <s v="N/A"/>
    <x v="3"/>
    <x v="0"/>
  </r>
  <r>
    <n v="20"/>
    <n v="1"/>
    <n v="2"/>
    <n v="4"/>
    <n v="1"/>
    <n v="35.976712880776098"/>
    <n v="25"/>
    <n v="45"/>
    <n v="51"/>
    <x v="0"/>
    <x v="1"/>
    <d v="2024-01-01T00:00:00"/>
    <d v="2024-02-04T00:00:00"/>
    <s v="N/A"/>
    <n v="34"/>
    <s v="N/A"/>
    <x v="2"/>
    <x v="0"/>
  </r>
  <r>
    <n v="45"/>
    <n v="0"/>
    <n v="1"/>
    <n v="2"/>
    <n v="2"/>
    <n v="16.346553649061601"/>
    <n v="41"/>
    <n v="85"/>
    <n v="35"/>
    <x v="1"/>
    <x v="1"/>
    <d v="2024-01-01T00:00:00"/>
    <d v="2024-01-22T00:00:00"/>
    <s v="N/A"/>
    <n v="21"/>
    <s v="N/A"/>
    <x v="3"/>
    <x v="1"/>
  </r>
  <r>
    <n v="45"/>
    <n v="0"/>
    <n v="1"/>
    <n v="15"/>
    <n v="2"/>
    <n v="3.8547168953971802"/>
    <n v="40"/>
    <n v="12"/>
    <n v="66"/>
    <x v="1"/>
    <x v="1"/>
    <d v="2024-01-01T00:00:00"/>
    <d v="2024-01-17T00:00:00"/>
    <s v="N/A"/>
    <n v="16"/>
    <s v="N/A"/>
    <x v="2"/>
    <x v="1"/>
  </r>
  <r>
    <n v="20"/>
    <n v="0"/>
    <n v="3"/>
    <n v="11"/>
    <n v="1"/>
    <n v="18.152586625982501"/>
    <n v="99"/>
    <n v="20"/>
    <n v="68"/>
    <x v="1"/>
    <x v="0"/>
    <d v="2024-01-01T00:00:00"/>
    <d v="2024-02-09T00:00:00"/>
    <d v="2024-03-07T00:00:00"/>
    <n v="39"/>
    <n v="27"/>
    <x v="0"/>
    <x v="0"/>
  </r>
  <r>
    <n v="34"/>
    <n v="0"/>
    <n v="2"/>
    <n v="12"/>
    <n v="5"/>
    <n v="34.346799260195297"/>
    <n v="22"/>
    <n v="0"/>
    <n v="66"/>
    <x v="1"/>
    <x v="1"/>
    <d v="2024-01-01T00:00:00"/>
    <d v="2024-01-19T00:00:00"/>
    <s v="N/A"/>
    <n v="18"/>
    <s v="N/A"/>
    <x v="2"/>
    <x v="1"/>
  </r>
  <r>
    <n v="21"/>
    <n v="1"/>
    <n v="2"/>
    <n v="10"/>
    <n v="2"/>
    <n v="6.12645991139006"/>
    <n v="46"/>
    <n v="18"/>
    <n v="46"/>
    <x v="1"/>
    <x v="1"/>
    <d v="2024-01-01T00:00:00"/>
    <d v="2024-02-07T00:00:00"/>
    <s v="N/A"/>
    <n v="37"/>
    <s v="N/A"/>
    <x v="2"/>
    <x v="0"/>
  </r>
  <r>
    <n v="49"/>
    <n v="1"/>
    <n v="4"/>
    <n v="6"/>
    <n v="3"/>
    <n v="1.5958991489120999"/>
    <n v="12"/>
    <n v="59"/>
    <n v="82"/>
    <x v="1"/>
    <x v="0"/>
    <d v="2024-01-01T00:00:00"/>
    <d v="2024-01-28T00:00:00"/>
    <d v="2024-02-13T00:00:00"/>
    <n v="27"/>
    <n v="16"/>
    <x v="0"/>
    <x v="1"/>
  </r>
  <r>
    <n v="41"/>
    <n v="0"/>
    <n v="2"/>
    <n v="11"/>
    <n v="4"/>
    <n v="7.9846186301469304"/>
    <n v="88"/>
    <n v="32"/>
    <n v="1"/>
    <x v="2"/>
    <x v="1"/>
    <d v="2024-01-01T00:00:00"/>
    <d v="2024-01-18T00:00:00"/>
    <s v="N/A"/>
    <n v="17"/>
    <s v="N/A"/>
    <x v="2"/>
    <x v="1"/>
  </r>
  <r>
    <n v="35"/>
    <n v="1"/>
    <n v="2"/>
    <n v="8"/>
    <n v="1"/>
    <n v="36.7867963205397"/>
    <n v="65"/>
    <n v="3"/>
    <n v="43"/>
    <x v="2"/>
    <x v="1"/>
    <d v="2024-01-01T00:00:00"/>
    <d v="2024-01-16T00:00:00"/>
    <s v="N/A"/>
    <n v="15"/>
    <s v="N/A"/>
    <x v="2"/>
    <x v="1"/>
  </r>
  <r>
    <n v="44"/>
    <n v="0"/>
    <n v="4"/>
    <n v="14"/>
    <n v="1"/>
    <n v="49.639685082822197"/>
    <n v="65"/>
    <n v="2"/>
    <n v="100"/>
    <x v="2"/>
    <x v="1"/>
    <d v="2024-01-01T00:00:00"/>
    <d v="2024-01-17T00:00:00"/>
    <s v="N/A"/>
    <n v="16"/>
    <s v="N/A"/>
    <x v="2"/>
    <x v="1"/>
  </r>
  <r>
    <n v="27"/>
    <n v="1"/>
    <n v="1"/>
    <n v="11"/>
    <n v="4"/>
    <n v="50.153234980740997"/>
    <n v="15"/>
    <n v="90"/>
    <n v="63"/>
    <x v="1"/>
    <x v="1"/>
    <d v="2024-01-01T00:00:00"/>
    <d v="2024-01-22T00:00:00"/>
    <s v="N/A"/>
    <n v="21"/>
    <s v="N/A"/>
    <x v="3"/>
    <x v="1"/>
  </r>
  <r>
    <n v="32"/>
    <n v="1"/>
    <n v="3"/>
    <n v="5"/>
    <n v="5"/>
    <n v="25.6989574570093"/>
    <n v="72"/>
    <n v="51"/>
    <n v="80"/>
    <x v="1"/>
    <x v="0"/>
    <d v="2024-01-01T00:00:00"/>
    <d v="2024-01-31T00:00:00"/>
    <d v="2024-02-12T00:00:00"/>
    <n v="30"/>
    <n v="12"/>
    <x v="0"/>
    <x v="1"/>
  </r>
  <r>
    <n v="40"/>
    <n v="0"/>
    <n v="4"/>
    <n v="12"/>
    <n v="4"/>
    <n v="44.467615049617301"/>
    <n v="27"/>
    <n v="98"/>
    <n v="77"/>
    <x v="1"/>
    <x v="0"/>
    <d v="2024-01-01T00:00:00"/>
    <d v="2024-01-22T00:00:00"/>
    <d v="2024-02-03T00:00:00"/>
    <n v="21"/>
    <n v="12"/>
    <x v="0"/>
    <x v="1"/>
  </r>
  <r>
    <n v="20"/>
    <n v="1"/>
    <n v="4"/>
    <n v="9"/>
    <n v="2"/>
    <n v="37.841322787575201"/>
    <n v="76"/>
    <n v="27"/>
    <n v="27"/>
    <x v="0"/>
    <x v="0"/>
    <d v="2024-01-01T00:00:00"/>
    <d v="2024-02-15T00:00:00"/>
    <d v="2024-03-03T00:00:00"/>
    <n v="45"/>
    <n v="17"/>
    <x v="0"/>
    <x v="0"/>
  </r>
  <r>
    <n v="35"/>
    <n v="0"/>
    <n v="2"/>
    <n v="0"/>
    <n v="4"/>
    <n v="26.052011849230102"/>
    <n v="34"/>
    <n v="69"/>
    <n v="90"/>
    <x v="2"/>
    <x v="1"/>
    <d v="2024-01-01T00:00:00"/>
    <d v="2024-02-01T00:00:00"/>
    <s v="N/A"/>
    <n v="31"/>
    <s v="N/A"/>
    <x v="1"/>
    <x v="0"/>
  </r>
  <r>
    <n v="48"/>
    <n v="1"/>
    <n v="2"/>
    <n v="15"/>
    <n v="1"/>
    <n v="29.638026647754302"/>
    <n v="40"/>
    <n v="69"/>
    <n v="53"/>
    <x v="1"/>
    <x v="1"/>
    <d v="2024-01-01T00:00:00"/>
    <d v="2024-02-02T00:00:00"/>
    <s v="N/A"/>
    <n v="32"/>
    <s v="N/A"/>
    <x v="1"/>
    <x v="0"/>
  </r>
  <r>
    <n v="26"/>
    <n v="0"/>
    <n v="2"/>
    <n v="6"/>
    <n v="4"/>
    <n v="7.8613573308435498"/>
    <n v="76"/>
    <n v="54"/>
    <n v="73"/>
    <x v="0"/>
    <x v="0"/>
    <d v="2024-01-01T00:00:00"/>
    <d v="2024-01-22T00:00:00"/>
    <d v="2024-02-14T00:00:00"/>
    <n v="21"/>
    <n v="23"/>
    <x v="0"/>
    <x v="1"/>
  </r>
  <r>
    <n v="50"/>
    <n v="0"/>
    <n v="3"/>
    <n v="14"/>
    <n v="3"/>
    <n v="47.8830730308296"/>
    <n v="30"/>
    <n v="56"/>
    <n v="66"/>
    <x v="0"/>
    <x v="0"/>
    <d v="2024-01-01T00:00:00"/>
    <d v="2024-01-24T00:00:00"/>
    <d v="2024-02-02T00:00:00"/>
    <n v="23"/>
    <n v="9"/>
    <x v="0"/>
    <x v="1"/>
  </r>
  <r>
    <n v="24"/>
    <n v="1"/>
    <n v="3"/>
    <n v="2"/>
    <n v="2"/>
    <n v="18.596488536588801"/>
    <n v="84"/>
    <n v="86"/>
    <n v="35"/>
    <x v="2"/>
    <x v="1"/>
    <d v="2024-01-01T00:00:00"/>
    <d v="2024-02-01T00:00:00"/>
    <s v="N/A"/>
    <n v="31"/>
    <s v="N/A"/>
    <x v="3"/>
    <x v="0"/>
  </r>
  <r>
    <n v="41"/>
    <n v="1"/>
    <n v="2"/>
    <n v="4"/>
    <n v="4"/>
    <n v="23.307462822858401"/>
    <n v="31"/>
    <n v="96"/>
    <n v="62"/>
    <x v="0"/>
    <x v="0"/>
    <d v="2024-01-01T00:00:00"/>
    <d v="2024-02-15T00:00:00"/>
    <d v="2024-03-12T00:00:00"/>
    <n v="45"/>
    <n v="26"/>
    <x v="0"/>
    <x v="0"/>
  </r>
  <r>
    <n v="48"/>
    <n v="0"/>
    <n v="2"/>
    <n v="15"/>
    <n v="1"/>
    <n v="34.583011549894898"/>
    <n v="53"/>
    <n v="15"/>
    <n v="24"/>
    <x v="0"/>
    <x v="1"/>
    <d v="2024-01-01T00:00:00"/>
    <d v="2024-02-10T00:00:00"/>
    <s v="N/A"/>
    <n v="40"/>
    <s v="N/A"/>
    <x v="2"/>
    <x v="0"/>
  </r>
  <r>
    <n v="42"/>
    <n v="1"/>
    <n v="1"/>
    <n v="9"/>
    <n v="2"/>
    <n v="17.6951235763276"/>
    <n v="97"/>
    <n v="23"/>
    <n v="85"/>
    <x v="1"/>
    <x v="1"/>
    <d v="2024-01-01T00:00:00"/>
    <d v="2024-01-29T00:00:00"/>
    <s v="N/A"/>
    <n v="28"/>
    <s v="N/A"/>
    <x v="2"/>
    <x v="1"/>
  </r>
  <r>
    <n v="22"/>
    <n v="1"/>
    <n v="1"/>
    <n v="3"/>
    <n v="1"/>
    <n v="13.712958049446501"/>
    <n v="71"/>
    <n v="68"/>
    <n v="47"/>
    <x v="0"/>
    <x v="0"/>
    <d v="2024-01-01T00:00:00"/>
    <d v="2024-02-05T00:00:00"/>
    <d v="2024-02-24T00:00:00"/>
    <n v="35"/>
    <n v="19"/>
    <x v="0"/>
    <x v="0"/>
  </r>
  <r>
    <n v="31"/>
    <n v="0"/>
    <n v="3"/>
    <n v="9"/>
    <n v="5"/>
    <n v="32.552469663510998"/>
    <n v="58"/>
    <n v="40"/>
    <n v="38"/>
    <x v="2"/>
    <x v="1"/>
    <d v="2024-01-01T00:00:00"/>
    <d v="2024-02-03T00:00:00"/>
    <s v="N/A"/>
    <n v="33"/>
    <s v="N/A"/>
    <x v="2"/>
    <x v="0"/>
  </r>
  <r>
    <n v="45"/>
    <n v="0"/>
    <n v="2"/>
    <n v="4"/>
    <n v="3"/>
    <n v="2.2492041140924699"/>
    <n v="40"/>
    <n v="76"/>
    <n v="46"/>
    <x v="1"/>
    <x v="1"/>
    <d v="2024-01-01T00:00:00"/>
    <d v="2024-02-08T00:00:00"/>
    <s v="N/A"/>
    <n v="38"/>
    <s v="N/A"/>
    <x v="3"/>
    <x v="0"/>
  </r>
  <r>
    <n v="35"/>
    <n v="1"/>
    <n v="4"/>
    <n v="4"/>
    <n v="5"/>
    <n v="37.036255601333899"/>
    <n v="65"/>
    <n v="46"/>
    <n v="93"/>
    <x v="1"/>
    <x v="1"/>
    <d v="2024-01-01T00:00:00"/>
    <d v="2024-01-21T00:00:00"/>
    <s v="N/A"/>
    <n v="20"/>
    <s v="N/A"/>
    <x v="2"/>
    <x v="1"/>
  </r>
  <r>
    <n v="38"/>
    <n v="0"/>
    <n v="3"/>
    <n v="5"/>
    <n v="3"/>
    <n v="26.701168493825399"/>
    <n v="95"/>
    <n v="75"/>
    <n v="20"/>
    <x v="2"/>
    <x v="1"/>
    <d v="2024-01-01T00:00:00"/>
    <d v="2024-02-11T00:00:00"/>
    <s v="N/A"/>
    <n v="41"/>
    <s v="N/A"/>
    <x v="3"/>
    <x v="0"/>
  </r>
  <r>
    <n v="24"/>
    <n v="0"/>
    <n v="1"/>
    <n v="13"/>
    <n v="4"/>
    <n v="31.287686526046699"/>
    <n v="53"/>
    <n v="68"/>
    <n v="29"/>
    <x v="1"/>
    <x v="1"/>
    <d v="2024-01-01T00:00:00"/>
    <d v="2024-01-17T00:00:00"/>
    <s v="N/A"/>
    <n v="16"/>
    <s v="N/A"/>
    <x v="1"/>
    <x v="1"/>
  </r>
  <r>
    <n v="41"/>
    <n v="0"/>
    <n v="2"/>
    <n v="9"/>
    <n v="2"/>
    <n v="32.5940079623442"/>
    <n v="39"/>
    <n v="100"/>
    <n v="91"/>
    <x v="1"/>
    <x v="1"/>
    <d v="2024-01-01T00:00:00"/>
    <d v="2024-02-08T00:00:00"/>
    <s v="N/A"/>
    <n v="38"/>
    <s v="N/A"/>
    <x v="3"/>
    <x v="0"/>
  </r>
  <r>
    <n v="44"/>
    <n v="1"/>
    <n v="2"/>
    <n v="11"/>
    <n v="4"/>
    <n v="27.352507824628098"/>
    <n v="27"/>
    <n v="30"/>
    <n v="30"/>
    <x v="1"/>
    <x v="1"/>
    <d v="2024-01-01T00:00:00"/>
    <d v="2024-01-24T00:00:00"/>
    <s v="N/A"/>
    <n v="23"/>
    <s v="N/A"/>
    <x v="2"/>
    <x v="1"/>
  </r>
  <r>
    <n v="48"/>
    <n v="1"/>
    <n v="2"/>
    <n v="9"/>
    <n v="3"/>
    <n v="30.126688872036699"/>
    <n v="36"/>
    <n v="91"/>
    <n v="25"/>
    <x v="1"/>
    <x v="1"/>
    <d v="2024-01-01T00:00:00"/>
    <d v="2024-01-26T00:00:00"/>
    <s v="N/A"/>
    <n v="25"/>
    <s v="N/A"/>
    <x v="3"/>
    <x v="1"/>
  </r>
  <r>
    <n v="33"/>
    <n v="0"/>
    <n v="3"/>
    <n v="12"/>
    <n v="3"/>
    <n v="35.189410044493698"/>
    <n v="64"/>
    <n v="91"/>
    <n v="21"/>
    <x v="1"/>
    <x v="1"/>
    <d v="2024-01-01T00:00:00"/>
    <d v="2024-02-14T00:00:00"/>
    <s v="N/A"/>
    <n v="44"/>
    <s v="N/A"/>
    <x v="3"/>
    <x v="0"/>
  </r>
  <r>
    <n v="47"/>
    <n v="1"/>
    <n v="3"/>
    <n v="12"/>
    <n v="3"/>
    <n v="38.655942358983701"/>
    <n v="73"/>
    <n v="29"/>
    <n v="20"/>
    <x v="1"/>
    <x v="1"/>
    <d v="2024-01-01T00:00:00"/>
    <d v="2024-01-16T00:00:00"/>
    <s v="N/A"/>
    <n v="15"/>
    <s v="N/A"/>
    <x v="2"/>
    <x v="1"/>
  </r>
  <r>
    <n v="24"/>
    <n v="0"/>
    <n v="3"/>
    <n v="10"/>
    <n v="1"/>
    <n v="37.372619564306"/>
    <n v="54"/>
    <n v="17"/>
    <n v="0"/>
    <x v="2"/>
    <x v="1"/>
    <d v="2024-01-01T00:00:00"/>
    <d v="2024-01-16T00:00:00"/>
    <s v="N/A"/>
    <n v="15"/>
    <s v="N/A"/>
    <x v="2"/>
    <x v="1"/>
  </r>
  <r>
    <n v="34"/>
    <n v="1"/>
    <n v="2"/>
    <n v="5"/>
    <n v="2"/>
    <n v="44.480822886612998"/>
    <n v="3"/>
    <n v="43"/>
    <n v="36"/>
    <x v="1"/>
    <x v="1"/>
    <d v="2024-01-01T00:00:00"/>
    <d v="2024-01-17T00:00:00"/>
    <s v="N/A"/>
    <n v="16"/>
    <s v="N/A"/>
    <x v="2"/>
    <x v="1"/>
  </r>
  <r>
    <n v="36"/>
    <n v="0"/>
    <n v="1"/>
    <n v="15"/>
    <n v="4"/>
    <n v="10.472171658370099"/>
    <n v="98"/>
    <n v="26"/>
    <n v="76"/>
    <x v="2"/>
    <x v="1"/>
    <d v="2024-01-01T00:00:00"/>
    <d v="2024-01-23T00:00:00"/>
    <s v="N/A"/>
    <n v="22"/>
    <s v="N/A"/>
    <x v="2"/>
    <x v="1"/>
  </r>
  <r>
    <n v="49"/>
    <n v="0"/>
    <n v="3"/>
    <n v="7"/>
    <n v="4"/>
    <n v="21.0573984745898"/>
    <n v="9"/>
    <n v="98"/>
    <n v="84"/>
    <x v="1"/>
    <x v="0"/>
    <d v="2024-01-01T00:00:00"/>
    <d v="2024-01-28T00:00:00"/>
    <d v="2024-02-23T00:00:00"/>
    <n v="27"/>
    <n v="26"/>
    <x v="0"/>
    <x v="1"/>
  </r>
  <r>
    <n v="33"/>
    <n v="1"/>
    <n v="1"/>
    <n v="7"/>
    <n v="5"/>
    <n v="48.389803300722797"/>
    <n v="46"/>
    <n v="25"/>
    <n v="45"/>
    <x v="1"/>
    <x v="1"/>
    <d v="2024-01-01T00:00:00"/>
    <d v="2024-01-30T00:00:00"/>
    <s v="N/A"/>
    <n v="29"/>
    <s v="N/A"/>
    <x v="2"/>
    <x v="1"/>
  </r>
  <r>
    <n v="49"/>
    <n v="0"/>
    <n v="2"/>
    <n v="10"/>
    <n v="3"/>
    <n v="20.8295287193164"/>
    <n v="74"/>
    <n v="59"/>
    <n v="8"/>
    <x v="2"/>
    <x v="1"/>
    <d v="2024-01-01T00:00:00"/>
    <d v="2024-01-26T00:00:00"/>
    <s v="N/A"/>
    <n v="25"/>
    <s v="N/A"/>
    <x v="1"/>
    <x v="1"/>
  </r>
  <r>
    <n v="39"/>
    <n v="1"/>
    <n v="1"/>
    <n v="8"/>
    <n v="3"/>
    <n v="7.2435038452961296"/>
    <n v="13"/>
    <n v="17"/>
    <n v="16"/>
    <x v="0"/>
    <x v="1"/>
    <d v="2024-01-01T00:00:00"/>
    <d v="2024-01-24T00:00:00"/>
    <s v="N/A"/>
    <n v="23"/>
    <s v="N/A"/>
    <x v="2"/>
    <x v="1"/>
  </r>
  <r>
    <n v="24"/>
    <n v="1"/>
    <n v="2"/>
    <n v="7"/>
    <n v="3"/>
    <n v="27.272256318108901"/>
    <n v="37"/>
    <n v="96"/>
    <n v="46"/>
    <x v="1"/>
    <x v="1"/>
    <d v="2024-01-01T00:00:00"/>
    <d v="2024-02-07T00:00:00"/>
    <s v="N/A"/>
    <n v="37"/>
    <s v="N/A"/>
    <x v="3"/>
    <x v="0"/>
  </r>
  <r>
    <n v="31"/>
    <n v="0"/>
    <n v="1"/>
    <n v="12"/>
    <n v="4"/>
    <n v="6.4745486277230997"/>
    <n v="11"/>
    <n v="88"/>
    <n v="84"/>
    <x v="1"/>
    <x v="1"/>
    <d v="2024-01-01T00:00:00"/>
    <d v="2024-01-16T00:00:00"/>
    <s v="N/A"/>
    <n v="15"/>
    <s v="N/A"/>
    <x v="3"/>
    <x v="1"/>
  </r>
  <r>
    <n v="35"/>
    <n v="0"/>
    <n v="2"/>
    <n v="10"/>
    <n v="5"/>
    <n v="11.1426619363932"/>
    <n v="44"/>
    <n v="55"/>
    <n v="94"/>
    <x v="1"/>
    <x v="1"/>
    <d v="2024-01-01T00:00:00"/>
    <d v="2024-02-05T00:00:00"/>
    <s v="N/A"/>
    <n v="35"/>
    <s v="N/A"/>
    <x v="1"/>
    <x v="0"/>
  </r>
  <r>
    <n v="45"/>
    <n v="1"/>
    <n v="4"/>
    <n v="1"/>
    <n v="1"/>
    <n v="50.915937828547797"/>
    <n v="16"/>
    <n v="30"/>
    <n v="58"/>
    <x v="0"/>
    <x v="1"/>
    <d v="2024-01-01T00:00:00"/>
    <d v="2024-01-21T00:00:00"/>
    <s v="N/A"/>
    <n v="20"/>
    <s v="N/A"/>
    <x v="2"/>
    <x v="1"/>
  </r>
  <r>
    <n v="45"/>
    <n v="0"/>
    <n v="1"/>
    <n v="13"/>
    <n v="2"/>
    <n v="28.0681319198066"/>
    <n v="79"/>
    <n v="100"/>
    <n v="53"/>
    <x v="1"/>
    <x v="1"/>
    <d v="2024-01-01T00:00:00"/>
    <d v="2024-02-10T00:00:00"/>
    <s v="N/A"/>
    <n v="40"/>
    <s v="N/A"/>
    <x v="3"/>
    <x v="0"/>
  </r>
  <r>
    <n v="35"/>
    <n v="0"/>
    <n v="1"/>
    <n v="13"/>
    <n v="1"/>
    <n v="15.202919452021399"/>
    <n v="34"/>
    <n v="58"/>
    <n v="85"/>
    <x v="1"/>
    <x v="1"/>
    <d v="2024-01-01T00:00:00"/>
    <d v="2024-01-24T00:00:00"/>
    <s v="N/A"/>
    <n v="23"/>
    <s v="N/A"/>
    <x v="1"/>
    <x v="1"/>
  </r>
  <r>
    <n v="40"/>
    <n v="0"/>
    <n v="2"/>
    <n v="11"/>
    <n v="4"/>
    <n v="50.738747728695301"/>
    <n v="65"/>
    <n v="1"/>
    <n v="11"/>
    <x v="1"/>
    <x v="1"/>
    <d v="2024-01-01T00:00:00"/>
    <d v="2024-01-17T00:00:00"/>
    <s v="N/A"/>
    <n v="16"/>
    <s v="N/A"/>
    <x v="2"/>
    <x v="1"/>
  </r>
  <r>
    <n v="26"/>
    <n v="0"/>
    <n v="3"/>
    <n v="9"/>
    <n v="3"/>
    <n v="49.327945927757099"/>
    <n v="74"/>
    <n v="96"/>
    <n v="63"/>
    <x v="2"/>
    <x v="0"/>
    <d v="2024-01-01T00:00:00"/>
    <d v="2024-02-04T00:00:00"/>
    <d v="2024-03-03T00:00:00"/>
    <n v="34"/>
    <n v="28"/>
    <x v="0"/>
    <x v="0"/>
  </r>
  <r>
    <n v="23"/>
    <n v="0"/>
    <n v="2"/>
    <n v="11"/>
    <n v="2"/>
    <n v="23.036952054213099"/>
    <n v="40"/>
    <n v="38"/>
    <n v="5"/>
    <x v="2"/>
    <x v="1"/>
    <d v="2024-01-01T00:00:00"/>
    <d v="2024-02-03T00:00:00"/>
    <s v="N/A"/>
    <n v="33"/>
    <s v="N/A"/>
    <x v="2"/>
    <x v="0"/>
  </r>
  <r>
    <n v="20"/>
    <n v="1"/>
    <n v="2"/>
    <n v="10"/>
    <n v="4"/>
    <n v="14.020155439395401"/>
    <n v="66"/>
    <n v="60"/>
    <n v="52"/>
    <x v="1"/>
    <x v="1"/>
    <d v="2024-01-01T00:00:00"/>
    <d v="2024-01-25T00:00:00"/>
    <s v="N/A"/>
    <n v="24"/>
    <s v="N/A"/>
    <x v="1"/>
    <x v="1"/>
  </r>
  <r>
    <n v="49"/>
    <n v="1"/>
    <n v="1"/>
    <n v="14"/>
    <n v="4"/>
    <n v="42.9199819046095"/>
    <n v="28"/>
    <n v="62"/>
    <n v="15"/>
    <x v="2"/>
    <x v="1"/>
    <d v="2024-01-01T00:00:00"/>
    <d v="2024-01-25T00:00:00"/>
    <s v="N/A"/>
    <n v="24"/>
    <s v="N/A"/>
    <x v="1"/>
    <x v="1"/>
  </r>
  <r>
    <n v="49"/>
    <n v="0"/>
    <n v="3"/>
    <n v="15"/>
    <n v="4"/>
    <n v="36.781035848589198"/>
    <n v="17"/>
    <n v="95"/>
    <n v="89"/>
    <x v="1"/>
    <x v="0"/>
    <d v="2024-01-01T00:00:00"/>
    <d v="2024-02-08T00:00:00"/>
    <d v="2024-03-07T00:00:00"/>
    <n v="38"/>
    <n v="28"/>
    <x v="0"/>
    <x v="0"/>
  </r>
  <r>
    <n v="24"/>
    <n v="0"/>
    <n v="2"/>
    <n v="0"/>
    <n v="2"/>
    <n v="35.347071750175502"/>
    <n v="19"/>
    <n v="17"/>
    <n v="4"/>
    <x v="1"/>
    <x v="1"/>
    <d v="2024-01-01T00:00:00"/>
    <d v="2024-01-21T00:00:00"/>
    <s v="N/A"/>
    <n v="20"/>
    <s v="N/A"/>
    <x v="2"/>
    <x v="1"/>
  </r>
  <r>
    <n v="42"/>
    <n v="0"/>
    <n v="3"/>
    <n v="9"/>
    <n v="2"/>
    <n v="45.655687066123598"/>
    <n v="13"/>
    <n v="16"/>
    <n v="72"/>
    <x v="1"/>
    <x v="1"/>
    <d v="2024-01-01T00:00:00"/>
    <d v="2024-02-14T00:00:00"/>
    <s v="N/A"/>
    <n v="44"/>
    <s v="N/A"/>
    <x v="2"/>
    <x v="0"/>
  </r>
  <r>
    <n v="45"/>
    <n v="1"/>
    <n v="4"/>
    <n v="1"/>
    <n v="5"/>
    <n v="35.470856693566198"/>
    <n v="33"/>
    <n v="97"/>
    <n v="45"/>
    <x v="1"/>
    <x v="1"/>
    <d v="2024-01-01T00:00:00"/>
    <d v="2024-02-05T00:00:00"/>
    <s v="N/A"/>
    <n v="35"/>
    <s v="N/A"/>
    <x v="3"/>
    <x v="0"/>
  </r>
  <r>
    <n v="29"/>
    <n v="0"/>
    <n v="2"/>
    <n v="1"/>
    <n v="5"/>
    <n v="15.1898971520774"/>
    <n v="48"/>
    <n v="38"/>
    <n v="13"/>
    <x v="0"/>
    <x v="1"/>
    <d v="2024-01-01T00:00:00"/>
    <d v="2024-01-24T00:00:00"/>
    <s v="N/A"/>
    <n v="23"/>
    <s v="N/A"/>
    <x v="2"/>
    <x v="1"/>
  </r>
  <r>
    <n v="41"/>
    <n v="1"/>
    <n v="3"/>
    <n v="11"/>
    <n v="1"/>
    <n v="35.6931580937866"/>
    <n v="53"/>
    <n v="70"/>
    <n v="43"/>
    <x v="1"/>
    <x v="1"/>
    <d v="2024-01-01T00:00:00"/>
    <d v="2024-01-18T00:00:00"/>
    <s v="N/A"/>
    <n v="17"/>
    <s v="N/A"/>
    <x v="3"/>
    <x v="1"/>
  </r>
  <r>
    <n v="24"/>
    <n v="1"/>
    <n v="1"/>
    <n v="2"/>
    <n v="2"/>
    <n v="16.2906755641831"/>
    <n v="30"/>
    <n v="53"/>
    <n v="62"/>
    <x v="1"/>
    <x v="1"/>
    <d v="2024-01-01T00:00:00"/>
    <d v="2024-02-08T00:00:00"/>
    <s v="N/A"/>
    <n v="38"/>
    <s v="N/A"/>
    <x v="1"/>
    <x v="0"/>
  </r>
  <r>
    <n v="23"/>
    <n v="1"/>
    <n v="3"/>
    <n v="9"/>
    <n v="2"/>
    <n v="38.961948982849698"/>
    <n v="57"/>
    <n v="98"/>
    <n v="93"/>
    <x v="1"/>
    <x v="0"/>
    <d v="2024-01-01T00:00:00"/>
    <d v="2024-01-21T00:00:00"/>
    <d v="2024-02-11T00:00:00"/>
    <n v="20"/>
    <n v="21"/>
    <x v="0"/>
    <x v="1"/>
  </r>
  <r>
    <n v="21"/>
    <n v="0"/>
    <n v="2"/>
    <n v="6"/>
    <n v="2"/>
    <n v="31.987392724578299"/>
    <n v="41"/>
    <n v="93"/>
    <n v="51"/>
    <x v="2"/>
    <x v="1"/>
    <d v="2024-01-01T00:00:00"/>
    <d v="2024-02-06T00:00:00"/>
    <s v="N/A"/>
    <n v="36"/>
    <s v="N/A"/>
    <x v="3"/>
    <x v="0"/>
  </r>
  <r>
    <n v="39"/>
    <n v="1"/>
    <n v="3"/>
    <n v="1"/>
    <n v="5"/>
    <n v="4.87057759923752"/>
    <n v="57"/>
    <n v="75"/>
    <n v="25"/>
    <x v="1"/>
    <x v="1"/>
    <d v="2024-01-01T00:00:00"/>
    <d v="2024-02-04T00:00:00"/>
    <s v="N/A"/>
    <n v="34"/>
    <s v="N/A"/>
    <x v="3"/>
    <x v="0"/>
  </r>
  <r>
    <n v="50"/>
    <n v="0"/>
    <n v="1"/>
    <n v="13"/>
    <n v="4"/>
    <n v="26.641768121757099"/>
    <n v="81"/>
    <n v="34"/>
    <n v="52"/>
    <x v="0"/>
    <x v="0"/>
    <d v="2024-01-01T00:00:00"/>
    <d v="2024-02-10T00:00:00"/>
    <d v="2024-02-19T00:00:00"/>
    <n v="40"/>
    <n v="9"/>
    <x v="0"/>
    <x v="0"/>
  </r>
  <r>
    <n v="29"/>
    <n v="1"/>
    <n v="1"/>
    <n v="15"/>
    <n v="3"/>
    <n v="18.165048459786998"/>
    <n v="29"/>
    <n v="10"/>
    <n v="28"/>
    <x v="1"/>
    <x v="1"/>
    <d v="2024-01-01T00:00:00"/>
    <d v="2024-01-16T00:00:00"/>
    <s v="N/A"/>
    <n v="15"/>
    <s v="N/A"/>
    <x v="2"/>
    <x v="1"/>
  </r>
  <r>
    <n v="45"/>
    <n v="0"/>
    <n v="2"/>
    <n v="0"/>
    <n v="5"/>
    <n v="17.4285316366147"/>
    <n v="24"/>
    <n v="60"/>
    <n v="18"/>
    <x v="1"/>
    <x v="1"/>
    <d v="2024-01-01T00:00:00"/>
    <d v="2024-01-21T00:00:00"/>
    <s v="N/A"/>
    <n v="20"/>
    <s v="N/A"/>
    <x v="1"/>
    <x v="1"/>
  </r>
  <r>
    <n v="38"/>
    <n v="1"/>
    <n v="2"/>
    <n v="15"/>
    <n v="2"/>
    <n v="31.112815118862802"/>
    <n v="62"/>
    <n v="43"/>
    <n v="46"/>
    <x v="1"/>
    <x v="1"/>
    <d v="2024-01-01T00:00:00"/>
    <d v="2024-02-14T00:00:00"/>
    <s v="N/A"/>
    <n v="44"/>
    <s v="N/A"/>
    <x v="2"/>
    <x v="0"/>
  </r>
  <r>
    <n v="45"/>
    <n v="0"/>
    <n v="2"/>
    <n v="13"/>
    <n v="5"/>
    <n v="17.116241223471199"/>
    <n v="18"/>
    <n v="67"/>
    <n v="7"/>
    <x v="0"/>
    <x v="0"/>
    <d v="2024-01-01T00:00:00"/>
    <d v="2024-01-17T00:00:00"/>
    <d v="2024-02-12T00:00:00"/>
    <n v="16"/>
    <n v="26"/>
    <x v="0"/>
    <x v="1"/>
  </r>
  <r>
    <n v="20"/>
    <n v="1"/>
    <n v="2"/>
    <n v="5"/>
    <n v="1"/>
    <n v="39.844687410243601"/>
    <n v="71"/>
    <n v="24"/>
    <n v="22"/>
    <x v="1"/>
    <x v="1"/>
    <d v="2024-01-01T00:00:00"/>
    <d v="2024-01-24T00:00:00"/>
    <s v="N/A"/>
    <n v="23"/>
    <s v="N/A"/>
    <x v="2"/>
    <x v="1"/>
  </r>
  <r>
    <n v="43"/>
    <n v="0"/>
    <n v="1"/>
    <n v="8"/>
    <n v="2"/>
    <n v="4.5395718005587202"/>
    <n v="91"/>
    <n v="47"/>
    <n v="34"/>
    <x v="2"/>
    <x v="1"/>
    <d v="2024-01-01T00:00:00"/>
    <d v="2024-01-20T00:00:00"/>
    <s v="N/A"/>
    <n v="19"/>
    <s v="N/A"/>
    <x v="2"/>
    <x v="1"/>
  </r>
  <r>
    <n v="24"/>
    <n v="0"/>
    <n v="2"/>
    <n v="14"/>
    <n v="1"/>
    <n v="34.019412619791197"/>
    <n v="7"/>
    <n v="31"/>
    <n v="94"/>
    <x v="1"/>
    <x v="1"/>
    <d v="2024-01-01T00:00:00"/>
    <d v="2024-01-17T00:00:00"/>
    <s v="N/A"/>
    <n v="16"/>
    <s v="N/A"/>
    <x v="2"/>
    <x v="1"/>
  </r>
  <r>
    <n v="32"/>
    <n v="0"/>
    <n v="3"/>
    <n v="2"/>
    <n v="2"/>
    <n v="41.459740182837002"/>
    <n v="94"/>
    <n v="83"/>
    <n v="52"/>
    <x v="2"/>
    <x v="1"/>
    <d v="2024-01-01T00:00:00"/>
    <d v="2024-02-05T00:00:00"/>
    <s v="N/A"/>
    <n v="35"/>
    <s v="N/A"/>
    <x v="3"/>
    <x v="0"/>
  </r>
  <r>
    <n v="23"/>
    <n v="0"/>
    <n v="2"/>
    <n v="5"/>
    <n v="5"/>
    <n v="34.641584496021501"/>
    <n v="2"/>
    <n v="94"/>
    <n v="98"/>
    <x v="2"/>
    <x v="1"/>
    <d v="2024-01-01T00:00:00"/>
    <d v="2024-02-08T00:00:00"/>
    <s v="N/A"/>
    <n v="38"/>
    <s v="N/A"/>
    <x v="3"/>
    <x v="0"/>
  </r>
  <r>
    <n v="35"/>
    <n v="1"/>
    <n v="1"/>
    <n v="2"/>
    <n v="4"/>
    <n v="25.8614597509997"/>
    <n v="66"/>
    <n v="3"/>
    <n v="95"/>
    <x v="0"/>
    <x v="1"/>
    <d v="2024-01-01T00:00:00"/>
    <d v="2024-01-15T00:00:00"/>
    <s v="N/A"/>
    <n v="14"/>
    <s v="N/A"/>
    <x v="2"/>
    <x v="1"/>
  </r>
  <r>
    <n v="43"/>
    <n v="1"/>
    <n v="2"/>
    <n v="13"/>
    <n v="3"/>
    <n v="48.515350686809001"/>
    <n v="85"/>
    <n v="37"/>
    <n v="57"/>
    <x v="1"/>
    <x v="1"/>
    <d v="2024-01-01T00:00:00"/>
    <d v="2024-01-27T00:00:00"/>
    <s v="N/A"/>
    <n v="26"/>
    <s v="N/A"/>
    <x v="2"/>
    <x v="1"/>
  </r>
  <r>
    <n v="35"/>
    <n v="0"/>
    <n v="1"/>
    <n v="12"/>
    <n v="1"/>
    <n v="15.996924489903099"/>
    <n v="80"/>
    <n v="62"/>
    <n v="4"/>
    <x v="1"/>
    <x v="1"/>
    <d v="2024-01-01T00:00:00"/>
    <d v="2024-01-24T00:00:00"/>
    <s v="N/A"/>
    <n v="23"/>
    <s v="N/A"/>
    <x v="1"/>
    <x v="1"/>
  </r>
  <r>
    <n v="42"/>
    <n v="1"/>
    <n v="4"/>
    <n v="0"/>
    <n v="5"/>
    <n v="1.95839437624888"/>
    <n v="99"/>
    <n v="46"/>
    <n v="15"/>
    <x v="0"/>
    <x v="0"/>
    <d v="2024-01-01T00:00:00"/>
    <d v="2024-02-07T00:00:00"/>
    <d v="2024-02-29T00:00:00"/>
    <n v="37"/>
    <n v="22"/>
    <x v="0"/>
    <x v="0"/>
  </r>
  <r>
    <n v="21"/>
    <n v="0"/>
    <n v="1"/>
    <n v="13"/>
    <n v="4"/>
    <n v="22.599468573172"/>
    <n v="16"/>
    <n v="0"/>
    <n v="16"/>
    <x v="1"/>
    <x v="1"/>
    <d v="2024-01-01T00:00:00"/>
    <d v="2024-01-24T00:00:00"/>
    <s v="N/A"/>
    <n v="23"/>
    <s v="N/A"/>
    <x v="2"/>
    <x v="1"/>
  </r>
  <r>
    <n v="36"/>
    <n v="0"/>
    <n v="3"/>
    <n v="12"/>
    <n v="5"/>
    <n v="2.65059679501636"/>
    <n v="13"/>
    <n v="2"/>
    <n v="31"/>
    <x v="1"/>
    <x v="1"/>
    <d v="2024-01-01T00:00:00"/>
    <d v="2024-01-20T00:00:00"/>
    <s v="N/A"/>
    <n v="19"/>
    <s v="N/A"/>
    <x v="2"/>
    <x v="1"/>
  </r>
  <r>
    <n v="47"/>
    <n v="1"/>
    <n v="4"/>
    <n v="15"/>
    <n v="1"/>
    <n v="48.696837626320402"/>
    <n v="8"/>
    <n v="100"/>
    <n v="95"/>
    <x v="0"/>
    <x v="0"/>
    <d v="2024-01-01T00:00:00"/>
    <d v="2024-02-06T00:00:00"/>
    <d v="2024-02-15T00:00:00"/>
    <n v="36"/>
    <n v="9"/>
    <x v="0"/>
    <x v="0"/>
  </r>
  <r>
    <n v="46"/>
    <n v="0"/>
    <n v="3"/>
    <n v="11"/>
    <n v="3"/>
    <n v="11.495902287402499"/>
    <n v="61"/>
    <n v="85"/>
    <n v="51"/>
    <x v="2"/>
    <x v="1"/>
    <d v="2024-01-01T00:00:00"/>
    <d v="2024-01-31T00:00:00"/>
    <s v="N/A"/>
    <n v="30"/>
    <s v="N/A"/>
    <x v="3"/>
    <x v="1"/>
  </r>
  <r>
    <n v="39"/>
    <n v="0"/>
    <n v="2"/>
    <n v="4"/>
    <n v="5"/>
    <n v="40.446351197443903"/>
    <n v="93"/>
    <n v="61"/>
    <n v="19"/>
    <x v="1"/>
    <x v="1"/>
    <d v="2024-01-01T00:00:00"/>
    <d v="2024-02-11T00:00:00"/>
    <s v="N/A"/>
    <n v="41"/>
    <s v="N/A"/>
    <x v="1"/>
    <x v="0"/>
  </r>
  <r>
    <n v="43"/>
    <n v="1"/>
    <n v="3"/>
    <n v="9"/>
    <n v="2"/>
    <n v="39.728604158718198"/>
    <n v="20"/>
    <n v="63"/>
    <n v="65"/>
    <x v="2"/>
    <x v="0"/>
    <d v="2024-01-01T00:00:00"/>
    <d v="2024-02-14T00:00:00"/>
    <d v="2024-03-14T00:00:00"/>
    <n v="44"/>
    <n v="29"/>
    <x v="0"/>
    <x v="0"/>
  </r>
  <r>
    <n v="31"/>
    <n v="0"/>
    <n v="4"/>
    <n v="13"/>
    <n v="4"/>
    <n v="11.8864449841466"/>
    <n v="75"/>
    <n v="16"/>
    <n v="83"/>
    <x v="1"/>
    <x v="0"/>
    <d v="2024-01-01T00:00:00"/>
    <d v="2024-01-19T00:00:00"/>
    <d v="2024-02-11T00:00:00"/>
    <n v="18"/>
    <n v="23"/>
    <x v="0"/>
    <x v="1"/>
  </r>
  <r>
    <n v="37"/>
    <n v="0"/>
    <n v="2"/>
    <n v="12"/>
    <n v="5"/>
    <n v="32.061326524008301"/>
    <n v="36"/>
    <n v="77"/>
    <n v="81"/>
    <x v="2"/>
    <x v="1"/>
    <d v="2024-01-01T00:00:00"/>
    <d v="2024-01-22T00:00:00"/>
    <s v="N/A"/>
    <n v="21"/>
    <s v="N/A"/>
    <x v="3"/>
    <x v="1"/>
  </r>
  <r>
    <n v="22"/>
    <n v="0"/>
    <n v="2"/>
    <n v="10"/>
    <n v="4"/>
    <n v="3.4039484243225102"/>
    <n v="95"/>
    <n v="61"/>
    <n v="0"/>
    <x v="1"/>
    <x v="1"/>
    <d v="2024-01-01T00:00:00"/>
    <d v="2024-01-26T00:00:00"/>
    <s v="N/A"/>
    <n v="25"/>
    <s v="N/A"/>
    <x v="1"/>
    <x v="1"/>
  </r>
  <r>
    <n v="47"/>
    <n v="0"/>
    <n v="2"/>
    <n v="3"/>
    <n v="2"/>
    <n v="25.178729285193299"/>
    <n v="10"/>
    <n v="34"/>
    <n v="57"/>
    <x v="0"/>
    <x v="1"/>
    <d v="2024-01-01T00:00:00"/>
    <d v="2024-01-29T00:00:00"/>
    <s v="N/A"/>
    <n v="28"/>
    <s v="N/A"/>
    <x v="2"/>
    <x v="1"/>
  </r>
  <r>
    <n v="20"/>
    <n v="1"/>
    <n v="2"/>
    <n v="6"/>
    <n v="3"/>
    <n v="1.73235636362433"/>
    <n v="19"/>
    <n v="12"/>
    <n v="92"/>
    <x v="1"/>
    <x v="1"/>
    <d v="2024-01-01T00:00:00"/>
    <d v="2024-01-24T00:00:00"/>
    <s v="N/A"/>
    <n v="23"/>
    <s v="N/A"/>
    <x v="2"/>
    <x v="1"/>
  </r>
  <r>
    <n v="20"/>
    <n v="1"/>
    <n v="2"/>
    <n v="5"/>
    <n v="3"/>
    <n v="47.057194009042"/>
    <n v="34"/>
    <n v="34"/>
    <n v="92"/>
    <x v="1"/>
    <x v="1"/>
    <d v="2024-01-01T00:00:00"/>
    <d v="2024-01-18T00:00:00"/>
    <s v="N/A"/>
    <n v="17"/>
    <s v="N/A"/>
    <x v="2"/>
    <x v="1"/>
  </r>
  <r>
    <n v="48"/>
    <n v="1"/>
    <n v="2"/>
    <n v="9"/>
    <n v="2"/>
    <n v="49.804301209978497"/>
    <n v="52"/>
    <n v="42"/>
    <n v="82"/>
    <x v="1"/>
    <x v="1"/>
    <d v="2024-01-01T00:00:00"/>
    <d v="2024-01-31T00:00:00"/>
    <s v="N/A"/>
    <n v="30"/>
    <s v="N/A"/>
    <x v="2"/>
    <x v="1"/>
  </r>
  <r>
    <n v="38"/>
    <n v="0"/>
    <n v="2"/>
    <n v="6"/>
    <n v="4"/>
    <n v="12.114138331929199"/>
    <n v="46"/>
    <n v="1"/>
    <n v="43"/>
    <x v="1"/>
    <x v="1"/>
    <d v="2024-01-01T00:00:00"/>
    <d v="2024-02-08T00:00:00"/>
    <s v="N/A"/>
    <n v="38"/>
    <s v="N/A"/>
    <x v="2"/>
    <x v="0"/>
  </r>
  <r>
    <n v="30"/>
    <n v="0"/>
    <n v="1"/>
    <n v="4"/>
    <n v="5"/>
    <n v="11.4053017298186"/>
    <n v="74"/>
    <n v="55"/>
    <n v="5"/>
    <x v="0"/>
    <x v="0"/>
    <d v="2024-01-01T00:00:00"/>
    <d v="2024-02-12T00:00:00"/>
    <d v="2024-03-01T00:00:00"/>
    <n v="42"/>
    <n v="18"/>
    <x v="0"/>
    <x v="0"/>
  </r>
  <r>
    <n v="24"/>
    <n v="1"/>
    <n v="1"/>
    <n v="14"/>
    <n v="2"/>
    <n v="38.686008828106402"/>
    <n v="51"/>
    <n v="76"/>
    <n v="49"/>
    <x v="1"/>
    <x v="1"/>
    <d v="2024-01-01T00:00:00"/>
    <d v="2024-01-25T00:00:00"/>
    <s v="N/A"/>
    <n v="24"/>
    <s v="N/A"/>
    <x v="3"/>
    <x v="1"/>
  </r>
  <r>
    <n v="31"/>
    <n v="0"/>
    <n v="2"/>
    <n v="14"/>
    <n v="1"/>
    <n v="13.668969941466701"/>
    <n v="7"/>
    <n v="50"/>
    <n v="71"/>
    <x v="1"/>
    <x v="1"/>
    <d v="2024-01-01T00:00:00"/>
    <d v="2024-02-12T00:00:00"/>
    <s v="N/A"/>
    <n v="42"/>
    <s v="N/A"/>
    <x v="1"/>
    <x v="0"/>
  </r>
  <r>
    <n v="22"/>
    <n v="0"/>
    <n v="1"/>
    <n v="3"/>
    <n v="4"/>
    <n v="45.753827958092202"/>
    <n v="3"/>
    <n v="53"/>
    <n v="87"/>
    <x v="1"/>
    <x v="1"/>
    <d v="2024-01-01T00:00:00"/>
    <d v="2024-02-13T00:00:00"/>
    <s v="N/A"/>
    <n v="43"/>
    <s v="N/A"/>
    <x v="1"/>
    <x v="0"/>
  </r>
  <r>
    <n v="20"/>
    <n v="0"/>
    <n v="2"/>
    <n v="15"/>
    <n v="3"/>
    <n v="29.696456806149101"/>
    <n v="26"/>
    <n v="15"/>
    <n v="19"/>
    <x v="1"/>
    <x v="1"/>
    <d v="2024-01-01T00:00:00"/>
    <d v="2024-01-19T00:00:00"/>
    <s v="N/A"/>
    <n v="18"/>
    <s v="N/A"/>
    <x v="2"/>
    <x v="1"/>
  </r>
  <r>
    <n v="20"/>
    <n v="0"/>
    <n v="2"/>
    <n v="6"/>
    <n v="2"/>
    <n v="18.5388811505156"/>
    <n v="43"/>
    <n v="17"/>
    <n v="13"/>
    <x v="2"/>
    <x v="1"/>
    <d v="2024-01-01T00:00:00"/>
    <d v="2024-02-15T00:00:00"/>
    <s v="N/A"/>
    <n v="45"/>
    <s v="N/A"/>
    <x v="2"/>
    <x v="0"/>
  </r>
  <r>
    <n v="27"/>
    <n v="1"/>
    <n v="3"/>
    <n v="6"/>
    <n v="3"/>
    <n v="42.634687317470998"/>
    <n v="39"/>
    <n v="6"/>
    <n v="4"/>
    <x v="1"/>
    <x v="1"/>
    <d v="2024-01-01T00:00:00"/>
    <d v="2024-01-27T00:00:00"/>
    <s v="N/A"/>
    <n v="26"/>
    <s v="N/A"/>
    <x v="2"/>
    <x v="1"/>
  </r>
  <r>
    <n v="29"/>
    <n v="1"/>
    <n v="1"/>
    <n v="5"/>
    <n v="4"/>
    <n v="25.6703350206697"/>
    <n v="46"/>
    <n v="44"/>
    <n v="40"/>
    <x v="1"/>
    <x v="1"/>
    <d v="2024-01-01T00:00:00"/>
    <d v="2024-01-26T00:00:00"/>
    <s v="N/A"/>
    <n v="25"/>
    <s v="N/A"/>
    <x v="2"/>
    <x v="1"/>
  </r>
  <r>
    <n v="30"/>
    <n v="1"/>
    <n v="2"/>
    <n v="7"/>
    <n v="3"/>
    <n v="46.581645685423702"/>
    <n v="93"/>
    <n v="35"/>
    <n v="39"/>
    <x v="2"/>
    <x v="1"/>
    <d v="2024-01-01T00:00:00"/>
    <d v="2024-01-27T00:00:00"/>
    <s v="N/A"/>
    <n v="26"/>
    <s v="N/A"/>
    <x v="2"/>
    <x v="1"/>
  </r>
  <r>
    <n v="31"/>
    <n v="0"/>
    <n v="3"/>
    <n v="3"/>
    <n v="2"/>
    <n v="47.400711836469"/>
    <n v="43"/>
    <n v="40"/>
    <n v="33"/>
    <x v="1"/>
    <x v="1"/>
    <d v="2024-01-01T00:00:00"/>
    <d v="2024-01-24T00:00:00"/>
    <s v="N/A"/>
    <n v="23"/>
    <s v="N/A"/>
    <x v="2"/>
    <x v="1"/>
  </r>
  <r>
    <n v="48"/>
    <n v="1"/>
    <n v="2"/>
    <n v="9"/>
    <n v="4"/>
    <n v="9.2710076064204596"/>
    <n v="47"/>
    <n v="93"/>
    <n v="79"/>
    <x v="0"/>
    <x v="0"/>
    <d v="2024-01-01T00:00:00"/>
    <d v="2024-01-24T00:00:00"/>
    <d v="2024-02-15T00:00:00"/>
    <n v="23"/>
    <n v="22"/>
    <x v="0"/>
    <x v="1"/>
  </r>
  <r>
    <n v="32"/>
    <n v="1"/>
    <n v="1"/>
    <n v="4"/>
    <n v="1"/>
    <n v="1.1161703065965101"/>
    <n v="90"/>
    <n v="41"/>
    <n v="44"/>
    <x v="0"/>
    <x v="1"/>
    <d v="2024-01-01T00:00:00"/>
    <d v="2024-01-19T00:00:00"/>
    <s v="N/A"/>
    <n v="18"/>
    <s v="N/A"/>
    <x v="2"/>
    <x v="1"/>
  </r>
  <r>
    <n v="31"/>
    <n v="0"/>
    <n v="3"/>
    <n v="3"/>
    <n v="2"/>
    <n v="50.196547007120103"/>
    <n v="84"/>
    <n v="6"/>
    <n v="70"/>
    <x v="1"/>
    <x v="1"/>
    <d v="2024-01-01T00:00:00"/>
    <d v="2024-02-05T00:00:00"/>
    <s v="N/A"/>
    <n v="35"/>
    <s v="N/A"/>
    <x v="2"/>
    <x v="0"/>
  </r>
  <r>
    <n v="50"/>
    <n v="0"/>
    <n v="3"/>
    <n v="11"/>
    <n v="5"/>
    <n v="46.3068768063739"/>
    <n v="51"/>
    <n v="14"/>
    <n v="79"/>
    <x v="0"/>
    <x v="0"/>
    <d v="2024-01-01T00:00:00"/>
    <d v="2024-02-15T00:00:00"/>
    <d v="2024-03-01T00:00:00"/>
    <n v="45"/>
    <n v="15"/>
    <x v="0"/>
    <x v="0"/>
  </r>
  <r>
    <n v="33"/>
    <n v="1"/>
    <n v="2"/>
    <n v="0"/>
    <n v="2"/>
    <n v="3.7722617851920699"/>
    <n v="83"/>
    <n v="59"/>
    <n v="70"/>
    <x v="1"/>
    <x v="1"/>
    <d v="2024-01-01T00:00:00"/>
    <d v="2024-01-29T00:00:00"/>
    <s v="N/A"/>
    <n v="28"/>
    <s v="N/A"/>
    <x v="1"/>
    <x v="1"/>
  </r>
  <r>
    <n v="21"/>
    <n v="1"/>
    <n v="2"/>
    <n v="11"/>
    <n v="4"/>
    <n v="42.651713197053397"/>
    <n v="67"/>
    <n v="39"/>
    <n v="26"/>
    <x v="0"/>
    <x v="1"/>
    <d v="2024-01-01T00:00:00"/>
    <d v="2024-01-31T00:00:00"/>
    <s v="N/A"/>
    <n v="30"/>
    <s v="N/A"/>
    <x v="2"/>
    <x v="1"/>
  </r>
  <r>
    <n v="48"/>
    <n v="1"/>
    <n v="4"/>
    <n v="7"/>
    <n v="2"/>
    <n v="23.890246627960298"/>
    <n v="10"/>
    <n v="82"/>
    <n v="77"/>
    <x v="0"/>
    <x v="0"/>
    <d v="2024-01-01T00:00:00"/>
    <d v="2024-02-05T00:00:00"/>
    <d v="2024-02-15T00:00:00"/>
    <n v="35"/>
    <n v="10"/>
    <x v="0"/>
    <x v="0"/>
  </r>
  <r>
    <n v="38"/>
    <n v="1"/>
    <n v="2"/>
    <n v="0"/>
    <n v="1"/>
    <n v="13.948080251248699"/>
    <n v="76"/>
    <n v="36"/>
    <n v="77"/>
    <x v="1"/>
    <x v="1"/>
    <d v="2024-01-01T00:00:00"/>
    <d v="2024-01-26T00:00:00"/>
    <s v="N/A"/>
    <n v="25"/>
    <s v="N/A"/>
    <x v="2"/>
    <x v="1"/>
  </r>
  <r>
    <n v="37"/>
    <n v="0"/>
    <n v="2"/>
    <n v="4"/>
    <n v="1"/>
    <n v="44.937326183846402"/>
    <n v="72"/>
    <n v="65"/>
    <n v="43"/>
    <x v="2"/>
    <x v="1"/>
    <d v="2024-01-01T00:00:00"/>
    <d v="2024-01-20T00:00:00"/>
    <s v="N/A"/>
    <n v="19"/>
    <s v="N/A"/>
    <x v="1"/>
    <x v="1"/>
  </r>
  <r>
    <n v="22"/>
    <n v="1"/>
    <n v="3"/>
    <n v="14"/>
    <n v="5"/>
    <n v="10.8333616195153"/>
    <n v="3"/>
    <n v="54"/>
    <n v="32"/>
    <x v="1"/>
    <x v="1"/>
    <d v="2024-01-01T00:00:00"/>
    <d v="2024-02-08T00:00:00"/>
    <s v="N/A"/>
    <n v="38"/>
    <s v="N/A"/>
    <x v="1"/>
    <x v="0"/>
  </r>
  <r>
    <n v="42"/>
    <n v="1"/>
    <n v="2"/>
    <n v="5"/>
    <n v="3"/>
    <n v="48.3649999710033"/>
    <n v="75"/>
    <n v="76"/>
    <n v="32"/>
    <x v="2"/>
    <x v="1"/>
    <d v="2024-01-01T00:00:00"/>
    <d v="2024-02-09T00:00:00"/>
    <s v="N/A"/>
    <n v="39"/>
    <s v="N/A"/>
    <x v="3"/>
    <x v="0"/>
  </r>
  <r>
    <n v="36"/>
    <n v="0"/>
    <n v="2"/>
    <n v="5"/>
    <n v="4"/>
    <n v="11.281074384967001"/>
    <n v="72"/>
    <n v="94"/>
    <n v="43"/>
    <x v="2"/>
    <x v="1"/>
    <d v="2024-01-01T00:00:00"/>
    <d v="2024-02-06T00:00:00"/>
    <s v="N/A"/>
    <n v="36"/>
    <s v="N/A"/>
    <x v="3"/>
    <x v="0"/>
  </r>
  <r>
    <n v="45"/>
    <n v="1"/>
    <n v="2"/>
    <n v="12"/>
    <n v="4"/>
    <n v="31.684159386437099"/>
    <n v="76"/>
    <n v="79"/>
    <n v="19"/>
    <x v="0"/>
    <x v="0"/>
    <d v="2024-01-01T00:00:00"/>
    <d v="2024-01-18T00:00:00"/>
    <d v="2024-02-17T00:00:00"/>
    <n v="17"/>
    <n v="30"/>
    <x v="0"/>
    <x v="1"/>
  </r>
  <r>
    <n v="27"/>
    <n v="0"/>
    <n v="3"/>
    <n v="4"/>
    <n v="3"/>
    <n v="12.1543167264487"/>
    <n v="47"/>
    <n v="55"/>
    <n v="35"/>
    <x v="1"/>
    <x v="1"/>
    <d v="2024-01-01T00:00:00"/>
    <d v="2024-02-01T00:00:00"/>
    <s v="N/A"/>
    <n v="31"/>
    <s v="N/A"/>
    <x v="1"/>
    <x v="0"/>
  </r>
  <r>
    <n v="48"/>
    <n v="0"/>
    <n v="2"/>
    <n v="15"/>
    <n v="1"/>
    <n v="28.283433248431699"/>
    <n v="25"/>
    <n v="43"/>
    <n v="6"/>
    <x v="1"/>
    <x v="1"/>
    <d v="2024-01-01T00:00:00"/>
    <d v="2024-01-24T00:00:00"/>
    <s v="N/A"/>
    <n v="23"/>
    <s v="N/A"/>
    <x v="2"/>
    <x v="1"/>
  </r>
  <r>
    <n v="45"/>
    <n v="0"/>
    <n v="2"/>
    <n v="2"/>
    <n v="1"/>
    <n v="35.198756495757003"/>
    <n v="76"/>
    <n v="56"/>
    <n v="31"/>
    <x v="2"/>
    <x v="1"/>
    <d v="2024-01-01T00:00:00"/>
    <d v="2024-02-14T00:00:00"/>
    <s v="N/A"/>
    <n v="44"/>
    <s v="N/A"/>
    <x v="1"/>
    <x v="0"/>
  </r>
  <r>
    <n v="29"/>
    <n v="1"/>
    <n v="2"/>
    <n v="14"/>
    <n v="2"/>
    <n v="10.5113965410068"/>
    <n v="38"/>
    <n v="5"/>
    <n v="66"/>
    <x v="1"/>
    <x v="1"/>
    <d v="2024-01-01T00:00:00"/>
    <d v="2024-01-18T00:00:00"/>
    <s v="N/A"/>
    <n v="17"/>
    <s v="N/A"/>
    <x v="2"/>
    <x v="1"/>
  </r>
  <r>
    <n v="45"/>
    <n v="1"/>
    <n v="2"/>
    <n v="4"/>
    <n v="5"/>
    <n v="27.0442891350339"/>
    <n v="91"/>
    <n v="91"/>
    <n v="38"/>
    <x v="2"/>
    <x v="1"/>
    <d v="2024-01-01T00:00:00"/>
    <d v="2024-01-15T00:00:00"/>
    <s v="N/A"/>
    <n v="14"/>
    <s v="N/A"/>
    <x v="3"/>
    <x v="1"/>
  </r>
  <r>
    <n v="49"/>
    <n v="0"/>
    <n v="2"/>
    <n v="11"/>
    <n v="5"/>
    <n v="24.4529872195059"/>
    <n v="57"/>
    <n v="31"/>
    <n v="92"/>
    <x v="0"/>
    <x v="0"/>
    <d v="2024-01-01T00:00:00"/>
    <d v="2024-01-23T00:00:00"/>
    <d v="2024-02-05T00:00:00"/>
    <n v="22"/>
    <n v="13"/>
    <x v="0"/>
    <x v="1"/>
  </r>
  <r>
    <n v="21"/>
    <n v="1"/>
    <n v="3"/>
    <n v="7"/>
    <n v="5"/>
    <n v="4.5518710701670599"/>
    <n v="18"/>
    <n v="73"/>
    <n v="23"/>
    <x v="0"/>
    <x v="0"/>
    <d v="2024-01-01T00:00:00"/>
    <d v="2024-02-12T00:00:00"/>
    <d v="2024-03-08T00:00:00"/>
    <n v="42"/>
    <n v="25"/>
    <x v="0"/>
    <x v="0"/>
  </r>
  <r>
    <n v="38"/>
    <n v="1"/>
    <n v="2"/>
    <n v="13"/>
    <n v="2"/>
    <n v="41.915390883765099"/>
    <n v="87"/>
    <n v="17"/>
    <n v="85"/>
    <x v="1"/>
    <x v="1"/>
    <d v="2024-01-01T00:00:00"/>
    <d v="2024-02-15T00:00:00"/>
    <s v="N/A"/>
    <n v="45"/>
    <s v="N/A"/>
    <x v="2"/>
    <x v="0"/>
  </r>
  <r>
    <n v="28"/>
    <n v="0"/>
    <n v="1"/>
    <n v="1"/>
    <n v="5"/>
    <n v="17.784120032141999"/>
    <n v="82"/>
    <n v="67"/>
    <n v="69"/>
    <x v="1"/>
    <x v="1"/>
    <d v="2024-01-01T00:00:00"/>
    <d v="2024-01-30T00:00:00"/>
    <s v="N/A"/>
    <n v="29"/>
    <s v="N/A"/>
    <x v="1"/>
    <x v="1"/>
  </r>
  <r>
    <n v="26"/>
    <n v="0"/>
    <n v="3"/>
    <n v="15"/>
    <n v="3"/>
    <n v="29.729109877593899"/>
    <n v="76"/>
    <n v="72"/>
    <n v="87"/>
    <x v="0"/>
    <x v="0"/>
    <d v="2024-01-01T00:00:00"/>
    <d v="2024-01-20T00:00:00"/>
    <d v="2024-02-05T00:00:00"/>
    <n v="19"/>
    <n v="16"/>
    <x v="0"/>
    <x v="1"/>
  </r>
  <r>
    <n v="23"/>
    <n v="1"/>
    <n v="1"/>
    <n v="5"/>
    <n v="2"/>
    <n v="26.7392117466567"/>
    <n v="76"/>
    <n v="6"/>
    <n v="86"/>
    <x v="1"/>
    <x v="1"/>
    <d v="2024-01-01T00:00:00"/>
    <d v="2024-02-03T00:00:00"/>
    <s v="N/A"/>
    <n v="33"/>
    <s v="N/A"/>
    <x v="2"/>
    <x v="0"/>
  </r>
  <r>
    <n v="45"/>
    <n v="0"/>
    <n v="4"/>
    <n v="8"/>
    <n v="3"/>
    <n v="26.663025228522098"/>
    <n v="57"/>
    <n v="7"/>
    <n v="53"/>
    <x v="0"/>
    <x v="0"/>
    <d v="2024-01-01T00:00:00"/>
    <d v="2024-02-15T00:00:00"/>
    <d v="2024-02-23T00:00:00"/>
    <n v="45"/>
    <n v="8"/>
    <x v="0"/>
    <x v="0"/>
  </r>
  <r>
    <n v="40"/>
    <n v="1"/>
    <n v="1"/>
    <n v="7"/>
    <n v="2"/>
    <n v="6.3611197104243704"/>
    <n v="27"/>
    <n v="63"/>
    <n v="37"/>
    <x v="1"/>
    <x v="1"/>
    <d v="2024-01-01T00:00:00"/>
    <d v="2024-01-18T00:00:00"/>
    <s v="N/A"/>
    <n v="17"/>
    <s v="N/A"/>
    <x v="1"/>
    <x v="1"/>
  </r>
  <r>
    <n v="37"/>
    <n v="1"/>
    <n v="2"/>
    <n v="13"/>
    <n v="5"/>
    <n v="22.174100462466601"/>
    <n v="65"/>
    <n v="6"/>
    <n v="73"/>
    <x v="2"/>
    <x v="1"/>
    <d v="2024-01-01T00:00:00"/>
    <d v="2024-01-24T00:00:00"/>
    <s v="N/A"/>
    <n v="23"/>
    <s v="N/A"/>
    <x v="2"/>
    <x v="1"/>
  </r>
  <r>
    <n v="32"/>
    <n v="1"/>
    <n v="1"/>
    <n v="10"/>
    <n v="3"/>
    <n v="23.6183379603285"/>
    <n v="9"/>
    <n v="40"/>
    <n v="79"/>
    <x v="2"/>
    <x v="1"/>
    <d v="2024-01-01T00:00:00"/>
    <d v="2024-01-21T00:00:00"/>
    <s v="N/A"/>
    <n v="20"/>
    <s v="N/A"/>
    <x v="2"/>
    <x v="1"/>
  </r>
  <r>
    <n v="30"/>
    <n v="1"/>
    <n v="4"/>
    <n v="7"/>
    <n v="3"/>
    <n v="37.6821420182224"/>
    <n v="85"/>
    <n v="39"/>
    <n v="74"/>
    <x v="1"/>
    <x v="0"/>
    <d v="2024-01-01T00:00:00"/>
    <d v="2024-01-18T00:00:00"/>
    <d v="2024-01-26T00:00:00"/>
    <n v="17"/>
    <n v="8"/>
    <x v="0"/>
    <x v="1"/>
  </r>
  <r>
    <n v="48"/>
    <n v="0"/>
    <n v="2"/>
    <n v="7"/>
    <n v="3"/>
    <n v="43.000941596034899"/>
    <n v="76"/>
    <n v="2"/>
    <n v="31"/>
    <x v="1"/>
    <x v="1"/>
    <d v="2024-01-01T00:00:00"/>
    <d v="2024-01-28T00:00:00"/>
    <s v="N/A"/>
    <n v="27"/>
    <s v="N/A"/>
    <x v="2"/>
    <x v="1"/>
  </r>
  <r>
    <n v="43"/>
    <n v="0"/>
    <n v="1"/>
    <n v="14"/>
    <n v="2"/>
    <n v="28.2491139050009"/>
    <n v="57"/>
    <n v="16"/>
    <n v="44"/>
    <x v="1"/>
    <x v="1"/>
    <d v="2024-01-01T00:00:00"/>
    <d v="2024-02-04T00:00:00"/>
    <s v="N/A"/>
    <n v="34"/>
    <s v="N/A"/>
    <x v="2"/>
    <x v="0"/>
  </r>
  <r>
    <n v="23"/>
    <n v="0"/>
    <n v="2"/>
    <n v="12"/>
    <n v="4"/>
    <n v="5.3391477032495196"/>
    <n v="72"/>
    <n v="65"/>
    <n v="60"/>
    <x v="0"/>
    <x v="0"/>
    <d v="2024-01-01T00:00:00"/>
    <d v="2024-01-30T00:00:00"/>
    <d v="2024-02-16T00:00:00"/>
    <n v="29"/>
    <n v="17"/>
    <x v="0"/>
    <x v="1"/>
  </r>
  <r>
    <n v="44"/>
    <n v="0"/>
    <n v="1"/>
    <n v="6"/>
    <n v="5"/>
    <n v="12.8424735298273"/>
    <n v="96"/>
    <n v="78"/>
    <n v="69"/>
    <x v="1"/>
    <x v="0"/>
    <d v="2024-01-01T00:00:00"/>
    <d v="2024-02-10T00:00:00"/>
    <d v="2024-03-08T00:00:00"/>
    <n v="40"/>
    <n v="27"/>
    <x v="0"/>
    <x v="0"/>
  </r>
  <r>
    <n v="40"/>
    <n v="1"/>
    <n v="1"/>
    <n v="7"/>
    <n v="3"/>
    <n v="9.2467013426365501"/>
    <n v="13"/>
    <n v="92"/>
    <n v="87"/>
    <x v="0"/>
    <x v="0"/>
    <d v="2024-01-01T00:00:00"/>
    <d v="2024-01-29T00:00:00"/>
    <d v="2024-02-13T00:00:00"/>
    <n v="28"/>
    <n v="15"/>
    <x v="0"/>
    <x v="1"/>
  </r>
  <r>
    <n v="48"/>
    <n v="1"/>
    <n v="4"/>
    <n v="12"/>
    <n v="4"/>
    <n v="7.2307531594562304"/>
    <n v="83"/>
    <n v="51"/>
    <n v="96"/>
    <x v="2"/>
    <x v="0"/>
    <d v="2024-01-01T00:00:00"/>
    <d v="2024-02-02T00:00:00"/>
    <d v="2024-02-23T00:00:00"/>
    <n v="32"/>
    <n v="21"/>
    <x v="0"/>
    <x v="0"/>
  </r>
  <r>
    <n v="44"/>
    <n v="0"/>
    <n v="2"/>
    <n v="5"/>
    <n v="5"/>
    <n v="19.294964930890298"/>
    <n v="14"/>
    <n v="21"/>
    <n v="52"/>
    <x v="2"/>
    <x v="1"/>
    <d v="2024-01-01T00:00:00"/>
    <d v="2024-01-16T00:00:00"/>
    <s v="N/A"/>
    <n v="15"/>
    <s v="N/A"/>
    <x v="2"/>
    <x v="1"/>
  </r>
  <r>
    <n v="23"/>
    <n v="1"/>
    <n v="3"/>
    <n v="1"/>
    <n v="5"/>
    <n v="12.4696751077191"/>
    <n v="95"/>
    <n v="3"/>
    <n v="50"/>
    <x v="1"/>
    <x v="1"/>
    <d v="2024-01-01T00:00:00"/>
    <d v="2024-01-23T00:00:00"/>
    <s v="N/A"/>
    <n v="22"/>
    <s v="N/A"/>
    <x v="2"/>
    <x v="1"/>
  </r>
  <r>
    <n v="29"/>
    <n v="1"/>
    <n v="2"/>
    <n v="1"/>
    <n v="3"/>
    <n v="11.915155590575599"/>
    <n v="32"/>
    <n v="5"/>
    <n v="75"/>
    <x v="1"/>
    <x v="1"/>
    <d v="2024-01-01T00:00:00"/>
    <d v="2024-02-05T00:00:00"/>
    <s v="N/A"/>
    <n v="35"/>
    <s v="N/A"/>
    <x v="2"/>
    <x v="0"/>
  </r>
  <r>
    <n v="24"/>
    <n v="1"/>
    <n v="2"/>
    <n v="7"/>
    <n v="3"/>
    <n v="3.7346587288133799"/>
    <n v="16"/>
    <n v="37"/>
    <n v="55"/>
    <x v="0"/>
    <x v="1"/>
    <d v="2024-01-01T00:00:00"/>
    <d v="2024-01-17T00:00:00"/>
    <s v="N/A"/>
    <n v="16"/>
    <s v="N/A"/>
    <x v="2"/>
    <x v="1"/>
  </r>
  <r>
    <n v="28"/>
    <n v="0"/>
    <n v="1"/>
    <n v="10"/>
    <n v="2"/>
    <n v="1.8835022397716901"/>
    <n v="23"/>
    <n v="25"/>
    <n v="26"/>
    <x v="1"/>
    <x v="1"/>
    <d v="2024-01-01T00:00:00"/>
    <d v="2024-01-16T00:00:00"/>
    <s v="N/A"/>
    <n v="15"/>
    <s v="N/A"/>
    <x v="2"/>
    <x v="1"/>
  </r>
  <r>
    <n v="43"/>
    <n v="0"/>
    <n v="2"/>
    <n v="0"/>
    <n v="4"/>
    <n v="6.1384121324890897"/>
    <n v="29"/>
    <n v="10"/>
    <n v="37"/>
    <x v="1"/>
    <x v="1"/>
    <d v="2024-01-01T00:00:00"/>
    <d v="2024-01-29T00:00:00"/>
    <s v="N/A"/>
    <n v="28"/>
    <s v="N/A"/>
    <x v="2"/>
    <x v="1"/>
  </r>
  <r>
    <n v="22"/>
    <n v="0"/>
    <n v="3"/>
    <n v="5"/>
    <n v="4"/>
    <n v="9.6098739711816492"/>
    <n v="61"/>
    <n v="89"/>
    <n v="61"/>
    <x v="1"/>
    <x v="1"/>
    <d v="2024-01-01T00:00:00"/>
    <d v="2024-02-02T00:00:00"/>
    <s v="N/A"/>
    <n v="32"/>
    <s v="N/A"/>
    <x v="3"/>
    <x v="0"/>
  </r>
  <r>
    <n v="36"/>
    <n v="1"/>
    <n v="4"/>
    <n v="12"/>
    <n v="3"/>
    <n v="22.5491864424101"/>
    <n v="12"/>
    <n v="16"/>
    <n v="17"/>
    <x v="0"/>
    <x v="0"/>
    <d v="2024-01-01T00:00:00"/>
    <d v="2024-01-30T00:00:00"/>
    <d v="2024-02-22T00:00:00"/>
    <n v="29"/>
    <n v="23"/>
    <x v="0"/>
    <x v="1"/>
  </r>
  <r>
    <n v="22"/>
    <n v="0"/>
    <n v="2"/>
    <n v="15"/>
    <n v="5"/>
    <n v="26.526013064942202"/>
    <n v="61"/>
    <n v="87"/>
    <n v="63"/>
    <x v="2"/>
    <x v="1"/>
    <d v="2024-01-01T00:00:00"/>
    <d v="2024-02-10T00:00:00"/>
    <s v="N/A"/>
    <n v="40"/>
    <s v="N/A"/>
    <x v="3"/>
    <x v="0"/>
  </r>
  <r>
    <n v="35"/>
    <n v="0"/>
    <n v="2"/>
    <n v="5"/>
    <n v="3"/>
    <n v="8.02959590866827"/>
    <n v="46"/>
    <n v="91"/>
    <n v="76"/>
    <x v="1"/>
    <x v="1"/>
    <d v="2024-01-01T00:00:00"/>
    <d v="2024-01-29T00:00:00"/>
    <s v="N/A"/>
    <n v="28"/>
    <s v="N/A"/>
    <x v="3"/>
    <x v="1"/>
  </r>
  <r>
    <n v="23"/>
    <n v="0"/>
    <n v="2"/>
    <n v="15"/>
    <n v="5"/>
    <n v="22.239167076209299"/>
    <n v="15"/>
    <n v="98"/>
    <n v="29"/>
    <x v="2"/>
    <x v="1"/>
    <d v="2024-01-01T00:00:00"/>
    <d v="2024-01-29T00:00:00"/>
    <s v="N/A"/>
    <n v="28"/>
    <s v="N/A"/>
    <x v="3"/>
    <x v="1"/>
  </r>
  <r>
    <n v="37"/>
    <n v="0"/>
    <n v="4"/>
    <n v="10"/>
    <n v="5"/>
    <n v="18.087442116296302"/>
    <n v="65"/>
    <n v="30"/>
    <n v="48"/>
    <x v="2"/>
    <x v="1"/>
    <d v="2024-01-01T00:00:00"/>
    <d v="2024-01-20T00:00:00"/>
    <s v="N/A"/>
    <n v="19"/>
    <s v="N/A"/>
    <x v="2"/>
    <x v="1"/>
  </r>
  <r>
    <n v="36"/>
    <n v="0"/>
    <n v="2"/>
    <n v="3"/>
    <n v="3"/>
    <n v="10.171182174897799"/>
    <n v="80"/>
    <n v="76"/>
    <n v="40"/>
    <x v="2"/>
    <x v="1"/>
    <d v="2024-01-01T00:00:00"/>
    <d v="2024-01-24T00:00:00"/>
    <s v="N/A"/>
    <n v="23"/>
    <s v="N/A"/>
    <x v="3"/>
    <x v="1"/>
  </r>
  <r>
    <n v="26"/>
    <n v="0"/>
    <n v="2"/>
    <n v="11"/>
    <n v="1"/>
    <n v="1.34203740741817"/>
    <n v="95"/>
    <n v="34"/>
    <n v="12"/>
    <x v="0"/>
    <x v="0"/>
    <d v="2024-01-01T00:00:00"/>
    <d v="2024-01-30T00:00:00"/>
    <d v="2024-02-28T00:00:00"/>
    <n v="29"/>
    <n v="29"/>
    <x v="0"/>
    <x v="1"/>
  </r>
  <r>
    <n v="43"/>
    <n v="1"/>
    <n v="3"/>
    <n v="10"/>
    <n v="4"/>
    <n v="24.350893326087"/>
    <n v="42"/>
    <n v="15"/>
    <n v="33"/>
    <x v="0"/>
    <x v="0"/>
    <d v="2024-01-01T00:00:00"/>
    <d v="2024-01-25T00:00:00"/>
    <d v="2024-02-24T00:00:00"/>
    <n v="24"/>
    <n v="30"/>
    <x v="0"/>
    <x v="1"/>
  </r>
  <r>
    <n v="42"/>
    <n v="1"/>
    <n v="1"/>
    <n v="12"/>
    <n v="5"/>
    <n v="35.282587463259901"/>
    <n v="7"/>
    <n v="78"/>
    <n v="99"/>
    <x v="1"/>
    <x v="1"/>
    <d v="2024-01-01T00:00:00"/>
    <d v="2024-02-05T00:00:00"/>
    <s v="N/A"/>
    <n v="35"/>
    <s v="N/A"/>
    <x v="3"/>
    <x v="0"/>
  </r>
  <r>
    <n v="49"/>
    <n v="0"/>
    <n v="1"/>
    <n v="14"/>
    <n v="5"/>
    <n v="12.3138667071903"/>
    <n v="2"/>
    <n v="17"/>
    <n v="93"/>
    <x v="0"/>
    <x v="0"/>
    <d v="2024-01-01T00:00:00"/>
    <d v="2024-02-14T00:00:00"/>
    <d v="2024-03-13T00:00:00"/>
    <n v="44"/>
    <n v="28"/>
    <x v="0"/>
    <x v="0"/>
  </r>
  <r>
    <n v="24"/>
    <n v="0"/>
    <n v="2"/>
    <n v="10"/>
    <n v="1"/>
    <n v="7.59034149483396"/>
    <n v="11"/>
    <n v="100"/>
    <n v="24"/>
    <x v="1"/>
    <x v="1"/>
    <d v="2024-01-01T00:00:00"/>
    <d v="2024-01-17T00:00:00"/>
    <s v="N/A"/>
    <n v="16"/>
    <s v="N/A"/>
    <x v="3"/>
    <x v="1"/>
  </r>
  <r>
    <n v="31"/>
    <n v="1"/>
    <n v="4"/>
    <n v="15"/>
    <n v="2"/>
    <n v="45.352137222347999"/>
    <n v="83"/>
    <n v="61"/>
    <n v="65"/>
    <x v="1"/>
    <x v="0"/>
    <d v="2024-01-01T00:00:00"/>
    <d v="2024-01-20T00:00:00"/>
    <d v="2024-02-17T00:00:00"/>
    <n v="19"/>
    <n v="28"/>
    <x v="0"/>
    <x v="1"/>
  </r>
  <r>
    <n v="36"/>
    <n v="1"/>
    <n v="2"/>
    <n v="12"/>
    <n v="1"/>
    <n v="14.751238624389799"/>
    <n v="15"/>
    <n v="26"/>
    <n v="99"/>
    <x v="1"/>
    <x v="1"/>
    <d v="2024-01-01T00:00:00"/>
    <d v="2024-02-07T00:00:00"/>
    <s v="N/A"/>
    <n v="37"/>
    <s v="N/A"/>
    <x v="2"/>
    <x v="0"/>
  </r>
  <r>
    <n v="42"/>
    <n v="0"/>
    <n v="2"/>
    <n v="9"/>
    <n v="1"/>
    <n v="12.180630989633199"/>
    <n v="77"/>
    <n v="34"/>
    <n v="17"/>
    <x v="0"/>
    <x v="0"/>
    <d v="2024-01-01T00:00:00"/>
    <d v="2024-01-19T00:00:00"/>
    <d v="2024-02-09T00:00:00"/>
    <n v="18"/>
    <n v="21"/>
    <x v="0"/>
    <x v="1"/>
  </r>
  <r>
    <n v="32"/>
    <n v="0"/>
    <n v="2"/>
    <n v="2"/>
    <n v="5"/>
    <n v="43.854846980495701"/>
    <n v="79"/>
    <n v="44"/>
    <n v="4"/>
    <x v="2"/>
    <x v="1"/>
    <d v="2024-01-01T00:00:00"/>
    <d v="2024-02-12T00:00:00"/>
    <s v="N/A"/>
    <n v="42"/>
    <s v="N/A"/>
    <x v="2"/>
    <x v="0"/>
  </r>
  <r>
    <n v="42"/>
    <n v="0"/>
    <n v="2"/>
    <n v="12"/>
    <n v="4"/>
    <n v="41.855354958337998"/>
    <n v="58"/>
    <n v="34"/>
    <n v="18"/>
    <x v="0"/>
    <x v="1"/>
    <d v="2024-01-01T00:00:00"/>
    <d v="2024-01-22T00:00:00"/>
    <s v="N/A"/>
    <n v="21"/>
    <s v="N/A"/>
    <x v="2"/>
    <x v="1"/>
  </r>
  <r>
    <n v="44"/>
    <n v="0"/>
    <n v="2"/>
    <n v="10"/>
    <n v="1"/>
    <n v="23.417323526231598"/>
    <n v="48"/>
    <n v="27"/>
    <n v="41"/>
    <x v="1"/>
    <x v="1"/>
    <d v="2024-01-01T00:00:00"/>
    <d v="2024-01-21T00:00:00"/>
    <s v="N/A"/>
    <n v="20"/>
    <s v="N/A"/>
    <x v="2"/>
    <x v="1"/>
  </r>
  <r>
    <n v="22"/>
    <n v="1"/>
    <n v="2"/>
    <n v="2"/>
    <n v="2"/>
    <n v="25.461943071388699"/>
    <n v="62"/>
    <n v="8"/>
    <n v="17"/>
    <x v="1"/>
    <x v="1"/>
    <d v="2024-01-01T00:00:00"/>
    <d v="2024-02-03T00:00:00"/>
    <s v="N/A"/>
    <n v="33"/>
    <s v="N/A"/>
    <x v="2"/>
    <x v="0"/>
  </r>
  <r>
    <n v="28"/>
    <n v="0"/>
    <n v="2"/>
    <n v="14"/>
    <n v="3"/>
    <n v="11.887435241701001"/>
    <n v="61"/>
    <n v="75"/>
    <n v="31"/>
    <x v="1"/>
    <x v="1"/>
    <d v="2024-01-01T00:00:00"/>
    <d v="2024-02-09T00:00:00"/>
    <s v="N/A"/>
    <n v="39"/>
    <s v="N/A"/>
    <x v="3"/>
    <x v="0"/>
  </r>
  <r>
    <n v="49"/>
    <n v="0"/>
    <n v="2"/>
    <n v="14"/>
    <n v="1"/>
    <n v="4.9150835239778701"/>
    <n v="48"/>
    <n v="14"/>
    <n v="20"/>
    <x v="1"/>
    <x v="1"/>
    <d v="2024-01-01T00:00:00"/>
    <d v="2024-02-11T00:00:00"/>
    <s v="N/A"/>
    <n v="41"/>
    <s v="N/A"/>
    <x v="2"/>
    <x v="0"/>
  </r>
  <r>
    <n v="36"/>
    <n v="0"/>
    <n v="2"/>
    <n v="15"/>
    <n v="1"/>
    <n v="29.671591267783"/>
    <n v="50"/>
    <n v="20"/>
    <n v="9"/>
    <x v="0"/>
    <x v="1"/>
    <d v="2024-01-01T00:00:00"/>
    <d v="2024-02-03T00:00:00"/>
    <s v="N/A"/>
    <n v="33"/>
    <s v="N/A"/>
    <x v="2"/>
    <x v="0"/>
  </r>
  <r>
    <n v="36"/>
    <n v="0"/>
    <n v="2"/>
    <n v="12"/>
    <n v="2"/>
    <n v="5.9172460795106501"/>
    <n v="32"/>
    <n v="51"/>
    <n v="36"/>
    <x v="1"/>
    <x v="1"/>
    <d v="2024-01-01T00:00:00"/>
    <d v="2024-02-09T00:00:00"/>
    <s v="N/A"/>
    <n v="39"/>
    <s v="N/A"/>
    <x v="1"/>
    <x v="0"/>
  </r>
  <r>
    <n v="49"/>
    <n v="1"/>
    <n v="3"/>
    <n v="12"/>
    <n v="4"/>
    <n v="23.4637273478324"/>
    <n v="29"/>
    <n v="34"/>
    <n v="48"/>
    <x v="0"/>
    <x v="0"/>
    <d v="2024-01-01T00:00:00"/>
    <d v="2024-01-18T00:00:00"/>
    <d v="2024-02-08T00:00:00"/>
    <n v="17"/>
    <n v="21"/>
    <x v="0"/>
    <x v="1"/>
  </r>
  <r>
    <n v="39"/>
    <n v="1"/>
    <n v="1"/>
    <n v="0"/>
    <n v="1"/>
    <n v="48.024859925650503"/>
    <n v="58"/>
    <n v="96"/>
    <n v="85"/>
    <x v="0"/>
    <x v="0"/>
    <d v="2024-01-01T00:00:00"/>
    <d v="2024-02-10T00:00:00"/>
    <d v="2024-02-17T00:00:00"/>
    <n v="40"/>
    <n v="7"/>
    <x v="0"/>
    <x v="0"/>
  </r>
  <r>
    <n v="35"/>
    <n v="1"/>
    <n v="3"/>
    <n v="2"/>
    <n v="1"/>
    <n v="48.641719458529202"/>
    <n v="75"/>
    <n v="50"/>
    <n v="12"/>
    <x v="1"/>
    <x v="1"/>
    <d v="2024-01-01T00:00:00"/>
    <d v="2024-01-20T00:00:00"/>
    <s v="N/A"/>
    <n v="19"/>
    <s v="N/A"/>
    <x v="1"/>
    <x v="1"/>
  </r>
  <r>
    <n v="44"/>
    <n v="0"/>
    <n v="3"/>
    <n v="3"/>
    <n v="4"/>
    <n v="12.9666143273679"/>
    <n v="14"/>
    <n v="82"/>
    <n v="54"/>
    <x v="1"/>
    <x v="1"/>
    <d v="2024-01-01T00:00:00"/>
    <d v="2024-02-06T00:00:00"/>
    <s v="N/A"/>
    <n v="36"/>
    <s v="N/A"/>
    <x v="3"/>
    <x v="0"/>
  </r>
  <r>
    <n v="41"/>
    <n v="0"/>
    <n v="2"/>
    <n v="10"/>
    <n v="2"/>
    <n v="32.205671002282699"/>
    <n v="81"/>
    <n v="54"/>
    <n v="16"/>
    <x v="1"/>
    <x v="1"/>
    <d v="2024-01-01T00:00:00"/>
    <d v="2024-01-29T00:00:00"/>
    <s v="N/A"/>
    <n v="28"/>
    <s v="N/A"/>
    <x v="1"/>
    <x v="1"/>
  </r>
  <r>
    <n v="32"/>
    <n v="1"/>
    <n v="2"/>
    <n v="10"/>
    <n v="1"/>
    <n v="24.703813205392802"/>
    <n v="91"/>
    <n v="86"/>
    <n v="8"/>
    <x v="1"/>
    <x v="1"/>
    <d v="2024-01-01T00:00:00"/>
    <d v="2024-02-01T00:00:00"/>
    <s v="N/A"/>
    <n v="31"/>
    <s v="N/A"/>
    <x v="3"/>
    <x v="0"/>
  </r>
  <r>
    <n v="46"/>
    <n v="0"/>
    <n v="2"/>
    <n v="4"/>
    <n v="4"/>
    <n v="44.784256379305297"/>
    <n v="22"/>
    <n v="76"/>
    <n v="87"/>
    <x v="2"/>
    <x v="1"/>
    <d v="2024-01-01T00:00:00"/>
    <d v="2024-02-02T00:00:00"/>
    <s v="N/A"/>
    <n v="32"/>
    <s v="N/A"/>
    <x v="3"/>
    <x v="0"/>
  </r>
  <r>
    <n v="38"/>
    <n v="0"/>
    <n v="2"/>
    <n v="2"/>
    <n v="1"/>
    <n v="14.571543213802601"/>
    <n v="77"/>
    <n v="43"/>
    <n v="43"/>
    <x v="2"/>
    <x v="1"/>
    <d v="2024-01-01T00:00:00"/>
    <d v="2024-02-12T00:00:00"/>
    <s v="N/A"/>
    <n v="42"/>
    <s v="N/A"/>
    <x v="2"/>
    <x v="0"/>
  </r>
  <r>
    <n v="36"/>
    <n v="1"/>
    <n v="2"/>
    <n v="5"/>
    <n v="3"/>
    <n v="1.18512034162084"/>
    <n v="93"/>
    <n v="64"/>
    <n v="77"/>
    <x v="1"/>
    <x v="1"/>
    <d v="2024-01-01T00:00:00"/>
    <d v="2024-01-19T00:00:00"/>
    <s v="N/A"/>
    <n v="18"/>
    <s v="N/A"/>
    <x v="1"/>
    <x v="1"/>
  </r>
  <r>
    <n v="23"/>
    <n v="1"/>
    <n v="1"/>
    <n v="10"/>
    <n v="5"/>
    <n v="9.1280602965707498"/>
    <n v="96"/>
    <n v="92"/>
    <n v="45"/>
    <x v="0"/>
    <x v="0"/>
    <d v="2024-01-01T00:00:00"/>
    <d v="2024-02-11T00:00:00"/>
    <d v="2024-03-08T00:00:00"/>
    <n v="41"/>
    <n v="26"/>
    <x v="0"/>
    <x v="0"/>
  </r>
  <r>
    <n v="31"/>
    <n v="1"/>
    <n v="2"/>
    <n v="13"/>
    <n v="3"/>
    <n v="18.476140058469898"/>
    <n v="44"/>
    <n v="87"/>
    <n v="7"/>
    <x v="1"/>
    <x v="1"/>
    <d v="2024-01-01T00:00:00"/>
    <d v="2024-01-30T00:00:00"/>
    <s v="N/A"/>
    <n v="29"/>
    <s v="N/A"/>
    <x v="3"/>
    <x v="1"/>
  </r>
  <r>
    <n v="48"/>
    <n v="1"/>
    <n v="3"/>
    <n v="14"/>
    <n v="1"/>
    <n v="16.786056488524402"/>
    <n v="61"/>
    <n v="79"/>
    <n v="36"/>
    <x v="0"/>
    <x v="0"/>
    <d v="2024-01-01T00:00:00"/>
    <d v="2024-02-03T00:00:00"/>
    <d v="2024-02-13T00:00:00"/>
    <n v="33"/>
    <n v="10"/>
    <x v="0"/>
    <x v="0"/>
  </r>
  <r>
    <n v="28"/>
    <n v="0"/>
    <n v="2"/>
    <n v="11"/>
    <n v="2"/>
    <n v="40.568145956144299"/>
    <n v="78"/>
    <n v="24"/>
    <n v="18"/>
    <x v="1"/>
    <x v="1"/>
    <d v="2024-01-01T00:00:00"/>
    <d v="2024-01-19T00:00:00"/>
    <s v="N/A"/>
    <n v="18"/>
    <s v="N/A"/>
    <x v="2"/>
    <x v="1"/>
  </r>
  <r>
    <n v="38"/>
    <n v="0"/>
    <n v="3"/>
    <n v="15"/>
    <n v="5"/>
    <n v="35.028033306941801"/>
    <n v="70"/>
    <n v="86"/>
    <n v="62"/>
    <x v="1"/>
    <x v="0"/>
    <d v="2024-01-01T00:00:00"/>
    <d v="2024-02-03T00:00:00"/>
    <d v="2024-02-29T00:00:00"/>
    <n v="33"/>
    <n v="26"/>
    <x v="0"/>
    <x v="0"/>
  </r>
  <r>
    <n v="31"/>
    <n v="1"/>
    <n v="2"/>
    <n v="4"/>
    <n v="3"/>
    <n v="15.977815980744801"/>
    <n v="14"/>
    <n v="91"/>
    <n v="91"/>
    <x v="1"/>
    <x v="1"/>
    <d v="2024-01-01T00:00:00"/>
    <d v="2024-02-02T00:00:00"/>
    <s v="N/A"/>
    <n v="32"/>
    <s v="N/A"/>
    <x v="3"/>
    <x v="0"/>
  </r>
  <r>
    <n v="28"/>
    <n v="0"/>
    <n v="3"/>
    <n v="2"/>
    <n v="4"/>
    <n v="23.8871908583106"/>
    <n v="45"/>
    <n v="46"/>
    <n v="45"/>
    <x v="1"/>
    <x v="1"/>
    <d v="2024-01-01T00:00:00"/>
    <d v="2024-01-25T00:00:00"/>
    <s v="N/A"/>
    <n v="24"/>
    <s v="N/A"/>
    <x v="2"/>
    <x v="1"/>
  </r>
  <r>
    <n v="26"/>
    <n v="1"/>
    <n v="2"/>
    <n v="5"/>
    <n v="2"/>
    <n v="5.7779551979167598"/>
    <n v="63"/>
    <n v="79"/>
    <n v="93"/>
    <x v="0"/>
    <x v="0"/>
    <d v="2024-01-01T00:00:00"/>
    <d v="2024-01-31T00:00:00"/>
    <d v="2024-02-11T00:00:00"/>
    <n v="30"/>
    <n v="11"/>
    <x v="0"/>
    <x v="1"/>
  </r>
  <r>
    <n v="47"/>
    <n v="1"/>
    <n v="1"/>
    <n v="5"/>
    <n v="3"/>
    <n v="45.907322241004998"/>
    <n v="45"/>
    <n v="55"/>
    <n v="70"/>
    <x v="1"/>
    <x v="1"/>
    <d v="2024-01-01T00:00:00"/>
    <d v="2024-01-15T00:00:00"/>
    <s v="N/A"/>
    <n v="14"/>
    <s v="N/A"/>
    <x v="1"/>
    <x v="1"/>
  </r>
  <r>
    <n v="33"/>
    <n v="0"/>
    <n v="2"/>
    <n v="14"/>
    <n v="4"/>
    <n v="47.771241222426703"/>
    <n v="55"/>
    <n v="37"/>
    <n v="25"/>
    <x v="1"/>
    <x v="1"/>
    <d v="2024-01-01T00:00:00"/>
    <d v="2024-02-01T00:00:00"/>
    <s v="N/A"/>
    <n v="31"/>
    <s v="N/A"/>
    <x v="2"/>
    <x v="0"/>
  </r>
  <r>
    <n v="50"/>
    <n v="1"/>
    <n v="1"/>
    <n v="13"/>
    <n v="1"/>
    <n v="49.990176769046897"/>
    <n v="43"/>
    <n v="10"/>
    <n v="45"/>
    <x v="1"/>
    <x v="1"/>
    <d v="2024-01-01T00:00:00"/>
    <d v="2024-02-05T00:00:00"/>
    <s v="N/A"/>
    <n v="35"/>
    <s v="N/A"/>
    <x v="2"/>
    <x v="0"/>
  </r>
  <r>
    <n v="39"/>
    <n v="0"/>
    <n v="2"/>
    <n v="7"/>
    <n v="4"/>
    <n v="44.427641539291798"/>
    <n v="74"/>
    <n v="66"/>
    <n v="45"/>
    <x v="1"/>
    <x v="1"/>
    <d v="2024-01-01T00:00:00"/>
    <d v="2024-01-31T00:00:00"/>
    <s v="N/A"/>
    <n v="30"/>
    <s v="N/A"/>
    <x v="1"/>
    <x v="1"/>
  </r>
  <r>
    <n v="38"/>
    <n v="0"/>
    <n v="4"/>
    <n v="1"/>
    <n v="3"/>
    <n v="9.6980443848112703"/>
    <n v="28"/>
    <n v="14"/>
    <n v="74"/>
    <x v="1"/>
    <x v="1"/>
    <d v="2024-01-01T00:00:00"/>
    <d v="2024-02-04T00:00:00"/>
    <s v="N/A"/>
    <n v="34"/>
    <s v="N/A"/>
    <x v="2"/>
    <x v="0"/>
  </r>
  <r>
    <n v="45"/>
    <n v="0"/>
    <n v="1"/>
    <n v="0"/>
    <n v="3"/>
    <n v="3.30982416008144"/>
    <n v="94"/>
    <n v="0"/>
    <n v="13"/>
    <x v="1"/>
    <x v="1"/>
    <d v="2024-01-01T00:00:00"/>
    <d v="2024-01-24T00:00:00"/>
    <s v="N/A"/>
    <n v="23"/>
    <s v="N/A"/>
    <x v="2"/>
    <x v="1"/>
  </r>
  <r>
    <n v="34"/>
    <n v="0"/>
    <n v="2"/>
    <n v="15"/>
    <n v="1"/>
    <n v="29.979836370633699"/>
    <n v="61"/>
    <n v="6"/>
    <n v="84"/>
    <x v="1"/>
    <x v="1"/>
    <d v="2024-01-01T00:00:00"/>
    <d v="2024-01-31T00:00:00"/>
    <s v="N/A"/>
    <n v="30"/>
    <s v="N/A"/>
    <x v="2"/>
    <x v="1"/>
  </r>
  <r>
    <n v="35"/>
    <n v="1"/>
    <n v="3"/>
    <n v="3"/>
    <n v="4"/>
    <n v="46.630251344155504"/>
    <n v="88"/>
    <n v="0"/>
    <n v="62"/>
    <x v="0"/>
    <x v="0"/>
    <d v="2024-01-01T00:00:00"/>
    <d v="2024-01-19T00:00:00"/>
    <d v="2024-02-10T00:00:00"/>
    <n v="18"/>
    <n v="22"/>
    <x v="0"/>
    <x v="1"/>
  </r>
  <r>
    <n v="40"/>
    <n v="0"/>
    <n v="3"/>
    <n v="15"/>
    <n v="4"/>
    <n v="9.8675680829871393"/>
    <n v="51"/>
    <n v="48"/>
    <n v="71"/>
    <x v="0"/>
    <x v="0"/>
    <d v="2024-01-01T00:00:00"/>
    <d v="2024-02-15T00:00:00"/>
    <d v="2024-03-13T00:00:00"/>
    <n v="45"/>
    <n v="27"/>
    <x v="0"/>
    <x v="0"/>
  </r>
  <r>
    <n v="24"/>
    <n v="1"/>
    <n v="2"/>
    <n v="6"/>
    <n v="1"/>
    <n v="1.3521457312070899"/>
    <n v="53"/>
    <n v="95"/>
    <n v="2"/>
    <x v="1"/>
    <x v="1"/>
    <d v="2024-01-01T00:00:00"/>
    <d v="2024-02-15T00:00:00"/>
    <s v="N/A"/>
    <n v="45"/>
    <s v="N/A"/>
    <x v="3"/>
    <x v="0"/>
  </r>
  <r>
    <n v="22"/>
    <n v="1"/>
    <n v="2"/>
    <n v="14"/>
    <n v="4"/>
    <n v="41.274802301612198"/>
    <n v="87"/>
    <n v="72"/>
    <n v="27"/>
    <x v="0"/>
    <x v="0"/>
    <d v="2024-01-01T00:00:00"/>
    <d v="2024-01-21T00:00:00"/>
    <d v="2024-02-11T00:00:00"/>
    <n v="20"/>
    <n v="21"/>
    <x v="0"/>
    <x v="1"/>
  </r>
  <r>
    <n v="31"/>
    <n v="1"/>
    <n v="2"/>
    <n v="15"/>
    <n v="1"/>
    <n v="4.8397842143367003"/>
    <n v="56"/>
    <n v="28"/>
    <n v="28"/>
    <x v="1"/>
    <x v="1"/>
    <d v="2024-01-01T00:00:00"/>
    <d v="2024-01-19T00:00:00"/>
    <s v="N/A"/>
    <n v="18"/>
    <s v="N/A"/>
    <x v="2"/>
    <x v="1"/>
  </r>
  <r>
    <n v="44"/>
    <n v="1"/>
    <n v="2"/>
    <n v="10"/>
    <n v="2"/>
    <n v="21.6853015955015"/>
    <n v="82"/>
    <n v="25"/>
    <n v="86"/>
    <x v="1"/>
    <x v="1"/>
    <d v="2024-01-01T00:00:00"/>
    <d v="2024-02-15T00:00:00"/>
    <s v="N/A"/>
    <n v="45"/>
    <s v="N/A"/>
    <x v="2"/>
    <x v="0"/>
  </r>
  <r>
    <n v="39"/>
    <n v="0"/>
    <n v="3"/>
    <n v="9"/>
    <n v="3"/>
    <n v="34.944366859439199"/>
    <n v="65"/>
    <n v="86"/>
    <n v="17"/>
    <x v="2"/>
    <x v="1"/>
    <d v="2024-01-01T00:00:00"/>
    <d v="2024-01-16T00:00:00"/>
    <s v="N/A"/>
    <n v="15"/>
    <s v="N/A"/>
    <x v="3"/>
    <x v="1"/>
  </r>
  <r>
    <n v="46"/>
    <n v="0"/>
    <n v="4"/>
    <n v="2"/>
    <n v="2"/>
    <n v="12.839879272809"/>
    <n v="21"/>
    <n v="44"/>
    <n v="34"/>
    <x v="2"/>
    <x v="1"/>
    <d v="2024-01-01T00:00:00"/>
    <d v="2024-01-24T00:00:00"/>
    <s v="N/A"/>
    <n v="23"/>
    <s v="N/A"/>
    <x v="2"/>
    <x v="1"/>
  </r>
  <r>
    <n v="40"/>
    <n v="1"/>
    <n v="3"/>
    <n v="2"/>
    <n v="5"/>
    <n v="5.1981281723363297"/>
    <n v="19"/>
    <n v="92"/>
    <n v="76"/>
    <x v="0"/>
    <x v="0"/>
    <d v="2024-01-01T00:00:00"/>
    <d v="2024-02-11T00:00:00"/>
    <d v="2024-03-10T00:00:00"/>
    <n v="41"/>
    <n v="28"/>
    <x v="0"/>
    <x v="0"/>
  </r>
  <r>
    <n v="23"/>
    <n v="1"/>
    <n v="3"/>
    <n v="15"/>
    <n v="5"/>
    <n v="39.501061422791402"/>
    <n v="32"/>
    <n v="96"/>
    <n v="75"/>
    <x v="2"/>
    <x v="0"/>
    <d v="2024-01-01T00:00:00"/>
    <d v="2024-01-18T00:00:00"/>
    <d v="2024-02-02T00:00:00"/>
    <n v="17"/>
    <n v="15"/>
    <x v="0"/>
    <x v="1"/>
  </r>
  <r>
    <n v="40"/>
    <n v="0"/>
    <n v="1"/>
    <n v="4"/>
    <n v="5"/>
    <n v="32.508754244351998"/>
    <n v="71"/>
    <n v="70"/>
    <n v="46"/>
    <x v="1"/>
    <x v="1"/>
    <d v="2024-01-01T00:00:00"/>
    <d v="2024-02-13T00:00:00"/>
    <s v="N/A"/>
    <n v="43"/>
    <s v="N/A"/>
    <x v="3"/>
    <x v="0"/>
  </r>
  <r>
    <n v="42"/>
    <n v="1"/>
    <n v="3"/>
    <n v="4"/>
    <n v="1"/>
    <n v="50.424524224340203"/>
    <n v="24"/>
    <n v="11"/>
    <n v="4"/>
    <x v="1"/>
    <x v="1"/>
    <d v="2024-01-01T00:00:00"/>
    <d v="2024-01-18T00:00:00"/>
    <s v="N/A"/>
    <n v="17"/>
    <s v="N/A"/>
    <x v="2"/>
    <x v="1"/>
  </r>
  <r>
    <n v="35"/>
    <n v="0"/>
    <n v="3"/>
    <n v="12"/>
    <n v="4"/>
    <n v="18.215401665997899"/>
    <n v="45"/>
    <n v="94"/>
    <n v="74"/>
    <x v="0"/>
    <x v="0"/>
    <d v="2024-01-01T00:00:00"/>
    <d v="2024-01-22T00:00:00"/>
    <d v="2024-02-16T00:00:00"/>
    <n v="21"/>
    <n v="25"/>
    <x v="0"/>
    <x v="1"/>
  </r>
  <r>
    <n v="44"/>
    <n v="1"/>
    <n v="1"/>
    <n v="9"/>
    <n v="2"/>
    <n v="4.0881193145099797"/>
    <n v="72"/>
    <n v="31"/>
    <n v="58"/>
    <x v="2"/>
    <x v="1"/>
    <d v="2024-01-01T00:00:00"/>
    <d v="2024-01-29T00:00:00"/>
    <s v="N/A"/>
    <n v="28"/>
    <s v="N/A"/>
    <x v="2"/>
    <x v="1"/>
  </r>
  <r>
    <n v="26"/>
    <n v="0"/>
    <n v="3"/>
    <n v="2"/>
    <n v="2"/>
    <n v="37.717501766764698"/>
    <n v="97"/>
    <n v="19"/>
    <n v="74"/>
    <x v="0"/>
    <x v="0"/>
    <d v="2024-01-01T00:00:00"/>
    <d v="2024-02-05T00:00:00"/>
    <d v="2024-02-29T00:00:00"/>
    <n v="35"/>
    <n v="24"/>
    <x v="0"/>
    <x v="0"/>
  </r>
  <r>
    <n v="32"/>
    <n v="1"/>
    <n v="2"/>
    <n v="8"/>
    <n v="2"/>
    <n v="27.086670942662199"/>
    <n v="56"/>
    <n v="50"/>
    <n v="58"/>
    <x v="2"/>
    <x v="1"/>
    <d v="2024-01-01T00:00:00"/>
    <d v="2024-01-28T00:00:00"/>
    <s v="N/A"/>
    <n v="27"/>
    <s v="N/A"/>
    <x v="1"/>
    <x v="1"/>
  </r>
  <r>
    <n v="40"/>
    <n v="1"/>
    <n v="2"/>
    <n v="3"/>
    <n v="2"/>
    <n v="11.6601965694567"/>
    <n v="86"/>
    <n v="80"/>
    <n v="46"/>
    <x v="0"/>
    <x v="0"/>
    <d v="2024-01-01T00:00:00"/>
    <d v="2024-01-18T00:00:00"/>
    <d v="2024-02-15T00:00:00"/>
    <n v="17"/>
    <n v="28"/>
    <x v="0"/>
    <x v="1"/>
  </r>
  <r>
    <n v="29"/>
    <n v="0"/>
    <n v="3"/>
    <n v="12"/>
    <n v="5"/>
    <n v="40.0864494502379"/>
    <n v="4"/>
    <n v="35"/>
    <n v="94"/>
    <x v="1"/>
    <x v="1"/>
    <d v="2024-01-01T00:00:00"/>
    <d v="2024-01-15T00:00:00"/>
    <s v="N/A"/>
    <n v="14"/>
    <s v="N/A"/>
    <x v="2"/>
    <x v="1"/>
  </r>
  <r>
    <n v="45"/>
    <n v="1"/>
    <n v="2"/>
    <n v="12"/>
    <n v="2"/>
    <n v="11.1877742924971"/>
    <n v="54"/>
    <n v="66"/>
    <n v="94"/>
    <x v="1"/>
    <x v="1"/>
    <d v="2024-01-01T00:00:00"/>
    <d v="2024-02-03T00:00:00"/>
    <s v="N/A"/>
    <n v="33"/>
    <s v="N/A"/>
    <x v="1"/>
    <x v="0"/>
  </r>
  <r>
    <n v="26"/>
    <n v="1"/>
    <n v="1"/>
    <n v="14"/>
    <n v="4"/>
    <n v="14.033082741646799"/>
    <n v="60"/>
    <n v="0"/>
    <n v="12"/>
    <x v="0"/>
    <x v="1"/>
    <d v="2024-01-01T00:00:00"/>
    <d v="2024-02-11T00:00:00"/>
    <s v="N/A"/>
    <n v="41"/>
    <s v="N/A"/>
    <x v="2"/>
    <x v="0"/>
  </r>
  <r>
    <n v="33"/>
    <n v="0"/>
    <n v="2"/>
    <n v="2"/>
    <n v="5"/>
    <n v="5.6264277183359503"/>
    <n v="88"/>
    <n v="26"/>
    <n v="77"/>
    <x v="0"/>
    <x v="0"/>
    <d v="2024-01-01T00:00:00"/>
    <d v="2024-01-17T00:00:00"/>
    <d v="2024-02-10T00:00:00"/>
    <n v="16"/>
    <n v="24"/>
    <x v="0"/>
    <x v="1"/>
  </r>
  <r>
    <n v="50"/>
    <n v="1"/>
    <n v="2"/>
    <n v="10"/>
    <n v="2"/>
    <n v="20.9716139515427"/>
    <n v="7"/>
    <n v="39"/>
    <n v="88"/>
    <x v="1"/>
    <x v="1"/>
    <d v="2024-01-01T00:00:00"/>
    <d v="2024-01-26T00:00:00"/>
    <s v="N/A"/>
    <n v="25"/>
    <s v="N/A"/>
    <x v="2"/>
    <x v="1"/>
  </r>
  <r>
    <n v="45"/>
    <n v="0"/>
    <n v="4"/>
    <n v="1"/>
    <n v="1"/>
    <n v="21.946461196870899"/>
    <n v="15"/>
    <n v="96"/>
    <n v="32"/>
    <x v="0"/>
    <x v="0"/>
    <d v="2024-01-01T00:00:00"/>
    <d v="2024-01-16T00:00:00"/>
    <d v="2024-02-12T00:00:00"/>
    <n v="15"/>
    <n v="27"/>
    <x v="0"/>
    <x v="1"/>
  </r>
  <r>
    <n v="24"/>
    <n v="0"/>
    <n v="2"/>
    <n v="9"/>
    <n v="3"/>
    <n v="26.728089517414901"/>
    <n v="47"/>
    <n v="83"/>
    <n v="96"/>
    <x v="1"/>
    <x v="1"/>
    <d v="2024-01-01T00:00:00"/>
    <d v="2024-01-24T00:00:00"/>
    <s v="N/A"/>
    <n v="23"/>
    <s v="N/A"/>
    <x v="3"/>
    <x v="1"/>
  </r>
  <r>
    <n v="22"/>
    <n v="1"/>
    <n v="2"/>
    <n v="12"/>
    <n v="3"/>
    <n v="36.448213356188802"/>
    <n v="60"/>
    <n v="13"/>
    <n v="61"/>
    <x v="1"/>
    <x v="1"/>
    <d v="2024-01-01T00:00:00"/>
    <d v="2024-01-28T00:00:00"/>
    <s v="N/A"/>
    <n v="27"/>
    <s v="N/A"/>
    <x v="2"/>
    <x v="1"/>
  </r>
  <r>
    <n v="42"/>
    <n v="1"/>
    <n v="3"/>
    <n v="10"/>
    <n v="3"/>
    <n v="46.3050464340212"/>
    <n v="14"/>
    <n v="99"/>
    <n v="78"/>
    <x v="2"/>
    <x v="0"/>
    <d v="2024-01-01T00:00:00"/>
    <d v="2024-02-07T00:00:00"/>
    <d v="2024-02-19T00:00:00"/>
    <n v="37"/>
    <n v="12"/>
    <x v="0"/>
    <x v="0"/>
  </r>
  <r>
    <n v="48"/>
    <n v="1"/>
    <n v="2"/>
    <n v="8"/>
    <n v="5"/>
    <n v="7.8867049443904298"/>
    <n v="64"/>
    <n v="68"/>
    <n v="15"/>
    <x v="1"/>
    <x v="1"/>
    <d v="2024-01-01T00:00:00"/>
    <d v="2024-01-25T00:00:00"/>
    <s v="N/A"/>
    <n v="24"/>
    <s v="N/A"/>
    <x v="1"/>
    <x v="1"/>
  </r>
  <r>
    <n v="30"/>
    <n v="1"/>
    <n v="2"/>
    <n v="3"/>
    <n v="2"/>
    <n v="3.7174049174328498"/>
    <n v="21"/>
    <n v="86"/>
    <n v="43"/>
    <x v="0"/>
    <x v="1"/>
    <d v="2024-01-01T00:00:00"/>
    <d v="2024-02-05T00:00:00"/>
    <s v="N/A"/>
    <n v="35"/>
    <s v="N/A"/>
    <x v="3"/>
    <x v="0"/>
  </r>
  <r>
    <n v="30"/>
    <n v="1"/>
    <n v="2"/>
    <n v="15"/>
    <n v="5"/>
    <n v="1.92656167971666"/>
    <n v="2"/>
    <n v="78"/>
    <n v="57"/>
    <x v="1"/>
    <x v="1"/>
    <d v="2024-01-01T00:00:00"/>
    <d v="2024-01-30T00:00:00"/>
    <s v="N/A"/>
    <n v="29"/>
    <s v="N/A"/>
    <x v="3"/>
    <x v="1"/>
  </r>
  <r>
    <n v="37"/>
    <n v="1"/>
    <n v="3"/>
    <n v="2"/>
    <n v="4"/>
    <n v="8.1810689034408099"/>
    <n v="53"/>
    <n v="5"/>
    <n v="5"/>
    <x v="0"/>
    <x v="1"/>
    <d v="2024-01-01T00:00:00"/>
    <d v="2024-02-05T00:00:00"/>
    <s v="N/A"/>
    <n v="35"/>
    <s v="N/A"/>
    <x v="2"/>
    <x v="0"/>
  </r>
  <r>
    <n v="34"/>
    <n v="1"/>
    <n v="2"/>
    <n v="6"/>
    <n v="1"/>
    <n v="33.897474289081202"/>
    <n v="13"/>
    <n v="32"/>
    <n v="88"/>
    <x v="2"/>
    <x v="1"/>
    <d v="2024-01-01T00:00:00"/>
    <d v="2024-02-12T00:00:00"/>
    <s v="N/A"/>
    <n v="42"/>
    <s v="N/A"/>
    <x v="2"/>
    <x v="0"/>
  </r>
  <r>
    <n v="31"/>
    <n v="0"/>
    <n v="2"/>
    <n v="7"/>
    <n v="1"/>
    <n v="37.373853899824802"/>
    <n v="35"/>
    <n v="54"/>
    <n v="14"/>
    <x v="2"/>
    <x v="1"/>
    <d v="2024-01-01T00:00:00"/>
    <d v="2024-01-19T00:00:00"/>
    <s v="N/A"/>
    <n v="18"/>
    <s v="N/A"/>
    <x v="1"/>
    <x v="1"/>
  </r>
  <r>
    <n v="28"/>
    <n v="1"/>
    <n v="1"/>
    <n v="10"/>
    <n v="3"/>
    <n v="40.325285676406097"/>
    <n v="81"/>
    <n v="18"/>
    <n v="3"/>
    <x v="1"/>
    <x v="1"/>
    <d v="2024-01-01T00:00:00"/>
    <d v="2024-01-22T00:00:00"/>
    <s v="N/A"/>
    <n v="21"/>
    <s v="N/A"/>
    <x v="2"/>
    <x v="1"/>
  </r>
  <r>
    <n v="29"/>
    <n v="0"/>
    <n v="1"/>
    <n v="13"/>
    <n v="3"/>
    <n v="13.1854105952171"/>
    <n v="81"/>
    <n v="76"/>
    <n v="55"/>
    <x v="0"/>
    <x v="0"/>
    <d v="2024-01-01T00:00:00"/>
    <d v="2024-01-30T00:00:00"/>
    <d v="2024-02-15T00:00:00"/>
    <n v="29"/>
    <n v="16"/>
    <x v="0"/>
    <x v="1"/>
  </r>
  <r>
    <n v="45"/>
    <n v="1"/>
    <n v="1"/>
    <n v="1"/>
    <n v="3"/>
    <n v="16.294740663075899"/>
    <n v="66"/>
    <n v="28"/>
    <n v="63"/>
    <x v="2"/>
    <x v="1"/>
    <d v="2024-01-01T00:00:00"/>
    <d v="2024-01-25T00:00:00"/>
    <s v="N/A"/>
    <n v="24"/>
    <s v="N/A"/>
    <x v="2"/>
    <x v="1"/>
  </r>
  <r>
    <n v="31"/>
    <n v="1"/>
    <n v="1"/>
    <n v="6"/>
    <n v="2"/>
    <n v="25.156732278274902"/>
    <n v="9"/>
    <n v="60"/>
    <n v="67"/>
    <x v="2"/>
    <x v="1"/>
    <d v="2024-01-01T00:00:00"/>
    <d v="2024-02-12T00:00:00"/>
    <s v="N/A"/>
    <n v="42"/>
    <s v="N/A"/>
    <x v="1"/>
    <x v="0"/>
  </r>
  <r>
    <n v="36"/>
    <n v="0"/>
    <n v="2"/>
    <n v="11"/>
    <n v="4"/>
    <n v="4.1591548430113203"/>
    <n v="48"/>
    <n v="69"/>
    <n v="93"/>
    <x v="2"/>
    <x v="1"/>
    <d v="2024-01-01T00:00:00"/>
    <d v="2024-01-18T00:00:00"/>
    <s v="N/A"/>
    <n v="17"/>
    <s v="N/A"/>
    <x v="1"/>
    <x v="1"/>
  </r>
  <r>
    <n v="48"/>
    <n v="1"/>
    <n v="3"/>
    <n v="4"/>
    <n v="4"/>
    <n v="31.5570761605623"/>
    <n v="64"/>
    <n v="78"/>
    <n v="33"/>
    <x v="2"/>
    <x v="1"/>
    <d v="2024-01-01T00:00:00"/>
    <d v="2024-02-07T00:00:00"/>
    <s v="N/A"/>
    <n v="37"/>
    <s v="N/A"/>
    <x v="3"/>
    <x v="0"/>
  </r>
  <r>
    <n v="25"/>
    <n v="1"/>
    <n v="2"/>
    <n v="14"/>
    <n v="4"/>
    <n v="50.186751683787797"/>
    <n v="90"/>
    <n v="79"/>
    <n v="90"/>
    <x v="1"/>
    <x v="0"/>
    <d v="2024-01-01T00:00:00"/>
    <d v="2024-01-28T00:00:00"/>
    <d v="2024-02-20T00:00:00"/>
    <n v="27"/>
    <n v="23"/>
    <x v="0"/>
    <x v="1"/>
  </r>
  <r>
    <n v="26"/>
    <n v="0"/>
    <n v="3"/>
    <n v="10"/>
    <n v="4"/>
    <n v="19.040315568900098"/>
    <n v="56"/>
    <n v="23"/>
    <n v="94"/>
    <x v="0"/>
    <x v="0"/>
    <d v="2024-01-01T00:00:00"/>
    <d v="2024-02-06T00:00:00"/>
    <d v="2024-03-02T00:00:00"/>
    <n v="36"/>
    <n v="25"/>
    <x v="0"/>
    <x v="0"/>
  </r>
  <r>
    <n v="33"/>
    <n v="1"/>
    <n v="4"/>
    <n v="4"/>
    <n v="3"/>
    <n v="38.642373754569199"/>
    <n v="26"/>
    <n v="22"/>
    <n v="55"/>
    <x v="1"/>
    <x v="1"/>
    <d v="2024-01-01T00:00:00"/>
    <d v="2024-01-31T00:00:00"/>
    <s v="N/A"/>
    <n v="30"/>
    <s v="N/A"/>
    <x v="2"/>
    <x v="1"/>
  </r>
  <r>
    <n v="32"/>
    <n v="1"/>
    <n v="3"/>
    <n v="2"/>
    <n v="1"/>
    <n v="26.0016957784804"/>
    <n v="74"/>
    <n v="9"/>
    <n v="31"/>
    <x v="1"/>
    <x v="1"/>
    <d v="2024-01-01T00:00:00"/>
    <d v="2024-01-17T00:00:00"/>
    <s v="N/A"/>
    <n v="16"/>
    <s v="N/A"/>
    <x v="2"/>
    <x v="1"/>
  </r>
  <r>
    <n v="27"/>
    <n v="1"/>
    <n v="2"/>
    <n v="4"/>
    <n v="3"/>
    <n v="7.3905922180191297"/>
    <n v="4"/>
    <n v="53"/>
    <n v="8"/>
    <x v="1"/>
    <x v="1"/>
    <d v="2024-01-01T00:00:00"/>
    <d v="2024-01-23T00:00:00"/>
    <s v="N/A"/>
    <n v="22"/>
    <s v="N/A"/>
    <x v="1"/>
    <x v="1"/>
  </r>
  <r>
    <n v="29"/>
    <n v="0"/>
    <n v="2"/>
    <n v="11"/>
    <n v="4"/>
    <n v="30.1118724401293"/>
    <n v="70"/>
    <n v="40"/>
    <n v="62"/>
    <x v="1"/>
    <x v="1"/>
    <d v="2024-01-01T00:00:00"/>
    <d v="2024-01-25T00:00:00"/>
    <s v="N/A"/>
    <n v="24"/>
    <s v="N/A"/>
    <x v="2"/>
    <x v="1"/>
  </r>
  <r>
    <n v="28"/>
    <n v="1"/>
    <n v="2"/>
    <n v="1"/>
    <n v="3"/>
    <n v="15.9937134222032"/>
    <n v="82"/>
    <n v="48"/>
    <n v="71"/>
    <x v="0"/>
    <x v="0"/>
    <d v="2024-01-01T00:00:00"/>
    <d v="2024-01-15T00:00:00"/>
    <d v="2024-01-30T00:00:00"/>
    <n v="14"/>
    <n v="15"/>
    <x v="0"/>
    <x v="1"/>
  </r>
  <r>
    <n v="37"/>
    <n v="1"/>
    <n v="1"/>
    <n v="3"/>
    <n v="4"/>
    <n v="2.7201604226729099"/>
    <n v="56"/>
    <n v="16"/>
    <n v="77"/>
    <x v="1"/>
    <x v="1"/>
    <d v="2024-01-01T00:00:00"/>
    <d v="2024-01-19T00:00:00"/>
    <s v="N/A"/>
    <n v="18"/>
    <s v="N/A"/>
    <x v="2"/>
    <x v="1"/>
  </r>
  <r>
    <n v="46"/>
    <n v="1"/>
    <n v="2"/>
    <n v="5"/>
    <n v="5"/>
    <n v="32.746486505887098"/>
    <n v="92"/>
    <n v="55"/>
    <n v="32"/>
    <x v="1"/>
    <x v="1"/>
    <d v="2024-01-01T00:00:00"/>
    <d v="2024-02-12T00:00:00"/>
    <s v="N/A"/>
    <n v="42"/>
    <s v="N/A"/>
    <x v="1"/>
    <x v="0"/>
  </r>
  <r>
    <n v="45"/>
    <n v="1"/>
    <n v="4"/>
    <n v="0"/>
    <n v="1"/>
    <n v="43.946617466236297"/>
    <n v="14"/>
    <n v="44"/>
    <n v="86"/>
    <x v="0"/>
    <x v="0"/>
    <d v="2024-01-01T00:00:00"/>
    <d v="2024-01-20T00:00:00"/>
    <d v="2024-02-01T00:00:00"/>
    <n v="19"/>
    <n v="12"/>
    <x v="0"/>
    <x v="1"/>
  </r>
  <r>
    <n v="21"/>
    <n v="0"/>
    <n v="3"/>
    <n v="9"/>
    <n v="5"/>
    <n v="18.238488344993701"/>
    <n v="98"/>
    <n v="29"/>
    <n v="20"/>
    <x v="1"/>
    <x v="1"/>
    <d v="2024-01-01T00:00:00"/>
    <d v="2024-02-01T00:00:00"/>
    <s v="N/A"/>
    <n v="31"/>
    <s v="N/A"/>
    <x v="2"/>
    <x v="0"/>
  </r>
  <r>
    <n v="24"/>
    <n v="0"/>
    <n v="2"/>
    <n v="3"/>
    <n v="2"/>
    <n v="20.514777360638501"/>
    <n v="100"/>
    <n v="43"/>
    <n v="54"/>
    <x v="2"/>
    <x v="1"/>
    <d v="2024-01-01T00:00:00"/>
    <d v="2024-02-05T00:00:00"/>
    <s v="N/A"/>
    <n v="35"/>
    <s v="N/A"/>
    <x v="2"/>
    <x v="0"/>
  </r>
  <r>
    <n v="48"/>
    <n v="1"/>
    <n v="2"/>
    <n v="5"/>
    <n v="3"/>
    <n v="45.551084148360502"/>
    <n v="75"/>
    <n v="73"/>
    <n v="75"/>
    <x v="2"/>
    <x v="1"/>
    <d v="2024-01-01T00:00:00"/>
    <d v="2024-01-19T00:00:00"/>
    <s v="N/A"/>
    <n v="18"/>
    <s v="N/A"/>
    <x v="3"/>
    <x v="1"/>
  </r>
  <r>
    <n v="24"/>
    <n v="1"/>
    <n v="3"/>
    <n v="8"/>
    <n v="2"/>
    <n v="41.680440668367702"/>
    <n v="29"/>
    <n v="54"/>
    <n v="56"/>
    <x v="1"/>
    <x v="1"/>
    <d v="2024-01-01T00:00:00"/>
    <d v="2024-02-12T00:00:00"/>
    <s v="N/A"/>
    <n v="42"/>
    <s v="N/A"/>
    <x v="1"/>
    <x v="0"/>
  </r>
  <r>
    <n v="25"/>
    <n v="0"/>
    <n v="1"/>
    <n v="13"/>
    <n v="3"/>
    <n v="36.747641177588797"/>
    <n v="19"/>
    <n v="18"/>
    <n v="1"/>
    <x v="1"/>
    <x v="1"/>
    <d v="2024-01-01T00:00:00"/>
    <d v="2024-02-07T00:00:00"/>
    <s v="N/A"/>
    <n v="37"/>
    <s v="N/A"/>
    <x v="2"/>
    <x v="0"/>
  </r>
  <r>
    <n v="38"/>
    <n v="0"/>
    <n v="2"/>
    <n v="10"/>
    <n v="5"/>
    <n v="13.439853187657301"/>
    <n v="36"/>
    <n v="28"/>
    <n v="12"/>
    <x v="0"/>
    <x v="1"/>
    <d v="2024-01-01T00:00:00"/>
    <d v="2024-02-14T00:00:00"/>
    <s v="N/A"/>
    <n v="44"/>
    <s v="N/A"/>
    <x v="2"/>
    <x v="0"/>
  </r>
  <r>
    <n v="27"/>
    <n v="1"/>
    <n v="3"/>
    <n v="15"/>
    <n v="4"/>
    <n v="46.510832748332199"/>
    <n v="2"/>
    <n v="1"/>
    <n v="3"/>
    <x v="1"/>
    <x v="1"/>
    <d v="2024-01-01T00:00:00"/>
    <d v="2024-01-30T00:00:00"/>
    <s v="N/A"/>
    <n v="29"/>
    <s v="N/A"/>
    <x v="2"/>
    <x v="1"/>
  </r>
  <r>
    <n v="35"/>
    <n v="0"/>
    <n v="2"/>
    <n v="10"/>
    <n v="4"/>
    <n v="8.7207878769606495"/>
    <n v="72"/>
    <n v="35"/>
    <n v="83"/>
    <x v="1"/>
    <x v="1"/>
    <d v="2024-01-01T00:00:00"/>
    <d v="2024-01-24T00:00:00"/>
    <s v="N/A"/>
    <n v="23"/>
    <s v="N/A"/>
    <x v="2"/>
    <x v="1"/>
  </r>
  <r>
    <n v="32"/>
    <n v="1"/>
    <n v="1"/>
    <n v="12"/>
    <n v="3"/>
    <n v="32.338525970860999"/>
    <n v="40"/>
    <n v="18"/>
    <n v="49"/>
    <x v="1"/>
    <x v="1"/>
    <d v="2024-01-01T00:00:00"/>
    <d v="2024-01-16T00:00:00"/>
    <s v="N/A"/>
    <n v="15"/>
    <s v="N/A"/>
    <x v="2"/>
    <x v="1"/>
  </r>
  <r>
    <n v="20"/>
    <n v="0"/>
    <n v="2"/>
    <n v="1"/>
    <n v="4"/>
    <n v="2.4400590273259302"/>
    <n v="38"/>
    <n v="6"/>
    <n v="47"/>
    <x v="2"/>
    <x v="1"/>
    <d v="2024-01-01T00:00:00"/>
    <d v="2024-02-15T00:00:00"/>
    <s v="N/A"/>
    <n v="45"/>
    <s v="N/A"/>
    <x v="2"/>
    <x v="0"/>
  </r>
  <r>
    <n v="41"/>
    <n v="0"/>
    <n v="3"/>
    <n v="10"/>
    <n v="5"/>
    <n v="33.185990316247199"/>
    <n v="25"/>
    <n v="25"/>
    <n v="77"/>
    <x v="1"/>
    <x v="1"/>
    <d v="2024-01-01T00:00:00"/>
    <d v="2024-02-14T00:00:00"/>
    <s v="N/A"/>
    <n v="44"/>
    <s v="N/A"/>
    <x v="2"/>
    <x v="0"/>
  </r>
  <r>
    <n v="39"/>
    <n v="0"/>
    <n v="2"/>
    <n v="6"/>
    <n v="4"/>
    <n v="14.857217593667899"/>
    <n v="1"/>
    <n v="78"/>
    <n v="29"/>
    <x v="0"/>
    <x v="0"/>
    <d v="2024-01-01T00:00:00"/>
    <d v="2024-02-13T00:00:00"/>
    <d v="2024-03-12T00:00:00"/>
    <n v="43"/>
    <n v="28"/>
    <x v="0"/>
    <x v="0"/>
  </r>
  <r>
    <n v="36"/>
    <n v="0"/>
    <n v="2"/>
    <n v="5"/>
    <n v="5"/>
    <n v="23.483848859186001"/>
    <n v="22"/>
    <n v="37"/>
    <n v="28"/>
    <x v="0"/>
    <x v="1"/>
    <d v="2024-01-01T00:00:00"/>
    <d v="2024-02-11T00:00:00"/>
    <s v="N/A"/>
    <n v="41"/>
    <s v="N/A"/>
    <x v="2"/>
    <x v="0"/>
  </r>
  <r>
    <n v="50"/>
    <n v="1"/>
    <n v="2"/>
    <n v="1"/>
    <n v="2"/>
    <n v="18.263227602852599"/>
    <n v="22"/>
    <n v="2"/>
    <n v="7"/>
    <x v="1"/>
    <x v="1"/>
    <d v="2024-01-01T00:00:00"/>
    <d v="2024-02-02T00:00:00"/>
    <s v="N/A"/>
    <n v="32"/>
    <s v="N/A"/>
    <x v="2"/>
    <x v="0"/>
  </r>
  <r>
    <n v="26"/>
    <n v="0"/>
    <n v="2"/>
    <n v="7"/>
    <n v="5"/>
    <n v="9.6378378123104902"/>
    <n v="84"/>
    <n v="79"/>
    <n v="11"/>
    <x v="1"/>
    <x v="1"/>
    <d v="2024-01-01T00:00:00"/>
    <d v="2024-02-10T00:00:00"/>
    <s v="N/A"/>
    <n v="40"/>
    <s v="N/A"/>
    <x v="3"/>
    <x v="0"/>
  </r>
  <r>
    <n v="44"/>
    <n v="0"/>
    <n v="2"/>
    <n v="6"/>
    <n v="1"/>
    <n v="32.0990395046937"/>
    <n v="15"/>
    <n v="65"/>
    <n v="40"/>
    <x v="2"/>
    <x v="1"/>
    <d v="2024-01-01T00:00:00"/>
    <d v="2024-01-26T00:00:00"/>
    <s v="N/A"/>
    <n v="25"/>
    <s v="N/A"/>
    <x v="1"/>
    <x v="1"/>
  </r>
  <r>
    <n v="32"/>
    <n v="1"/>
    <n v="3"/>
    <n v="10"/>
    <n v="1"/>
    <n v="45.098777757030298"/>
    <n v="8"/>
    <n v="94"/>
    <n v="25"/>
    <x v="1"/>
    <x v="1"/>
    <d v="2024-01-01T00:00:00"/>
    <d v="2024-02-03T00:00:00"/>
    <s v="N/A"/>
    <n v="33"/>
    <s v="N/A"/>
    <x v="3"/>
    <x v="0"/>
  </r>
  <r>
    <n v="23"/>
    <n v="0"/>
    <n v="1"/>
    <n v="4"/>
    <n v="1"/>
    <n v="48.954212114120097"/>
    <n v="12"/>
    <n v="91"/>
    <n v="49"/>
    <x v="1"/>
    <x v="1"/>
    <d v="2024-01-01T00:00:00"/>
    <d v="2024-02-01T00:00:00"/>
    <s v="N/A"/>
    <n v="31"/>
    <s v="N/A"/>
    <x v="3"/>
    <x v="0"/>
  </r>
  <r>
    <n v="23"/>
    <n v="0"/>
    <n v="3"/>
    <n v="11"/>
    <n v="3"/>
    <n v="10.617318157695699"/>
    <n v="27"/>
    <n v="70"/>
    <n v="1"/>
    <x v="1"/>
    <x v="1"/>
    <d v="2024-01-01T00:00:00"/>
    <d v="2024-01-23T00:00:00"/>
    <s v="N/A"/>
    <n v="22"/>
    <s v="N/A"/>
    <x v="3"/>
    <x v="1"/>
  </r>
  <r>
    <n v="25"/>
    <n v="1"/>
    <n v="1"/>
    <n v="4"/>
    <n v="3"/>
    <n v="36.868638703148598"/>
    <n v="26"/>
    <n v="93"/>
    <n v="54"/>
    <x v="1"/>
    <x v="1"/>
    <d v="2024-01-01T00:00:00"/>
    <d v="2024-01-16T00:00:00"/>
    <s v="N/A"/>
    <n v="15"/>
    <s v="N/A"/>
    <x v="3"/>
    <x v="1"/>
  </r>
  <r>
    <n v="47"/>
    <n v="0"/>
    <n v="2"/>
    <n v="6"/>
    <n v="3"/>
    <n v="34.216968330284097"/>
    <n v="50"/>
    <n v="42"/>
    <n v="55"/>
    <x v="1"/>
    <x v="1"/>
    <d v="2024-01-01T00:00:00"/>
    <d v="2024-02-01T00:00:00"/>
    <s v="N/A"/>
    <n v="31"/>
    <s v="N/A"/>
    <x v="2"/>
    <x v="0"/>
  </r>
  <r>
    <n v="50"/>
    <n v="1"/>
    <n v="1"/>
    <n v="8"/>
    <n v="5"/>
    <n v="18.168889478728602"/>
    <n v="63"/>
    <n v="61"/>
    <n v="13"/>
    <x v="1"/>
    <x v="1"/>
    <d v="2024-01-01T00:00:00"/>
    <d v="2024-02-03T00:00:00"/>
    <s v="N/A"/>
    <n v="33"/>
    <s v="N/A"/>
    <x v="1"/>
    <x v="0"/>
  </r>
  <r>
    <n v="38"/>
    <n v="1"/>
    <n v="2"/>
    <n v="10"/>
    <n v="3"/>
    <n v="1.9549599676862901"/>
    <n v="51"/>
    <n v="70"/>
    <n v="5"/>
    <x v="1"/>
    <x v="1"/>
    <d v="2024-01-01T00:00:00"/>
    <d v="2024-01-31T00:00:00"/>
    <s v="N/A"/>
    <n v="30"/>
    <s v="N/A"/>
    <x v="3"/>
    <x v="1"/>
  </r>
  <r>
    <n v="48"/>
    <n v="1"/>
    <n v="2"/>
    <n v="14"/>
    <n v="2"/>
    <n v="35.489562365643302"/>
    <n v="80"/>
    <n v="99"/>
    <n v="94"/>
    <x v="0"/>
    <x v="0"/>
    <d v="2024-01-01T00:00:00"/>
    <d v="2024-02-05T00:00:00"/>
    <d v="2024-02-15T00:00:00"/>
    <n v="35"/>
    <n v="10"/>
    <x v="0"/>
    <x v="0"/>
  </r>
  <r>
    <n v="31"/>
    <n v="1"/>
    <n v="2"/>
    <n v="8"/>
    <n v="1"/>
    <n v="48.274743027974999"/>
    <n v="37"/>
    <n v="92"/>
    <n v="80"/>
    <x v="2"/>
    <x v="1"/>
    <d v="2024-01-01T00:00:00"/>
    <d v="2024-02-03T00:00:00"/>
    <s v="N/A"/>
    <n v="33"/>
    <s v="N/A"/>
    <x v="3"/>
    <x v="0"/>
  </r>
  <r>
    <n v="41"/>
    <n v="0"/>
    <n v="1"/>
    <n v="8"/>
    <n v="5"/>
    <n v="32.606006095782497"/>
    <n v="99"/>
    <n v="23"/>
    <n v="88"/>
    <x v="1"/>
    <x v="1"/>
    <d v="2024-01-01T00:00:00"/>
    <d v="2024-02-09T00:00:00"/>
    <s v="N/A"/>
    <n v="39"/>
    <s v="N/A"/>
    <x v="2"/>
    <x v="0"/>
  </r>
  <r>
    <n v="26"/>
    <n v="1"/>
    <n v="2"/>
    <n v="5"/>
    <n v="1"/>
    <n v="22.764636209381699"/>
    <n v="64"/>
    <n v="38"/>
    <n v="60"/>
    <x v="0"/>
    <x v="1"/>
    <d v="2024-01-01T00:00:00"/>
    <d v="2024-02-10T00:00:00"/>
    <s v="N/A"/>
    <n v="40"/>
    <s v="N/A"/>
    <x v="2"/>
    <x v="0"/>
  </r>
  <r>
    <n v="46"/>
    <n v="0"/>
    <n v="1"/>
    <n v="9"/>
    <n v="3"/>
    <n v="27.2576947055814"/>
    <n v="17"/>
    <n v="67"/>
    <n v="95"/>
    <x v="0"/>
    <x v="0"/>
    <d v="2024-01-01T00:00:00"/>
    <d v="2024-01-31T00:00:00"/>
    <d v="2024-03-01T00:00:00"/>
    <n v="30"/>
    <n v="30"/>
    <x v="0"/>
    <x v="1"/>
  </r>
  <r>
    <n v="29"/>
    <n v="0"/>
    <n v="3"/>
    <n v="5"/>
    <n v="5"/>
    <n v="10.9814403829958"/>
    <n v="62"/>
    <n v="92"/>
    <n v="11"/>
    <x v="0"/>
    <x v="0"/>
    <d v="2024-01-01T00:00:00"/>
    <d v="2024-01-30T00:00:00"/>
    <d v="2024-02-08T00:00:00"/>
    <n v="29"/>
    <n v="9"/>
    <x v="0"/>
    <x v="1"/>
  </r>
  <r>
    <n v="45"/>
    <n v="0"/>
    <n v="4"/>
    <n v="2"/>
    <n v="4"/>
    <n v="38.527208187686803"/>
    <n v="50"/>
    <n v="43"/>
    <n v="12"/>
    <x v="1"/>
    <x v="1"/>
    <d v="2024-01-01T00:00:00"/>
    <d v="2024-01-28T00:00:00"/>
    <s v="N/A"/>
    <n v="27"/>
    <s v="N/A"/>
    <x v="2"/>
    <x v="1"/>
  </r>
  <r>
    <n v="38"/>
    <n v="0"/>
    <n v="2"/>
    <n v="0"/>
    <n v="2"/>
    <n v="38.320991500492397"/>
    <n v="8"/>
    <n v="4"/>
    <n v="18"/>
    <x v="0"/>
    <x v="1"/>
    <d v="2024-01-01T00:00:00"/>
    <d v="2024-02-01T00:00:00"/>
    <s v="N/A"/>
    <n v="31"/>
    <s v="N/A"/>
    <x v="2"/>
    <x v="0"/>
  </r>
  <r>
    <n v="26"/>
    <n v="0"/>
    <n v="2"/>
    <n v="15"/>
    <n v="3"/>
    <n v="8.2758650193712402"/>
    <n v="12"/>
    <n v="54"/>
    <n v="43"/>
    <x v="0"/>
    <x v="0"/>
    <d v="2024-01-01T00:00:00"/>
    <d v="2024-01-21T00:00:00"/>
    <d v="2024-02-03T00:00:00"/>
    <n v="20"/>
    <n v="13"/>
    <x v="0"/>
    <x v="1"/>
  </r>
  <r>
    <n v="49"/>
    <n v="0"/>
    <n v="2"/>
    <n v="6"/>
    <n v="3"/>
    <n v="44.898919124982903"/>
    <n v="39"/>
    <n v="92"/>
    <n v="88"/>
    <x v="1"/>
    <x v="1"/>
    <d v="2024-01-01T00:00:00"/>
    <d v="2024-02-10T00:00:00"/>
    <s v="N/A"/>
    <n v="40"/>
    <s v="N/A"/>
    <x v="3"/>
    <x v="0"/>
  </r>
  <r>
    <n v="22"/>
    <n v="0"/>
    <n v="1"/>
    <n v="3"/>
    <n v="2"/>
    <n v="14.4594869736652"/>
    <n v="54"/>
    <n v="29"/>
    <n v="94"/>
    <x v="1"/>
    <x v="1"/>
    <d v="2024-01-01T00:00:00"/>
    <d v="2024-02-01T00:00:00"/>
    <s v="N/A"/>
    <n v="31"/>
    <s v="N/A"/>
    <x v="2"/>
    <x v="0"/>
  </r>
  <r>
    <n v="32"/>
    <n v="0"/>
    <n v="2"/>
    <n v="0"/>
    <n v="2"/>
    <n v="50.112803046830699"/>
    <n v="78"/>
    <n v="28"/>
    <n v="58"/>
    <x v="0"/>
    <x v="1"/>
    <d v="2024-01-01T00:00:00"/>
    <d v="2024-01-29T00:00:00"/>
    <s v="N/A"/>
    <n v="28"/>
    <s v="N/A"/>
    <x v="2"/>
    <x v="1"/>
  </r>
  <r>
    <n v="32"/>
    <n v="0"/>
    <n v="3"/>
    <n v="14"/>
    <n v="4"/>
    <n v="20.1451507018622"/>
    <n v="42"/>
    <n v="25"/>
    <n v="36"/>
    <x v="1"/>
    <x v="1"/>
    <d v="2024-01-01T00:00:00"/>
    <d v="2024-01-27T00:00:00"/>
    <s v="N/A"/>
    <n v="26"/>
    <s v="N/A"/>
    <x v="2"/>
    <x v="1"/>
  </r>
  <r>
    <n v="37"/>
    <n v="0"/>
    <n v="2"/>
    <n v="7"/>
    <n v="3"/>
    <n v="9.8942029367249802"/>
    <n v="43"/>
    <n v="82"/>
    <n v="24"/>
    <x v="1"/>
    <x v="1"/>
    <d v="2024-01-01T00:00:00"/>
    <d v="2024-01-25T00:00:00"/>
    <s v="N/A"/>
    <n v="24"/>
    <s v="N/A"/>
    <x v="3"/>
    <x v="1"/>
  </r>
  <r>
    <n v="47"/>
    <n v="1"/>
    <n v="1"/>
    <n v="11"/>
    <n v="3"/>
    <n v="18.586005567282601"/>
    <n v="67"/>
    <n v="25"/>
    <n v="15"/>
    <x v="2"/>
    <x v="1"/>
    <d v="2024-01-01T00:00:00"/>
    <d v="2024-02-15T00:00:00"/>
    <s v="N/A"/>
    <n v="45"/>
    <s v="N/A"/>
    <x v="2"/>
    <x v="0"/>
  </r>
  <r>
    <n v="49"/>
    <n v="1"/>
    <n v="3"/>
    <n v="5"/>
    <n v="1"/>
    <n v="23.0090164348596"/>
    <n v="32"/>
    <n v="36"/>
    <n v="37"/>
    <x v="1"/>
    <x v="1"/>
    <d v="2024-01-01T00:00:00"/>
    <d v="2024-02-07T00:00:00"/>
    <s v="N/A"/>
    <n v="37"/>
    <s v="N/A"/>
    <x v="2"/>
    <x v="0"/>
  </r>
  <r>
    <n v="45"/>
    <n v="1"/>
    <n v="2"/>
    <n v="5"/>
    <n v="5"/>
    <n v="4.4653886519147399"/>
    <n v="23"/>
    <n v="90"/>
    <n v="42"/>
    <x v="0"/>
    <x v="1"/>
    <d v="2024-01-01T00:00:00"/>
    <d v="2024-01-22T00:00:00"/>
    <s v="N/A"/>
    <n v="21"/>
    <s v="N/A"/>
    <x v="3"/>
    <x v="1"/>
  </r>
  <r>
    <n v="39"/>
    <n v="0"/>
    <n v="3"/>
    <n v="1"/>
    <n v="5"/>
    <n v="29.9109190611644"/>
    <n v="35"/>
    <n v="93"/>
    <n v="86"/>
    <x v="1"/>
    <x v="1"/>
    <d v="2024-01-01T00:00:00"/>
    <d v="2024-02-03T00:00:00"/>
    <s v="N/A"/>
    <n v="33"/>
    <s v="N/A"/>
    <x v="3"/>
    <x v="0"/>
  </r>
  <r>
    <n v="47"/>
    <n v="1"/>
    <n v="2"/>
    <n v="14"/>
    <n v="1"/>
    <n v="30.881621993444998"/>
    <n v="9"/>
    <n v="52"/>
    <n v="13"/>
    <x v="1"/>
    <x v="1"/>
    <d v="2024-01-01T00:00:00"/>
    <d v="2024-01-25T00:00:00"/>
    <s v="N/A"/>
    <n v="24"/>
    <s v="N/A"/>
    <x v="1"/>
    <x v="1"/>
  </r>
  <r>
    <n v="27"/>
    <n v="1"/>
    <n v="2"/>
    <n v="0"/>
    <n v="5"/>
    <n v="37.946522767473603"/>
    <n v="99"/>
    <n v="29"/>
    <n v="5"/>
    <x v="0"/>
    <x v="1"/>
    <d v="2024-01-01T00:00:00"/>
    <d v="2024-01-17T00:00:00"/>
    <s v="N/A"/>
    <n v="16"/>
    <s v="N/A"/>
    <x v="2"/>
    <x v="1"/>
  </r>
  <r>
    <n v="48"/>
    <n v="1"/>
    <n v="1"/>
    <n v="12"/>
    <n v="2"/>
    <n v="2.4584946145371598"/>
    <n v="19"/>
    <n v="2"/>
    <n v="88"/>
    <x v="2"/>
    <x v="1"/>
    <d v="2024-01-01T00:00:00"/>
    <d v="2024-01-16T00:00:00"/>
    <s v="N/A"/>
    <n v="15"/>
    <s v="N/A"/>
    <x v="2"/>
    <x v="1"/>
  </r>
  <r>
    <n v="50"/>
    <n v="0"/>
    <n v="1"/>
    <n v="13"/>
    <n v="5"/>
    <n v="28.0619107216915"/>
    <n v="74"/>
    <n v="42"/>
    <n v="22"/>
    <x v="1"/>
    <x v="1"/>
    <d v="2024-01-01T00:00:00"/>
    <d v="2024-01-15T00:00:00"/>
    <s v="N/A"/>
    <n v="14"/>
    <s v="N/A"/>
    <x v="2"/>
    <x v="1"/>
  </r>
  <r>
    <n v="28"/>
    <n v="0"/>
    <n v="4"/>
    <n v="13"/>
    <n v="5"/>
    <n v="3.6453716635332101"/>
    <n v="11"/>
    <n v="6"/>
    <n v="59"/>
    <x v="2"/>
    <x v="1"/>
    <d v="2024-01-01T00:00:00"/>
    <d v="2024-02-07T00:00:00"/>
    <s v="N/A"/>
    <n v="37"/>
    <s v="N/A"/>
    <x v="2"/>
    <x v="0"/>
  </r>
  <r>
    <n v="26"/>
    <n v="0"/>
    <n v="2"/>
    <n v="1"/>
    <n v="1"/>
    <n v="36.0572109983326"/>
    <n v="61"/>
    <n v="48"/>
    <n v="11"/>
    <x v="1"/>
    <x v="1"/>
    <d v="2024-01-01T00:00:00"/>
    <d v="2024-01-27T00:00:00"/>
    <s v="N/A"/>
    <n v="26"/>
    <s v="N/A"/>
    <x v="2"/>
    <x v="1"/>
  </r>
  <r>
    <n v="20"/>
    <n v="0"/>
    <n v="4"/>
    <n v="3"/>
    <n v="4"/>
    <n v="3.7863992850492201"/>
    <n v="17"/>
    <n v="72"/>
    <n v="12"/>
    <x v="1"/>
    <x v="1"/>
    <d v="2024-01-01T00:00:00"/>
    <d v="2024-02-09T00:00:00"/>
    <s v="N/A"/>
    <n v="39"/>
    <s v="N/A"/>
    <x v="3"/>
    <x v="0"/>
  </r>
  <r>
    <n v="22"/>
    <n v="1"/>
    <n v="2"/>
    <n v="1"/>
    <n v="5"/>
    <n v="46.586392417081598"/>
    <n v="93"/>
    <n v="40"/>
    <n v="99"/>
    <x v="1"/>
    <x v="1"/>
    <d v="2024-01-01T00:00:00"/>
    <d v="2024-01-30T00:00:00"/>
    <s v="N/A"/>
    <n v="29"/>
    <s v="N/A"/>
    <x v="2"/>
    <x v="1"/>
  </r>
  <r>
    <n v="32"/>
    <n v="1"/>
    <n v="1"/>
    <n v="15"/>
    <n v="5"/>
    <n v="36.104128344224797"/>
    <n v="100"/>
    <n v="76"/>
    <n v="97"/>
    <x v="1"/>
    <x v="0"/>
    <d v="2024-01-01T00:00:00"/>
    <d v="2024-02-08T00:00:00"/>
    <d v="2024-02-20T00:00:00"/>
    <n v="38"/>
    <n v="12"/>
    <x v="0"/>
    <x v="0"/>
  </r>
  <r>
    <n v="47"/>
    <n v="1"/>
    <n v="1"/>
    <n v="0"/>
    <n v="4"/>
    <n v="26.369488254257799"/>
    <n v="62"/>
    <n v="78"/>
    <n v="5"/>
    <x v="1"/>
    <x v="1"/>
    <d v="2024-01-01T00:00:00"/>
    <d v="2024-01-28T00:00:00"/>
    <s v="N/A"/>
    <n v="27"/>
    <s v="N/A"/>
    <x v="3"/>
    <x v="1"/>
  </r>
  <r>
    <n v="49"/>
    <n v="1"/>
    <n v="2"/>
    <n v="6"/>
    <n v="1"/>
    <n v="23.075196164058699"/>
    <n v="83"/>
    <n v="53"/>
    <n v="62"/>
    <x v="2"/>
    <x v="0"/>
    <d v="2024-01-01T00:00:00"/>
    <d v="2024-02-03T00:00:00"/>
    <d v="2024-02-22T00:00:00"/>
    <n v="33"/>
    <n v="19"/>
    <x v="0"/>
    <x v="0"/>
  </r>
  <r>
    <n v="44"/>
    <n v="0"/>
    <n v="4"/>
    <n v="10"/>
    <n v="4"/>
    <n v="7.5336315206631097"/>
    <n v="24"/>
    <n v="68"/>
    <n v="37"/>
    <x v="1"/>
    <x v="1"/>
    <d v="2024-01-01T00:00:00"/>
    <d v="2024-01-28T00:00:00"/>
    <s v="N/A"/>
    <n v="27"/>
    <s v="N/A"/>
    <x v="1"/>
    <x v="1"/>
  </r>
  <r>
    <n v="50"/>
    <n v="0"/>
    <n v="2"/>
    <n v="10"/>
    <n v="1"/>
    <n v="15.5499694782331"/>
    <n v="11"/>
    <n v="92"/>
    <n v="49"/>
    <x v="2"/>
    <x v="1"/>
    <d v="2024-01-01T00:00:00"/>
    <d v="2024-02-14T00:00:00"/>
    <s v="N/A"/>
    <n v="44"/>
    <s v="N/A"/>
    <x v="3"/>
    <x v="0"/>
  </r>
  <r>
    <n v="47"/>
    <n v="0"/>
    <n v="2"/>
    <n v="14"/>
    <n v="2"/>
    <n v="44.447955251044803"/>
    <n v="20"/>
    <n v="98"/>
    <n v="51"/>
    <x v="2"/>
    <x v="1"/>
    <d v="2024-01-01T00:00:00"/>
    <d v="2024-02-08T00:00:00"/>
    <s v="N/A"/>
    <n v="38"/>
    <s v="N/A"/>
    <x v="3"/>
    <x v="0"/>
  </r>
  <r>
    <n v="36"/>
    <n v="1"/>
    <n v="2"/>
    <n v="11"/>
    <n v="1"/>
    <n v="46.222640578124697"/>
    <n v="24"/>
    <n v="90"/>
    <n v="39"/>
    <x v="2"/>
    <x v="1"/>
    <d v="2024-01-01T00:00:00"/>
    <d v="2024-01-16T00:00:00"/>
    <s v="N/A"/>
    <n v="15"/>
    <s v="N/A"/>
    <x v="3"/>
    <x v="1"/>
  </r>
  <r>
    <n v="44"/>
    <n v="0"/>
    <n v="1"/>
    <n v="7"/>
    <n v="2"/>
    <n v="1.0373854185265501"/>
    <n v="10"/>
    <n v="26"/>
    <n v="7"/>
    <x v="1"/>
    <x v="1"/>
    <d v="2024-01-01T00:00:00"/>
    <d v="2024-01-15T00:00:00"/>
    <s v="N/A"/>
    <n v="14"/>
    <s v="N/A"/>
    <x v="2"/>
    <x v="1"/>
  </r>
  <r>
    <n v="43"/>
    <n v="0"/>
    <n v="2"/>
    <n v="5"/>
    <n v="2"/>
    <n v="30.7068195738775"/>
    <n v="63"/>
    <n v="7"/>
    <n v="60"/>
    <x v="1"/>
    <x v="1"/>
    <d v="2024-01-01T00:00:00"/>
    <d v="2024-01-20T00:00:00"/>
    <s v="N/A"/>
    <n v="19"/>
    <s v="N/A"/>
    <x v="2"/>
    <x v="1"/>
  </r>
  <r>
    <n v="20"/>
    <n v="1"/>
    <n v="1"/>
    <n v="3"/>
    <n v="1"/>
    <n v="36.9650304512556"/>
    <n v="72"/>
    <n v="31"/>
    <n v="7"/>
    <x v="0"/>
    <x v="1"/>
    <d v="2024-01-01T00:00:00"/>
    <d v="2024-02-11T00:00:00"/>
    <s v="N/A"/>
    <n v="41"/>
    <s v="N/A"/>
    <x v="2"/>
    <x v="0"/>
  </r>
  <r>
    <n v="25"/>
    <n v="1"/>
    <n v="3"/>
    <n v="13"/>
    <n v="3"/>
    <n v="31.937349122880299"/>
    <n v="49"/>
    <n v="83"/>
    <n v="96"/>
    <x v="1"/>
    <x v="0"/>
    <d v="2024-01-01T00:00:00"/>
    <d v="2024-02-12T00:00:00"/>
    <d v="2024-03-03T00:00:00"/>
    <n v="42"/>
    <n v="20"/>
    <x v="0"/>
    <x v="0"/>
  </r>
  <r>
    <n v="40"/>
    <n v="0"/>
    <n v="2"/>
    <n v="5"/>
    <n v="1"/>
    <n v="5.0839882433176902"/>
    <n v="61"/>
    <n v="63"/>
    <n v="33"/>
    <x v="0"/>
    <x v="1"/>
    <d v="2024-01-01T00:00:00"/>
    <d v="2024-02-07T00:00:00"/>
    <s v="N/A"/>
    <n v="37"/>
    <s v="N/A"/>
    <x v="1"/>
    <x v="0"/>
  </r>
  <r>
    <n v="25"/>
    <n v="0"/>
    <n v="2"/>
    <n v="2"/>
    <n v="5"/>
    <n v="11.886244939945099"/>
    <n v="88"/>
    <n v="9"/>
    <n v="78"/>
    <x v="0"/>
    <x v="0"/>
    <d v="2024-01-01T00:00:00"/>
    <d v="2024-01-24T00:00:00"/>
    <d v="2024-02-23T00:00:00"/>
    <n v="23"/>
    <n v="30"/>
    <x v="0"/>
    <x v="1"/>
  </r>
  <r>
    <n v="45"/>
    <n v="0"/>
    <n v="2"/>
    <n v="11"/>
    <n v="5"/>
    <n v="13.5170133690693"/>
    <n v="98"/>
    <n v="12"/>
    <n v="99"/>
    <x v="0"/>
    <x v="0"/>
    <d v="2024-01-01T00:00:00"/>
    <d v="2024-01-30T00:00:00"/>
    <d v="2024-02-08T00:00:00"/>
    <n v="29"/>
    <n v="9"/>
    <x v="0"/>
    <x v="1"/>
  </r>
  <r>
    <n v="31"/>
    <n v="0"/>
    <n v="2"/>
    <n v="7"/>
    <n v="3"/>
    <n v="42.586231565254401"/>
    <n v="95"/>
    <n v="62"/>
    <n v="59"/>
    <x v="2"/>
    <x v="1"/>
    <d v="2024-01-01T00:00:00"/>
    <d v="2024-01-31T00:00:00"/>
    <s v="N/A"/>
    <n v="30"/>
    <s v="N/A"/>
    <x v="1"/>
    <x v="1"/>
  </r>
  <r>
    <n v="32"/>
    <n v="0"/>
    <n v="4"/>
    <n v="9"/>
    <n v="2"/>
    <n v="24.159971815445999"/>
    <n v="48"/>
    <n v="92"/>
    <n v="56"/>
    <x v="2"/>
    <x v="1"/>
    <d v="2024-01-01T00:00:00"/>
    <d v="2024-02-13T00:00:00"/>
    <s v="N/A"/>
    <n v="43"/>
    <s v="N/A"/>
    <x v="3"/>
    <x v="0"/>
  </r>
  <r>
    <n v="32"/>
    <n v="0"/>
    <n v="2"/>
    <n v="13"/>
    <n v="3"/>
    <n v="25.341410597061799"/>
    <n v="13"/>
    <n v="34"/>
    <n v="98"/>
    <x v="1"/>
    <x v="1"/>
    <d v="2024-01-01T00:00:00"/>
    <d v="2024-01-21T00:00:00"/>
    <s v="N/A"/>
    <n v="20"/>
    <s v="N/A"/>
    <x v="2"/>
    <x v="1"/>
  </r>
  <r>
    <n v="48"/>
    <n v="1"/>
    <n v="1"/>
    <n v="12"/>
    <n v="5"/>
    <n v="47.744652327725397"/>
    <n v="0"/>
    <n v="60"/>
    <n v="45"/>
    <x v="1"/>
    <x v="1"/>
    <d v="2024-01-01T00:00:00"/>
    <d v="2024-01-16T00:00:00"/>
    <s v="N/A"/>
    <n v="15"/>
    <s v="N/A"/>
    <x v="1"/>
    <x v="1"/>
  </r>
  <r>
    <n v="34"/>
    <n v="1"/>
    <n v="2"/>
    <n v="12"/>
    <n v="3"/>
    <n v="32.8542944427357"/>
    <n v="80"/>
    <n v="53"/>
    <n v="21"/>
    <x v="1"/>
    <x v="1"/>
    <d v="2024-01-01T00:00:00"/>
    <d v="2024-02-04T00:00:00"/>
    <s v="N/A"/>
    <n v="34"/>
    <s v="N/A"/>
    <x v="1"/>
    <x v="0"/>
  </r>
  <r>
    <n v="40"/>
    <n v="1"/>
    <n v="1"/>
    <n v="1"/>
    <n v="1"/>
    <n v="45.933385077633098"/>
    <n v="24"/>
    <n v="7"/>
    <n v="86"/>
    <x v="1"/>
    <x v="1"/>
    <d v="2024-01-01T00:00:00"/>
    <d v="2024-01-20T00:00:00"/>
    <s v="N/A"/>
    <n v="19"/>
    <s v="N/A"/>
    <x v="2"/>
    <x v="1"/>
  </r>
  <r>
    <n v="35"/>
    <n v="0"/>
    <n v="1"/>
    <n v="4"/>
    <n v="3"/>
    <n v="23.825442767076598"/>
    <n v="58"/>
    <n v="28"/>
    <n v="39"/>
    <x v="1"/>
    <x v="1"/>
    <d v="2024-01-01T00:00:00"/>
    <d v="2024-01-16T00:00:00"/>
    <s v="N/A"/>
    <n v="15"/>
    <s v="N/A"/>
    <x v="2"/>
    <x v="1"/>
  </r>
  <r>
    <n v="41"/>
    <n v="1"/>
    <n v="4"/>
    <n v="0"/>
    <n v="2"/>
    <n v="8.4718129259147101"/>
    <n v="71"/>
    <n v="94"/>
    <n v="44"/>
    <x v="1"/>
    <x v="1"/>
    <d v="2024-01-01T00:00:00"/>
    <d v="2024-02-01T00:00:00"/>
    <s v="N/A"/>
    <n v="31"/>
    <s v="N/A"/>
    <x v="3"/>
    <x v="0"/>
  </r>
  <r>
    <n v="40"/>
    <n v="0"/>
    <n v="3"/>
    <n v="5"/>
    <n v="1"/>
    <n v="47.496779703704199"/>
    <n v="68"/>
    <n v="40"/>
    <n v="54"/>
    <x v="1"/>
    <x v="1"/>
    <d v="2024-01-01T00:00:00"/>
    <d v="2024-01-30T00:00:00"/>
    <s v="N/A"/>
    <n v="29"/>
    <s v="N/A"/>
    <x v="2"/>
    <x v="1"/>
  </r>
  <r>
    <n v="30"/>
    <n v="0"/>
    <n v="4"/>
    <n v="1"/>
    <n v="4"/>
    <n v="23.935255783376899"/>
    <n v="4"/>
    <n v="29"/>
    <n v="50"/>
    <x v="1"/>
    <x v="1"/>
    <d v="2024-01-01T00:00:00"/>
    <d v="2024-02-03T00:00:00"/>
    <s v="N/A"/>
    <n v="33"/>
    <s v="N/A"/>
    <x v="2"/>
    <x v="0"/>
  </r>
  <r>
    <n v="47"/>
    <n v="1"/>
    <n v="2"/>
    <n v="3"/>
    <n v="5"/>
    <n v="10.081571093940999"/>
    <n v="98"/>
    <n v="85"/>
    <n v="85"/>
    <x v="1"/>
    <x v="1"/>
    <d v="2024-01-01T00:00:00"/>
    <d v="2024-02-08T00:00:00"/>
    <s v="N/A"/>
    <n v="38"/>
    <s v="N/A"/>
    <x v="3"/>
    <x v="0"/>
  </r>
  <r>
    <n v="24"/>
    <n v="0"/>
    <n v="2"/>
    <n v="5"/>
    <n v="5"/>
    <n v="16.119787015196099"/>
    <n v="18"/>
    <n v="20"/>
    <n v="4"/>
    <x v="1"/>
    <x v="1"/>
    <d v="2024-01-01T00:00:00"/>
    <d v="2024-02-11T00:00:00"/>
    <s v="N/A"/>
    <n v="41"/>
    <s v="N/A"/>
    <x v="2"/>
    <x v="0"/>
  </r>
  <r>
    <n v="23"/>
    <n v="0"/>
    <n v="1"/>
    <n v="9"/>
    <n v="3"/>
    <n v="3.5401294844471098"/>
    <n v="22"/>
    <n v="75"/>
    <n v="94"/>
    <x v="2"/>
    <x v="1"/>
    <d v="2024-01-01T00:00:00"/>
    <d v="2024-02-13T00:00:00"/>
    <s v="N/A"/>
    <n v="43"/>
    <s v="N/A"/>
    <x v="3"/>
    <x v="0"/>
  </r>
  <r>
    <n v="22"/>
    <n v="1"/>
    <n v="2"/>
    <n v="10"/>
    <n v="1"/>
    <n v="24.415029572819201"/>
    <n v="8"/>
    <n v="10"/>
    <n v="12"/>
    <x v="0"/>
    <x v="1"/>
    <d v="2024-01-01T00:00:00"/>
    <d v="2024-02-05T00:00:00"/>
    <s v="N/A"/>
    <n v="35"/>
    <s v="N/A"/>
    <x v="2"/>
    <x v="0"/>
  </r>
  <r>
    <n v="38"/>
    <n v="1"/>
    <n v="3"/>
    <n v="7"/>
    <n v="4"/>
    <n v="43.656408595511799"/>
    <n v="93"/>
    <n v="1"/>
    <n v="27"/>
    <x v="1"/>
    <x v="1"/>
    <d v="2024-01-01T00:00:00"/>
    <d v="2024-01-28T00:00:00"/>
    <s v="N/A"/>
    <n v="27"/>
    <s v="N/A"/>
    <x v="2"/>
    <x v="1"/>
  </r>
  <r>
    <n v="39"/>
    <n v="1"/>
    <n v="2"/>
    <n v="11"/>
    <n v="1"/>
    <n v="47.679022800334401"/>
    <n v="49"/>
    <n v="49"/>
    <n v="83"/>
    <x v="1"/>
    <x v="1"/>
    <d v="2024-01-01T00:00:00"/>
    <d v="2024-02-03T00:00:00"/>
    <s v="N/A"/>
    <n v="33"/>
    <s v="N/A"/>
    <x v="2"/>
    <x v="0"/>
  </r>
  <r>
    <n v="44"/>
    <n v="0"/>
    <n v="3"/>
    <n v="7"/>
    <n v="5"/>
    <n v="47.630110375182099"/>
    <n v="15"/>
    <n v="40"/>
    <n v="96"/>
    <x v="0"/>
    <x v="0"/>
    <d v="2024-01-01T00:00:00"/>
    <d v="2024-01-27T00:00:00"/>
    <d v="2024-02-16T00:00:00"/>
    <n v="26"/>
    <n v="20"/>
    <x v="0"/>
    <x v="1"/>
  </r>
  <r>
    <n v="37"/>
    <n v="1"/>
    <n v="3"/>
    <n v="10"/>
    <n v="1"/>
    <n v="7.2615012814373303"/>
    <n v="32"/>
    <n v="65"/>
    <n v="79"/>
    <x v="1"/>
    <x v="0"/>
    <d v="2024-01-01T00:00:00"/>
    <d v="2024-01-16T00:00:00"/>
    <d v="2024-01-30T00:00:00"/>
    <n v="15"/>
    <n v="14"/>
    <x v="0"/>
    <x v="1"/>
  </r>
  <r>
    <n v="34"/>
    <n v="1"/>
    <n v="1"/>
    <n v="5"/>
    <n v="4"/>
    <n v="20.102694125552802"/>
    <n v="1"/>
    <n v="97"/>
    <n v="61"/>
    <x v="0"/>
    <x v="0"/>
    <d v="2024-01-01T00:00:00"/>
    <d v="2024-02-10T00:00:00"/>
    <d v="2024-03-01T00:00:00"/>
    <n v="40"/>
    <n v="20"/>
    <x v="0"/>
    <x v="0"/>
  </r>
  <r>
    <n v="28"/>
    <n v="0"/>
    <n v="2"/>
    <n v="3"/>
    <n v="3"/>
    <n v="2.4114379825353098"/>
    <n v="13"/>
    <n v="2"/>
    <n v="92"/>
    <x v="1"/>
    <x v="1"/>
    <d v="2024-01-01T00:00:00"/>
    <d v="2024-02-12T00:00:00"/>
    <s v="N/A"/>
    <n v="42"/>
    <s v="N/A"/>
    <x v="2"/>
    <x v="0"/>
  </r>
  <r>
    <n v="36"/>
    <n v="1"/>
    <n v="2"/>
    <n v="7"/>
    <n v="2"/>
    <n v="43.758267248573603"/>
    <n v="0"/>
    <n v="79"/>
    <n v="86"/>
    <x v="1"/>
    <x v="1"/>
    <d v="2024-01-01T00:00:00"/>
    <d v="2024-02-06T00:00:00"/>
    <s v="N/A"/>
    <n v="36"/>
    <s v="N/A"/>
    <x v="3"/>
    <x v="0"/>
  </r>
  <r>
    <n v="33"/>
    <n v="1"/>
    <n v="2"/>
    <n v="12"/>
    <n v="1"/>
    <n v="18.9377881010636"/>
    <n v="89"/>
    <n v="50"/>
    <n v="23"/>
    <x v="1"/>
    <x v="1"/>
    <d v="2024-01-01T00:00:00"/>
    <d v="2024-01-24T00:00:00"/>
    <s v="N/A"/>
    <n v="23"/>
    <s v="N/A"/>
    <x v="1"/>
    <x v="1"/>
  </r>
  <r>
    <n v="34"/>
    <n v="1"/>
    <n v="3"/>
    <n v="7"/>
    <n v="2"/>
    <n v="32.5558513946117"/>
    <n v="57"/>
    <n v="67"/>
    <n v="97"/>
    <x v="1"/>
    <x v="0"/>
    <d v="2024-01-01T00:00:00"/>
    <d v="2024-02-09T00:00:00"/>
    <d v="2024-02-25T00:00:00"/>
    <n v="39"/>
    <n v="16"/>
    <x v="0"/>
    <x v="0"/>
  </r>
  <r>
    <n v="50"/>
    <n v="0"/>
    <n v="2"/>
    <n v="9"/>
    <n v="5"/>
    <n v="36.744921903864402"/>
    <n v="88"/>
    <n v="86"/>
    <n v="6"/>
    <x v="0"/>
    <x v="0"/>
    <d v="2024-01-01T00:00:00"/>
    <d v="2024-01-28T00:00:00"/>
    <d v="2024-02-06T00:00:00"/>
    <n v="27"/>
    <n v="9"/>
    <x v="0"/>
    <x v="1"/>
  </r>
  <r>
    <n v="20"/>
    <n v="0"/>
    <n v="1"/>
    <n v="13"/>
    <n v="3"/>
    <n v="22.492233487157701"/>
    <n v="15"/>
    <n v="83"/>
    <n v="37"/>
    <x v="1"/>
    <x v="1"/>
    <d v="2024-01-01T00:00:00"/>
    <d v="2024-02-01T00:00:00"/>
    <s v="N/A"/>
    <n v="31"/>
    <s v="N/A"/>
    <x v="3"/>
    <x v="0"/>
  </r>
  <r>
    <n v="40"/>
    <n v="0"/>
    <n v="2"/>
    <n v="0"/>
    <n v="3"/>
    <n v="16.322116827512101"/>
    <n v="78"/>
    <n v="24"/>
    <n v="36"/>
    <x v="0"/>
    <x v="1"/>
    <d v="2024-01-01T00:00:00"/>
    <d v="2024-02-08T00:00:00"/>
    <s v="N/A"/>
    <n v="38"/>
    <s v="N/A"/>
    <x v="2"/>
    <x v="0"/>
  </r>
  <r>
    <n v="41"/>
    <n v="0"/>
    <n v="4"/>
    <n v="15"/>
    <n v="1"/>
    <n v="49.110645505797201"/>
    <n v="89"/>
    <n v="29"/>
    <n v="67"/>
    <x v="2"/>
    <x v="0"/>
    <d v="2024-01-01T00:00:00"/>
    <d v="2024-02-05T00:00:00"/>
    <d v="2024-02-13T00:00:00"/>
    <n v="35"/>
    <n v="8"/>
    <x v="0"/>
    <x v="0"/>
  </r>
  <r>
    <n v="41"/>
    <n v="1"/>
    <n v="1"/>
    <n v="3"/>
    <n v="3"/>
    <n v="49.224411251192699"/>
    <n v="46"/>
    <n v="81"/>
    <n v="97"/>
    <x v="2"/>
    <x v="1"/>
    <d v="2024-01-01T00:00:00"/>
    <d v="2024-02-04T00:00:00"/>
    <s v="N/A"/>
    <n v="34"/>
    <s v="N/A"/>
    <x v="3"/>
    <x v="0"/>
  </r>
  <r>
    <n v="22"/>
    <n v="0"/>
    <n v="3"/>
    <n v="3"/>
    <n v="1"/>
    <n v="15.471818401501"/>
    <n v="43"/>
    <n v="10"/>
    <n v="41"/>
    <x v="1"/>
    <x v="1"/>
    <d v="2024-01-01T00:00:00"/>
    <d v="2024-02-04T00:00:00"/>
    <s v="N/A"/>
    <n v="34"/>
    <s v="N/A"/>
    <x v="2"/>
    <x v="0"/>
  </r>
  <r>
    <n v="35"/>
    <n v="0"/>
    <n v="2"/>
    <n v="6"/>
    <n v="1"/>
    <n v="24.981254837222899"/>
    <n v="79"/>
    <n v="92"/>
    <n v="85"/>
    <x v="2"/>
    <x v="0"/>
    <d v="2024-01-01T00:00:00"/>
    <d v="2024-02-02T00:00:00"/>
    <d v="2024-02-29T00:00:00"/>
    <n v="32"/>
    <n v="27"/>
    <x v="0"/>
    <x v="0"/>
  </r>
  <r>
    <n v="42"/>
    <n v="1"/>
    <n v="3"/>
    <n v="15"/>
    <n v="2"/>
    <n v="49.642207933001103"/>
    <n v="13"/>
    <n v="16"/>
    <n v="4"/>
    <x v="1"/>
    <x v="1"/>
    <d v="2024-01-01T00:00:00"/>
    <d v="2024-01-19T00:00:00"/>
    <s v="N/A"/>
    <n v="18"/>
    <s v="N/A"/>
    <x v="2"/>
    <x v="1"/>
  </r>
  <r>
    <n v="44"/>
    <n v="1"/>
    <n v="3"/>
    <n v="13"/>
    <n v="3"/>
    <n v="1.24342038277516"/>
    <n v="92"/>
    <n v="25"/>
    <n v="63"/>
    <x v="2"/>
    <x v="0"/>
    <d v="2024-01-01T00:00:00"/>
    <d v="2024-01-30T00:00:00"/>
    <d v="2024-02-12T00:00:00"/>
    <n v="29"/>
    <n v="13"/>
    <x v="0"/>
    <x v="1"/>
  </r>
  <r>
    <n v="30"/>
    <n v="1"/>
    <n v="2"/>
    <n v="13"/>
    <n v="1"/>
    <n v="21.633912418957401"/>
    <n v="23"/>
    <n v="22"/>
    <n v="49"/>
    <x v="1"/>
    <x v="1"/>
    <d v="2024-01-01T00:00:00"/>
    <d v="2024-01-27T00:00:00"/>
    <s v="N/A"/>
    <n v="26"/>
    <s v="N/A"/>
    <x v="2"/>
    <x v="1"/>
  </r>
  <r>
    <n v="31"/>
    <n v="0"/>
    <n v="2"/>
    <n v="10"/>
    <n v="2"/>
    <n v="6.0228774840484203"/>
    <n v="54"/>
    <n v="55"/>
    <n v="86"/>
    <x v="0"/>
    <x v="0"/>
    <d v="2024-01-01T00:00:00"/>
    <d v="2024-01-25T00:00:00"/>
    <d v="2024-02-03T00:00:00"/>
    <n v="24"/>
    <n v="9"/>
    <x v="0"/>
    <x v="1"/>
  </r>
  <r>
    <n v="29"/>
    <n v="0"/>
    <n v="3"/>
    <n v="6"/>
    <n v="4"/>
    <n v="26.457898278130099"/>
    <n v="14"/>
    <n v="51"/>
    <n v="14"/>
    <x v="2"/>
    <x v="1"/>
    <d v="2024-01-01T00:00:00"/>
    <d v="2024-02-15T00:00:00"/>
    <s v="N/A"/>
    <n v="45"/>
    <s v="N/A"/>
    <x v="1"/>
    <x v="0"/>
  </r>
  <r>
    <n v="35"/>
    <n v="0"/>
    <n v="2"/>
    <n v="15"/>
    <n v="2"/>
    <n v="2.2334977270243499"/>
    <n v="82"/>
    <n v="47"/>
    <n v="94"/>
    <x v="0"/>
    <x v="0"/>
    <d v="2024-01-01T00:00:00"/>
    <d v="2024-01-19T00:00:00"/>
    <d v="2024-02-17T00:00:00"/>
    <n v="18"/>
    <n v="29"/>
    <x v="0"/>
    <x v="1"/>
  </r>
  <r>
    <n v="27"/>
    <n v="1"/>
    <n v="3"/>
    <n v="12"/>
    <n v="2"/>
    <n v="21.344921569531301"/>
    <n v="71"/>
    <n v="19"/>
    <n v="72"/>
    <x v="0"/>
    <x v="0"/>
    <d v="2024-01-01T00:00:00"/>
    <d v="2024-02-06T00:00:00"/>
    <d v="2024-02-15T00:00:00"/>
    <n v="36"/>
    <n v="9"/>
    <x v="0"/>
    <x v="0"/>
  </r>
  <r>
    <n v="25"/>
    <n v="1"/>
    <n v="1"/>
    <n v="10"/>
    <n v="1"/>
    <n v="12.034953739266699"/>
    <n v="33"/>
    <n v="1"/>
    <n v="52"/>
    <x v="0"/>
    <x v="1"/>
    <d v="2024-01-01T00:00:00"/>
    <d v="2024-01-21T00:00:00"/>
    <s v="N/A"/>
    <n v="20"/>
    <s v="N/A"/>
    <x v="2"/>
    <x v="1"/>
  </r>
  <r>
    <n v="31"/>
    <n v="0"/>
    <n v="3"/>
    <n v="14"/>
    <n v="5"/>
    <n v="27.665418122937002"/>
    <n v="1"/>
    <n v="87"/>
    <n v="24"/>
    <x v="1"/>
    <x v="1"/>
    <d v="2024-01-01T00:00:00"/>
    <d v="2024-01-31T00:00:00"/>
    <s v="N/A"/>
    <n v="30"/>
    <s v="N/A"/>
    <x v="3"/>
    <x v="1"/>
  </r>
  <r>
    <n v="43"/>
    <n v="1"/>
    <n v="3"/>
    <n v="7"/>
    <n v="5"/>
    <n v="50.799682455034898"/>
    <n v="26"/>
    <n v="30"/>
    <n v="88"/>
    <x v="1"/>
    <x v="1"/>
    <d v="2024-01-01T00:00:00"/>
    <d v="2024-01-27T00:00:00"/>
    <s v="N/A"/>
    <n v="26"/>
    <s v="N/A"/>
    <x v="2"/>
    <x v="1"/>
  </r>
  <r>
    <n v="47"/>
    <n v="1"/>
    <n v="4"/>
    <n v="15"/>
    <n v="5"/>
    <n v="41.026805256337298"/>
    <n v="73"/>
    <n v="26"/>
    <n v="84"/>
    <x v="1"/>
    <x v="0"/>
    <d v="2024-01-01T00:00:00"/>
    <d v="2024-01-16T00:00:00"/>
    <d v="2024-02-12T00:00:00"/>
    <n v="15"/>
    <n v="27"/>
    <x v="0"/>
    <x v="1"/>
  </r>
  <r>
    <n v="40"/>
    <n v="1"/>
    <n v="1"/>
    <n v="10"/>
    <n v="2"/>
    <n v="43.282104581220999"/>
    <n v="98"/>
    <n v="1"/>
    <n v="8"/>
    <x v="2"/>
    <x v="1"/>
    <d v="2024-01-01T00:00:00"/>
    <d v="2024-01-30T00:00:00"/>
    <s v="N/A"/>
    <n v="29"/>
    <s v="N/A"/>
    <x v="2"/>
    <x v="1"/>
  </r>
  <r>
    <n v="27"/>
    <n v="0"/>
    <n v="2"/>
    <n v="4"/>
    <n v="1"/>
    <n v="32.763249367954003"/>
    <n v="86"/>
    <n v="77"/>
    <n v="37"/>
    <x v="0"/>
    <x v="0"/>
    <d v="2024-01-01T00:00:00"/>
    <d v="2024-02-04T00:00:00"/>
    <d v="2024-03-05T00:00:00"/>
    <n v="34"/>
    <n v="30"/>
    <x v="0"/>
    <x v="0"/>
  </r>
  <r>
    <n v="45"/>
    <n v="1"/>
    <n v="2"/>
    <n v="6"/>
    <n v="3"/>
    <n v="3.07799241361292"/>
    <n v="71"/>
    <n v="3"/>
    <n v="21"/>
    <x v="2"/>
    <x v="1"/>
    <d v="2024-01-01T00:00:00"/>
    <d v="2024-02-04T00:00:00"/>
    <s v="N/A"/>
    <n v="34"/>
    <s v="N/A"/>
    <x v="2"/>
    <x v="0"/>
  </r>
  <r>
    <n v="47"/>
    <n v="1"/>
    <n v="2"/>
    <n v="7"/>
    <n v="2"/>
    <n v="11.339883802207201"/>
    <n v="91"/>
    <n v="12"/>
    <n v="86"/>
    <x v="2"/>
    <x v="1"/>
    <d v="2024-01-01T00:00:00"/>
    <d v="2024-01-15T00:00:00"/>
    <s v="N/A"/>
    <n v="14"/>
    <s v="N/A"/>
    <x v="2"/>
    <x v="1"/>
  </r>
  <r>
    <n v="23"/>
    <n v="0"/>
    <n v="2"/>
    <n v="15"/>
    <n v="2"/>
    <n v="47.253227822352699"/>
    <n v="22"/>
    <n v="99"/>
    <n v="48"/>
    <x v="0"/>
    <x v="0"/>
    <d v="2024-01-01T00:00:00"/>
    <d v="2024-01-26T00:00:00"/>
    <d v="2024-02-16T00:00:00"/>
    <n v="25"/>
    <n v="21"/>
    <x v="0"/>
    <x v="1"/>
  </r>
  <r>
    <n v="45"/>
    <n v="0"/>
    <n v="1"/>
    <n v="14"/>
    <n v="1"/>
    <n v="19.3056558964375"/>
    <n v="67"/>
    <n v="34"/>
    <n v="67"/>
    <x v="1"/>
    <x v="1"/>
    <d v="2024-01-01T00:00:00"/>
    <d v="2024-02-08T00:00:00"/>
    <s v="N/A"/>
    <n v="38"/>
    <s v="N/A"/>
    <x v="2"/>
    <x v="0"/>
  </r>
  <r>
    <n v="27"/>
    <n v="1"/>
    <n v="3"/>
    <n v="8"/>
    <n v="4"/>
    <n v="6.1818363240397698"/>
    <n v="13"/>
    <n v="71"/>
    <n v="92"/>
    <x v="2"/>
    <x v="0"/>
    <d v="2024-01-01T00:00:00"/>
    <d v="2024-01-29T00:00:00"/>
    <d v="2024-02-08T00:00:00"/>
    <n v="28"/>
    <n v="10"/>
    <x v="0"/>
    <x v="1"/>
  </r>
  <r>
    <n v="45"/>
    <n v="1"/>
    <n v="2"/>
    <n v="2"/>
    <n v="2"/>
    <n v="36.120268293310097"/>
    <n v="62"/>
    <n v="65"/>
    <n v="14"/>
    <x v="1"/>
    <x v="1"/>
    <d v="2024-01-01T00:00:00"/>
    <d v="2024-01-18T00:00:00"/>
    <s v="N/A"/>
    <n v="17"/>
    <s v="N/A"/>
    <x v="1"/>
    <x v="1"/>
  </r>
  <r>
    <n v="47"/>
    <n v="0"/>
    <n v="1"/>
    <n v="2"/>
    <n v="4"/>
    <n v="15.9728861967127"/>
    <n v="92"/>
    <n v="5"/>
    <n v="64"/>
    <x v="1"/>
    <x v="1"/>
    <d v="2024-01-01T00:00:00"/>
    <d v="2024-02-13T00:00:00"/>
    <s v="N/A"/>
    <n v="43"/>
    <s v="N/A"/>
    <x v="2"/>
    <x v="0"/>
  </r>
  <r>
    <n v="37"/>
    <n v="0"/>
    <n v="2"/>
    <n v="3"/>
    <n v="4"/>
    <n v="14.4428456452085"/>
    <n v="64"/>
    <n v="30"/>
    <n v="53"/>
    <x v="1"/>
    <x v="1"/>
    <d v="2024-01-01T00:00:00"/>
    <d v="2024-01-21T00:00:00"/>
    <s v="N/A"/>
    <n v="20"/>
    <s v="N/A"/>
    <x v="2"/>
    <x v="1"/>
  </r>
  <r>
    <n v="47"/>
    <n v="1"/>
    <n v="2"/>
    <n v="4"/>
    <n v="5"/>
    <n v="50.898872777912999"/>
    <n v="67"/>
    <n v="9"/>
    <n v="29"/>
    <x v="1"/>
    <x v="1"/>
    <d v="2024-01-01T00:00:00"/>
    <d v="2024-02-01T00:00:00"/>
    <s v="N/A"/>
    <n v="31"/>
    <s v="N/A"/>
    <x v="2"/>
    <x v="0"/>
  </r>
  <r>
    <n v="47"/>
    <n v="1"/>
    <n v="1"/>
    <n v="9"/>
    <n v="1"/>
    <n v="43.906946251332698"/>
    <n v="62"/>
    <n v="20"/>
    <n v="92"/>
    <x v="0"/>
    <x v="0"/>
    <d v="2024-01-01T00:00:00"/>
    <d v="2024-01-17T00:00:00"/>
    <d v="2024-02-08T00:00:00"/>
    <n v="16"/>
    <n v="22"/>
    <x v="0"/>
    <x v="1"/>
  </r>
  <r>
    <n v="24"/>
    <n v="1"/>
    <n v="4"/>
    <n v="0"/>
    <n v="4"/>
    <n v="21.396890918392"/>
    <n v="95"/>
    <n v="73"/>
    <n v="19"/>
    <x v="1"/>
    <x v="1"/>
    <d v="2024-01-01T00:00:00"/>
    <d v="2024-01-25T00:00:00"/>
    <s v="N/A"/>
    <n v="24"/>
    <s v="N/A"/>
    <x v="3"/>
    <x v="1"/>
  </r>
  <r>
    <n v="28"/>
    <n v="1"/>
    <n v="4"/>
    <n v="14"/>
    <n v="1"/>
    <n v="50.013060390824897"/>
    <n v="96"/>
    <n v="22"/>
    <n v="32"/>
    <x v="0"/>
    <x v="0"/>
    <d v="2024-01-01T00:00:00"/>
    <d v="2024-01-22T00:00:00"/>
    <d v="2024-02-08T00:00:00"/>
    <n v="21"/>
    <n v="17"/>
    <x v="0"/>
    <x v="1"/>
  </r>
  <r>
    <n v="23"/>
    <n v="0"/>
    <n v="2"/>
    <n v="14"/>
    <n v="5"/>
    <n v="33.5056611709606"/>
    <n v="89"/>
    <n v="2"/>
    <n v="99"/>
    <x v="1"/>
    <x v="1"/>
    <d v="2024-01-01T00:00:00"/>
    <d v="2024-02-09T00:00:00"/>
    <s v="N/A"/>
    <n v="39"/>
    <s v="N/A"/>
    <x v="2"/>
    <x v="0"/>
  </r>
  <r>
    <n v="46"/>
    <n v="1"/>
    <n v="1"/>
    <n v="6"/>
    <n v="1"/>
    <n v="38.101122593988002"/>
    <n v="80"/>
    <n v="31"/>
    <n v="85"/>
    <x v="2"/>
    <x v="1"/>
    <d v="2024-01-01T00:00:00"/>
    <d v="2024-02-01T00:00:00"/>
    <s v="N/A"/>
    <n v="31"/>
    <s v="N/A"/>
    <x v="2"/>
    <x v="0"/>
  </r>
  <r>
    <n v="41"/>
    <n v="1"/>
    <n v="3"/>
    <n v="8"/>
    <n v="2"/>
    <n v="2.5756521541105699"/>
    <n v="86"/>
    <n v="19"/>
    <n v="76"/>
    <x v="1"/>
    <x v="0"/>
    <d v="2024-01-01T00:00:00"/>
    <d v="2024-01-19T00:00:00"/>
    <d v="2024-02-14T00:00:00"/>
    <n v="18"/>
    <n v="26"/>
    <x v="0"/>
    <x v="1"/>
  </r>
  <r>
    <n v="50"/>
    <n v="0"/>
    <n v="2"/>
    <n v="7"/>
    <n v="4"/>
    <n v="7.0802629674028497"/>
    <n v="63"/>
    <n v="73"/>
    <n v="6"/>
    <x v="2"/>
    <x v="1"/>
    <d v="2024-01-01T00:00:00"/>
    <d v="2024-01-17T00:00:00"/>
    <s v="N/A"/>
    <n v="16"/>
    <s v="N/A"/>
    <x v="3"/>
    <x v="1"/>
  </r>
  <r>
    <n v="36"/>
    <n v="1"/>
    <n v="2"/>
    <n v="14"/>
    <n v="1"/>
    <n v="32.654256324811897"/>
    <n v="31"/>
    <n v="28"/>
    <n v="7"/>
    <x v="1"/>
    <x v="1"/>
    <d v="2024-01-01T00:00:00"/>
    <d v="2024-02-13T00:00:00"/>
    <s v="N/A"/>
    <n v="43"/>
    <s v="N/A"/>
    <x v="2"/>
    <x v="0"/>
  </r>
  <r>
    <n v="28"/>
    <n v="0"/>
    <n v="2"/>
    <n v="14"/>
    <n v="3"/>
    <n v="45.951199132474102"/>
    <n v="78"/>
    <n v="51"/>
    <n v="27"/>
    <x v="1"/>
    <x v="1"/>
    <d v="2024-01-01T00:00:00"/>
    <d v="2024-01-25T00:00:00"/>
    <s v="N/A"/>
    <n v="24"/>
    <s v="N/A"/>
    <x v="1"/>
    <x v="1"/>
  </r>
  <r>
    <n v="20"/>
    <n v="1"/>
    <n v="2"/>
    <n v="4"/>
    <n v="1"/>
    <n v="32.187186304379701"/>
    <n v="12"/>
    <n v="45"/>
    <n v="44"/>
    <x v="1"/>
    <x v="1"/>
    <d v="2024-01-01T00:00:00"/>
    <d v="2024-01-24T00:00:00"/>
    <s v="N/A"/>
    <n v="23"/>
    <s v="N/A"/>
    <x v="2"/>
    <x v="1"/>
  </r>
  <r>
    <n v="40"/>
    <n v="1"/>
    <n v="2"/>
    <n v="13"/>
    <n v="4"/>
    <n v="7.7012447159495796"/>
    <n v="65"/>
    <n v="33"/>
    <n v="72"/>
    <x v="2"/>
    <x v="1"/>
    <d v="2024-01-01T00:00:00"/>
    <d v="2024-01-22T00:00:00"/>
    <s v="N/A"/>
    <n v="21"/>
    <s v="N/A"/>
    <x v="2"/>
    <x v="1"/>
  </r>
  <r>
    <n v="39"/>
    <n v="0"/>
    <n v="2"/>
    <n v="13"/>
    <n v="5"/>
    <n v="6.7880023123162303"/>
    <n v="18"/>
    <n v="100"/>
    <n v="88"/>
    <x v="1"/>
    <x v="1"/>
    <d v="2024-01-01T00:00:00"/>
    <d v="2024-02-15T00:00:00"/>
    <s v="N/A"/>
    <n v="45"/>
    <s v="N/A"/>
    <x v="3"/>
    <x v="0"/>
  </r>
  <r>
    <n v="32"/>
    <n v="0"/>
    <n v="2"/>
    <n v="3"/>
    <n v="5"/>
    <n v="43.209294791204002"/>
    <n v="23"/>
    <n v="83"/>
    <n v="79"/>
    <x v="0"/>
    <x v="0"/>
    <d v="2024-01-01T00:00:00"/>
    <d v="2024-01-18T00:00:00"/>
    <d v="2024-02-07T00:00:00"/>
    <n v="17"/>
    <n v="20"/>
    <x v="0"/>
    <x v="1"/>
  </r>
  <r>
    <n v="47"/>
    <n v="1"/>
    <n v="4"/>
    <n v="11"/>
    <n v="4"/>
    <n v="7.9651169353957103"/>
    <n v="87"/>
    <n v="60"/>
    <n v="73"/>
    <x v="2"/>
    <x v="0"/>
    <d v="2024-01-01T00:00:00"/>
    <d v="2024-01-31T00:00:00"/>
    <d v="2024-02-12T00:00:00"/>
    <n v="30"/>
    <n v="12"/>
    <x v="0"/>
    <x v="1"/>
  </r>
  <r>
    <n v="35"/>
    <n v="1"/>
    <n v="2"/>
    <n v="6"/>
    <n v="2"/>
    <n v="27.011598025201199"/>
    <n v="10"/>
    <n v="71"/>
    <n v="10"/>
    <x v="1"/>
    <x v="1"/>
    <d v="2024-01-01T00:00:00"/>
    <d v="2024-01-25T00:00:00"/>
    <s v="N/A"/>
    <n v="24"/>
    <s v="N/A"/>
    <x v="3"/>
    <x v="1"/>
  </r>
  <r>
    <n v="48"/>
    <n v="1"/>
    <n v="3"/>
    <n v="4"/>
    <n v="2"/>
    <n v="2.8556659981151098"/>
    <n v="58"/>
    <n v="70"/>
    <n v="30"/>
    <x v="0"/>
    <x v="0"/>
    <d v="2024-01-01T00:00:00"/>
    <d v="2024-02-11T00:00:00"/>
    <d v="2024-02-23T00:00:00"/>
    <n v="41"/>
    <n v="12"/>
    <x v="0"/>
    <x v="0"/>
  </r>
  <r>
    <n v="32"/>
    <n v="0"/>
    <n v="3"/>
    <n v="6"/>
    <n v="5"/>
    <n v="5.0334883695588601"/>
    <n v="85"/>
    <n v="69"/>
    <n v="11"/>
    <x v="1"/>
    <x v="0"/>
    <d v="2024-01-01T00:00:00"/>
    <d v="2024-01-28T00:00:00"/>
    <d v="2024-02-07T00:00:00"/>
    <n v="27"/>
    <n v="10"/>
    <x v="0"/>
    <x v="1"/>
  </r>
  <r>
    <n v="33"/>
    <n v="1"/>
    <n v="2"/>
    <n v="11"/>
    <n v="5"/>
    <n v="34.617413382143198"/>
    <n v="14"/>
    <n v="10"/>
    <n v="94"/>
    <x v="2"/>
    <x v="1"/>
    <d v="2024-01-01T00:00:00"/>
    <d v="2024-02-10T00:00:00"/>
    <s v="N/A"/>
    <n v="40"/>
    <s v="N/A"/>
    <x v="2"/>
    <x v="0"/>
  </r>
  <r>
    <n v="22"/>
    <n v="0"/>
    <n v="2"/>
    <n v="0"/>
    <n v="4"/>
    <n v="35.4590705213758"/>
    <n v="9"/>
    <n v="81"/>
    <n v="77"/>
    <x v="1"/>
    <x v="1"/>
    <d v="2024-01-01T00:00:00"/>
    <d v="2024-02-04T00:00:00"/>
    <s v="N/A"/>
    <n v="34"/>
    <s v="N/A"/>
    <x v="3"/>
    <x v="0"/>
  </r>
  <r>
    <n v="48"/>
    <n v="0"/>
    <n v="2"/>
    <n v="0"/>
    <n v="2"/>
    <n v="18.073470330422101"/>
    <n v="40"/>
    <n v="92"/>
    <n v="50"/>
    <x v="1"/>
    <x v="1"/>
    <d v="2024-01-01T00:00:00"/>
    <d v="2024-02-08T00:00:00"/>
    <s v="N/A"/>
    <n v="38"/>
    <s v="N/A"/>
    <x v="3"/>
    <x v="0"/>
  </r>
  <r>
    <n v="25"/>
    <n v="1"/>
    <n v="2"/>
    <n v="15"/>
    <n v="5"/>
    <n v="11.7804882621522"/>
    <n v="26"/>
    <n v="88"/>
    <n v="43"/>
    <x v="2"/>
    <x v="1"/>
    <d v="2024-01-01T00:00:00"/>
    <d v="2024-02-11T00:00:00"/>
    <s v="N/A"/>
    <n v="41"/>
    <s v="N/A"/>
    <x v="3"/>
    <x v="0"/>
  </r>
  <r>
    <n v="37"/>
    <n v="0"/>
    <n v="3"/>
    <n v="9"/>
    <n v="2"/>
    <n v="41.685513537865397"/>
    <n v="59"/>
    <n v="62"/>
    <n v="95"/>
    <x v="1"/>
    <x v="0"/>
    <d v="2024-01-01T00:00:00"/>
    <d v="2024-02-05T00:00:00"/>
    <d v="2024-02-28T00:00:00"/>
    <n v="35"/>
    <n v="23"/>
    <x v="0"/>
    <x v="0"/>
  </r>
  <r>
    <n v="38"/>
    <n v="1"/>
    <n v="2"/>
    <n v="13"/>
    <n v="5"/>
    <n v="11.855161473494499"/>
    <n v="72"/>
    <n v="20"/>
    <n v="49"/>
    <x v="1"/>
    <x v="1"/>
    <d v="2024-01-01T00:00:00"/>
    <d v="2024-02-15T00:00:00"/>
    <s v="N/A"/>
    <n v="45"/>
    <s v="N/A"/>
    <x v="2"/>
    <x v="0"/>
  </r>
  <r>
    <n v="24"/>
    <n v="1"/>
    <n v="4"/>
    <n v="12"/>
    <n v="1"/>
    <n v="28.101353483318899"/>
    <n v="51"/>
    <n v="2"/>
    <n v="16"/>
    <x v="0"/>
    <x v="0"/>
    <d v="2024-01-01T00:00:00"/>
    <d v="2024-02-15T00:00:00"/>
    <d v="2024-02-24T00:00:00"/>
    <n v="45"/>
    <n v="9"/>
    <x v="0"/>
    <x v="0"/>
  </r>
  <r>
    <n v="34"/>
    <n v="1"/>
    <n v="1"/>
    <n v="2"/>
    <n v="3"/>
    <n v="49.410442043145203"/>
    <n v="27"/>
    <n v="81"/>
    <n v="34"/>
    <x v="0"/>
    <x v="1"/>
    <d v="2024-01-01T00:00:00"/>
    <d v="2024-02-14T00:00:00"/>
    <s v="N/A"/>
    <n v="44"/>
    <s v="N/A"/>
    <x v="3"/>
    <x v="0"/>
  </r>
  <r>
    <n v="44"/>
    <n v="1"/>
    <n v="1"/>
    <n v="13"/>
    <n v="1"/>
    <n v="8.3926218931191894"/>
    <n v="64"/>
    <n v="87"/>
    <n v="0"/>
    <x v="1"/>
    <x v="1"/>
    <d v="2024-01-01T00:00:00"/>
    <d v="2024-02-02T00:00:00"/>
    <s v="N/A"/>
    <n v="32"/>
    <s v="N/A"/>
    <x v="3"/>
    <x v="0"/>
  </r>
  <r>
    <n v="21"/>
    <n v="1"/>
    <n v="2"/>
    <n v="10"/>
    <n v="5"/>
    <n v="48.0438133747354"/>
    <n v="16"/>
    <n v="9"/>
    <n v="28"/>
    <x v="2"/>
    <x v="1"/>
    <d v="2024-01-01T00:00:00"/>
    <d v="2024-02-15T00:00:00"/>
    <s v="N/A"/>
    <n v="45"/>
    <s v="N/A"/>
    <x v="2"/>
    <x v="0"/>
  </r>
  <r>
    <n v="29"/>
    <n v="0"/>
    <n v="2"/>
    <n v="1"/>
    <n v="3"/>
    <n v="10.144652653433401"/>
    <n v="94"/>
    <n v="26"/>
    <n v="50"/>
    <x v="0"/>
    <x v="1"/>
    <d v="2024-01-01T00:00:00"/>
    <d v="2024-02-15T00:00:00"/>
    <s v="N/A"/>
    <n v="45"/>
    <s v="N/A"/>
    <x v="2"/>
    <x v="0"/>
  </r>
  <r>
    <n v="43"/>
    <n v="0"/>
    <n v="2"/>
    <n v="1"/>
    <n v="3"/>
    <n v="29.372160401161398"/>
    <n v="43"/>
    <n v="11"/>
    <n v="63"/>
    <x v="1"/>
    <x v="1"/>
    <d v="2024-01-01T00:00:00"/>
    <d v="2024-01-23T00:00:00"/>
    <s v="N/A"/>
    <n v="22"/>
    <s v="N/A"/>
    <x v="2"/>
    <x v="1"/>
  </r>
  <r>
    <n v="49"/>
    <n v="1"/>
    <n v="2"/>
    <n v="6"/>
    <n v="5"/>
    <n v="19.850385597937201"/>
    <n v="9"/>
    <n v="6"/>
    <n v="3"/>
    <x v="0"/>
    <x v="1"/>
    <d v="2024-01-01T00:00:00"/>
    <d v="2024-01-16T00:00:00"/>
    <s v="N/A"/>
    <n v="15"/>
    <s v="N/A"/>
    <x v="2"/>
    <x v="1"/>
  </r>
  <r>
    <n v="37"/>
    <n v="1"/>
    <n v="2"/>
    <n v="11"/>
    <n v="5"/>
    <n v="49.246430075091297"/>
    <n v="62"/>
    <n v="16"/>
    <n v="86"/>
    <x v="1"/>
    <x v="1"/>
    <d v="2024-01-01T00:00:00"/>
    <d v="2024-02-01T00:00:00"/>
    <s v="N/A"/>
    <n v="31"/>
    <s v="N/A"/>
    <x v="2"/>
    <x v="0"/>
  </r>
  <r>
    <n v="46"/>
    <n v="0"/>
    <n v="1"/>
    <n v="9"/>
    <n v="2"/>
    <n v="14.677101450096799"/>
    <n v="100"/>
    <n v="64"/>
    <n v="27"/>
    <x v="0"/>
    <x v="0"/>
    <d v="2024-01-01T00:00:00"/>
    <d v="2024-01-27T00:00:00"/>
    <d v="2024-02-19T00:00:00"/>
    <n v="26"/>
    <n v="23"/>
    <x v="0"/>
    <x v="1"/>
  </r>
  <r>
    <n v="32"/>
    <n v="0"/>
    <n v="4"/>
    <n v="1"/>
    <n v="5"/>
    <n v="20.982900104287602"/>
    <n v="92"/>
    <n v="63"/>
    <n v="15"/>
    <x v="0"/>
    <x v="0"/>
    <d v="2024-01-01T00:00:00"/>
    <d v="2024-01-25T00:00:00"/>
    <d v="2024-02-12T00:00:00"/>
    <n v="24"/>
    <n v="18"/>
    <x v="0"/>
    <x v="1"/>
  </r>
  <r>
    <n v="24"/>
    <n v="0"/>
    <n v="2"/>
    <n v="10"/>
    <n v="4"/>
    <n v="50.143005892771001"/>
    <n v="81"/>
    <n v="25"/>
    <n v="62"/>
    <x v="0"/>
    <x v="0"/>
    <d v="2024-01-01T00:00:00"/>
    <d v="2024-01-15T00:00:00"/>
    <d v="2024-02-07T00:00:00"/>
    <n v="14"/>
    <n v="23"/>
    <x v="0"/>
    <x v="1"/>
  </r>
  <r>
    <n v="42"/>
    <n v="0"/>
    <n v="3"/>
    <n v="3"/>
    <n v="5"/>
    <n v="27.823519559423602"/>
    <n v="46"/>
    <n v="14"/>
    <n v="75"/>
    <x v="1"/>
    <x v="1"/>
    <d v="2024-01-01T00:00:00"/>
    <d v="2024-01-29T00:00:00"/>
    <s v="N/A"/>
    <n v="28"/>
    <s v="N/A"/>
    <x v="2"/>
    <x v="1"/>
  </r>
  <r>
    <n v="43"/>
    <n v="1"/>
    <n v="3"/>
    <n v="1"/>
    <n v="4"/>
    <n v="26.1315057810626"/>
    <n v="37"/>
    <n v="32"/>
    <n v="52"/>
    <x v="1"/>
    <x v="1"/>
    <d v="2024-01-01T00:00:00"/>
    <d v="2024-02-01T00:00:00"/>
    <s v="N/A"/>
    <n v="31"/>
    <s v="N/A"/>
    <x v="2"/>
    <x v="0"/>
  </r>
  <r>
    <n v="20"/>
    <n v="1"/>
    <n v="4"/>
    <n v="5"/>
    <n v="5"/>
    <n v="13.8889244101995"/>
    <n v="69"/>
    <n v="61"/>
    <n v="84"/>
    <x v="0"/>
    <x v="0"/>
    <d v="2024-01-01T00:00:00"/>
    <d v="2024-01-26T00:00:00"/>
    <d v="2024-02-11T00:00:00"/>
    <n v="25"/>
    <n v="16"/>
    <x v="0"/>
    <x v="1"/>
  </r>
  <r>
    <n v="41"/>
    <n v="0"/>
    <n v="1"/>
    <n v="7"/>
    <n v="2"/>
    <n v="36.068178015522001"/>
    <n v="75"/>
    <n v="100"/>
    <n v="16"/>
    <x v="2"/>
    <x v="1"/>
    <d v="2024-01-01T00:00:00"/>
    <d v="2024-01-27T00:00:00"/>
    <s v="N/A"/>
    <n v="26"/>
    <s v="N/A"/>
    <x v="3"/>
    <x v="1"/>
  </r>
  <r>
    <n v="20"/>
    <n v="1"/>
    <n v="3"/>
    <n v="9"/>
    <n v="4"/>
    <n v="1.7186475888888799"/>
    <n v="52"/>
    <n v="46"/>
    <n v="39"/>
    <x v="0"/>
    <x v="0"/>
    <d v="2024-01-01T00:00:00"/>
    <d v="2024-01-28T00:00:00"/>
    <d v="2024-02-22T00:00:00"/>
    <n v="27"/>
    <n v="25"/>
    <x v="0"/>
    <x v="1"/>
  </r>
  <r>
    <n v="37"/>
    <n v="0"/>
    <n v="2"/>
    <n v="15"/>
    <n v="1"/>
    <n v="3.4756314851146701"/>
    <n v="77"/>
    <n v="94"/>
    <n v="12"/>
    <x v="1"/>
    <x v="1"/>
    <d v="2024-01-01T00:00:00"/>
    <d v="2024-02-08T00:00:00"/>
    <s v="N/A"/>
    <n v="38"/>
    <s v="N/A"/>
    <x v="3"/>
    <x v="0"/>
  </r>
  <r>
    <n v="34"/>
    <n v="1"/>
    <n v="2"/>
    <n v="3"/>
    <n v="4"/>
    <n v="30.967929356790101"/>
    <n v="43"/>
    <n v="34"/>
    <n v="51"/>
    <x v="2"/>
    <x v="1"/>
    <d v="2024-01-01T00:00:00"/>
    <d v="2024-01-30T00:00:00"/>
    <s v="N/A"/>
    <n v="29"/>
    <s v="N/A"/>
    <x v="2"/>
    <x v="1"/>
  </r>
  <r>
    <n v="36"/>
    <n v="0"/>
    <n v="2"/>
    <n v="14"/>
    <n v="2"/>
    <n v="18.083728690922701"/>
    <n v="73"/>
    <n v="64"/>
    <n v="57"/>
    <x v="1"/>
    <x v="1"/>
    <d v="2024-01-01T00:00:00"/>
    <d v="2024-01-29T00:00:00"/>
    <s v="N/A"/>
    <n v="28"/>
    <s v="N/A"/>
    <x v="1"/>
    <x v="1"/>
  </r>
  <r>
    <n v="30"/>
    <n v="1"/>
    <n v="3"/>
    <n v="4"/>
    <n v="4"/>
    <n v="48.665818610047999"/>
    <n v="53"/>
    <n v="71"/>
    <n v="95"/>
    <x v="1"/>
    <x v="1"/>
    <d v="2024-01-01T00:00:00"/>
    <d v="2024-01-24T00:00:00"/>
    <s v="N/A"/>
    <n v="23"/>
    <s v="N/A"/>
    <x v="3"/>
    <x v="1"/>
  </r>
  <r>
    <n v="40"/>
    <n v="0"/>
    <n v="2"/>
    <n v="3"/>
    <n v="5"/>
    <n v="46.159534536139198"/>
    <n v="19"/>
    <n v="75"/>
    <n v="36"/>
    <x v="0"/>
    <x v="1"/>
    <d v="2024-01-01T00:00:00"/>
    <d v="2024-01-27T00:00:00"/>
    <s v="N/A"/>
    <n v="26"/>
    <s v="N/A"/>
    <x v="3"/>
    <x v="1"/>
  </r>
  <r>
    <n v="45"/>
    <n v="0"/>
    <n v="3"/>
    <n v="2"/>
    <n v="5"/>
    <n v="36.685312933835299"/>
    <n v="78"/>
    <n v="82"/>
    <n v="78"/>
    <x v="1"/>
    <x v="0"/>
    <d v="2024-01-01T00:00:00"/>
    <d v="2024-02-02T00:00:00"/>
    <d v="2024-02-10T00:00:00"/>
    <n v="32"/>
    <n v="8"/>
    <x v="0"/>
    <x v="0"/>
  </r>
  <r>
    <n v="50"/>
    <n v="1"/>
    <n v="2"/>
    <n v="4"/>
    <n v="2"/>
    <n v="41.907279056390003"/>
    <n v="30"/>
    <n v="24"/>
    <n v="75"/>
    <x v="1"/>
    <x v="1"/>
    <d v="2024-01-01T00:00:00"/>
    <d v="2024-01-25T00:00:00"/>
    <s v="N/A"/>
    <n v="24"/>
    <s v="N/A"/>
    <x v="2"/>
    <x v="1"/>
  </r>
  <r>
    <n v="44"/>
    <n v="0"/>
    <n v="3"/>
    <n v="13"/>
    <n v="3"/>
    <n v="34.366592483384601"/>
    <n v="6"/>
    <n v="56"/>
    <n v="60"/>
    <x v="2"/>
    <x v="1"/>
    <d v="2024-01-01T00:00:00"/>
    <d v="2024-01-29T00:00:00"/>
    <s v="N/A"/>
    <n v="28"/>
    <s v="N/A"/>
    <x v="1"/>
    <x v="1"/>
  </r>
  <r>
    <n v="41"/>
    <n v="1"/>
    <n v="4"/>
    <n v="8"/>
    <n v="5"/>
    <n v="7.2791051355080301"/>
    <n v="57"/>
    <n v="31"/>
    <n v="78"/>
    <x v="0"/>
    <x v="0"/>
    <d v="2024-01-01T00:00:00"/>
    <d v="2024-01-26T00:00:00"/>
    <d v="2024-02-08T00:00:00"/>
    <n v="25"/>
    <n v="13"/>
    <x v="0"/>
    <x v="1"/>
  </r>
  <r>
    <n v="46"/>
    <n v="1"/>
    <n v="2"/>
    <n v="7"/>
    <n v="1"/>
    <n v="39.277168484460098"/>
    <n v="9"/>
    <n v="62"/>
    <n v="33"/>
    <x v="1"/>
    <x v="1"/>
    <d v="2024-01-01T00:00:00"/>
    <d v="2024-02-14T00:00:00"/>
    <s v="N/A"/>
    <n v="44"/>
    <s v="N/A"/>
    <x v="1"/>
    <x v="0"/>
  </r>
  <r>
    <n v="46"/>
    <n v="0"/>
    <n v="4"/>
    <n v="7"/>
    <n v="2"/>
    <n v="11.5095984359423"/>
    <n v="9"/>
    <n v="11"/>
    <n v="69"/>
    <x v="1"/>
    <x v="1"/>
    <d v="2024-01-01T00:00:00"/>
    <d v="2024-01-30T00:00:00"/>
    <s v="N/A"/>
    <n v="29"/>
    <s v="N/A"/>
    <x v="2"/>
    <x v="1"/>
  </r>
  <r>
    <n v="36"/>
    <n v="1"/>
    <n v="1"/>
    <n v="7"/>
    <n v="4"/>
    <n v="17.172142755009801"/>
    <n v="38"/>
    <n v="62"/>
    <n v="16"/>
    <x v="2"/>
    <x v="1"/>
    <d v="2024-01-01T00:00:00"/>
    <d v="2024-02-06T00:00:00"/>
    <s v="N/A"/>
    <n v="36"/>
    <s v="N/A"/>
    <x v="1"/>
    <x v="0"/>
  </r>
  <r>
    <n v="32"/>
    <n v="1"/>
    <n v="1"/>
    <n v="11"/>
    <n v="4"/>
    <n v="41.961710605120999"/>
    <n v="27"/>
    <n v="76"/>
    <n v="19"/>
    <x v="0"/>
    <x v="0"/>
    <d v="2024-01-01T00:00:00"/>
    <d v="2024-02-07T00:00:00"/>
    <d v="2024-03-02T00:00:00"/>
    <n v="37"/>
    <n v="24"/>
    <x v="0"/>
    <x v="0"/>
  </r>
  <r>
    <n v="20"/>
    <n v="1"/>
    <n v="1"/>
    <n v="7"/>
    <n v="1"/>
    <n v="27.826280419672401"/>
    <n v="29"/>
    <n v="91"/>
    <n v="72"/>
    <x v="2"/>
    <x v="1"/>
    <d v="2024-01-01T00:00:00"/>
    <d v="2024-02-13T00:00:00"/>
    <s v="N/A"/>
    <n v="43"/>
    <s v="N/A"/>
    <x v="3"/>
    <x v="0"/>
  </r>
  <r>
    <n v="21"/>
    <n v="1"/>
    <n v="2"/>
    <n v="6"/>
    <n v="5"/>
    <n v="43.997035709170397"/>
    <n v="36"/>
    <n v="0"/>
    <n v="58"/>
    <x v="1"/>
    <x v="1"/>
    <d v="2024-01-01T00:00:00"/>
    <d v="2024-02-02T00:00:00"/>
    <s v="N/A"/>
    <n v="32"/>
    <s v="N/A"/>
    <x v="2"/>
    <x v="0"/>
  </r>
  <r>
    <n v="28"/>
    <n v="1"/>
    <n v="2"/>
    <n v="7"/>
    <n v="2"/>
    <n v="11.651765992163201"/>
    <n v="66"/>
    <n v="50"/>
    <n v="68"/>
    <x v="1"/>
    <x v="1"/>
    <d v="2024-01-01T00:00:00"/>
    <d v="2024-01-31T00:00:00"/>
    <s v="N/A"/>
    <n v="30"/>
    <s v="N/A"/>
    <x v="1"/>
    <x v="1"/>
  </r>
  <r>
    <n v="22"/>
    <n v="0"/>
    <n v="1"/>
    <n v="10"/>
    <n v="1"/>
    <n v="31.388921930344299"/>
    <n v="42"/>
    <n v="69"/>
    <n v="86"/>
    <x v="0"/>
    <x v="0"/>
    <d v="2024-01-01T00:00:00"/>
    <d v="2024-02-04T00:00:00"/>
    <d v="2024-02-17T00:00:00"/>
    <n v="34"/>
    <n v="13"/>
    <x v="0"/>
    <x v="0"/>
  </r>
  <r>
    <n v="50"/>
    <n v="1"/>
    <n v="1"/>
    <n v="13"/>
    <n v="5"/>
    <n v="5.18954862741308"/>
    <n v="78"/>
    <n v="7"/>
    <n v="32"/>
    <x v="1"/>
    <x v="1"/>
    <d v="2024-01-01T00:00:00"/>
    <d v="2024-01-21T00:00:00"/>
    <s v="N/A"/>
    <n v="20"/>
    <s v="N/A"/>
    <x v="2"/>
    <x v="1"/>
  </r>
  <r>
    <n v="20"/>
    <n v="1"/>
    <n v="4"/>
    <n v="15"/>
    <n v="2"/>
    <n v="33.153049677001398"/>
    <n v="84"/>
    <n v="67"/>
    <n v="77"/>
    <x v="1"/>
    <x v="0"/>
    <d v="2024-01-01T00:00:00"/>
    <d v="2024-02-08T00:00:00"/>
    <d v="2024-02-21T00:00:00"/>
    <n v="38"/>
    <n v="13"/>
    <x v="0"/>
    <x v="0"/>
  </r>
  <r>
    <n v="40"/>
    <n v="1"/>
    <n v="3"/>
    <n v="7"/>
    <n v="4"/>
    <n v="39.126701888776701"/>
    <n v="51"/>
    <n v="4"/>
    <n v="16"/>
    <x v="1"/>
    <x v="1"/>
    <d v="2024-01-01T00:00:00"/>
    <d v="2024-02-02T00:00:00"/>
    <s v="N/A"/>
    <n v="32"/>
    <s v="N/A"/>
    <x v="2"/>
    <x v="0"/>
  </r>
  <r>
    <n v="35"/>
    <n v="1"/>
    <n v="3"/>
    <n v="12"/>
    <n v="2"/>
    <n v="30.246544698935999"/>
    <n v="100"/>
    <n v="88"/>
    <n v="56"/>
    <x v="0"/>
    <x v="0"/>
    <d v="2024-01-01T00:00:00"/>
    <d v="2024-02-06T00:00:00"/>
    <d v="2024-02-20T00:00:00"/>
    <n v="36"/>
    <n v="14"/>
    <x v="0"/>
    <x v="0"/>
  </r>
  <r>
    <n v="42"/>
    <n v="1"/>
    <n v="3"/>
    <n v="13"/>
    <n v="3"/>
    <n v="14.3115750749405"/>
    <n v="55"/>
    <n v="85"/>
    <n v="82"/>
    <x v="0"/>
    <x v="0"/>
    <d v="2024-01-01T00:00:00"/>
    <d v="2024-02-03T00:00:00"/>
    <d v="2024-02-22T00:00:00"/>
    <n v="33"/>
    <n v="19"/>
    <x v="0"/>
    <x v="0"/>
  </r>
  <r>
    <n v="25"/>
    <n v="0"/>
    <n v="3"/>
    <n v="7"/>
    <n v="2"/>
    <n v="2.5671334429433301"/>
    <n v="75"/>
    <n v="91"/>
    <n v="96"/>
    <x v="2"/>
    <x v="0"/>
    <d v="2024-01-01T00:00:00"/>
    <d v="2024-02-06T00:00:00"/>
    <d v="2024-03-02T00:00:00"/>
    <n v="36"/>
    <n v="25"/>
    <x v="0"/>
    <x v="0"/>
  </r>
  <r>
    <n v="47"/>
    <n v="1"/>
    <n v="1"/>
    <n v="11"/>
    <n v="3"/>
    <n v="6.97244419821428"/>
    <n v="67"/>
    <n v="38"/>
    <n v="0"/>
    <x v="2"/>
    <x v="1"/>
    <d v="2024-01-01T00:00:00"/>
    <d v="2024-01-16T00:00:00"/>
    <s v="N/A"/>
    <n v="15"/>
    <s v="N/A"/>
    <x v="2"/>
    <x v="1"/>
  </r>
  <r>
    <n v="36"/>
    <n v="0"/>
    <n v="2"/>
    <n v="9"/>
    <n v="2"/>
    <n v="32.115148953701301"/>
    <n v="8"/>
    <n v="22"/>
    <n v="12"/>
    <x v="1"/>
    <x v="1"/>
    <d v="2024-01-01T00:00:00"/>
    <d v="2024-02-12T00:00:00"/>
    <s v="N/A"/>
    <n v="42"/>
    <s v="N/A"/>
    <x v="2"/>
    <x v="0"/>
  </r>
  <r>
    <n v="24"/>
    <n v="0"/>
    <n v="3"/>
    <n v="6"/>
    <n v="3"/>
    <n v="47.721010842125601"/>
    <n v="91"/>
    <n v="67"/>
    <n v="26"/>
    <x v="0"/>
    <x v="0"/>
    <d v="2024-01-01T00:00:00"/>
    <d v="2024-02-13T00:00:00"/>
    <d v="2024-03-02T00:00:00"/>
    <n v="43"/>
    <n v="18"/>
    <x v="0"/>
    <x v="0"/>
  </r>
  <r>
    <n v="50"/>
    <n v="0"/>
    <n v="2"/>
    <n v="11"/>
    <n v="4"/>
    <n v="11.326720198600301"/>
    <n v="22"/>
    <n v="51"/>
    <n v="69"/>
    <x v="1"/>
    <x v="1"/>
    <d v="2024-01-01T00:00:00"/>
    <d v="2024-02-05T00:00:00"/>
    <s v="N/A"/>
    <n v="35"/>
    <s v="N/A"/>
    <x v="1"/>
    <x v="0"/>
  </r>
  <r>
    <n v="24"/>
    <n v="0"/>
    <n v="2"/>
    <n v="0"/>
    <n v="5"/>
    <n v="37.751307455254903"/>
    <n v="62"/>
    <n v="3"/>
    <n v="58"/>
    <x v="1"/>
    <x v="1"/>
    <d v="2024-01-01T00:00:00"/>
    <d v="2024-02-04T00:00:00"/>
    <s v="N/A"/>
    <n v="34"/>
    <s v="N/A"/>
    <x v="2"/>
    <x v="0"/>
  </r>
  <r>
    <n v="25"/>
    <n v="1"/>
    <n v="1"/>
    <n v="3"/>
    <n v="3"/>
    <n v="44.322553162452003"/>
    <n v="60"/>
    <n v="46"/>
    <n v="5"/>
    <x v="2"/>
    <x v="1"/>
    <d v="2024-01-01T00:00:00"/>
    <d v="2024-01-27T00:00:00"/>
    <s v="N/A"/>
    <n v="26"/>
    <s v="N/A"/>
    <x v="2"/>
    <x v="1"/>
  </r>
  <r>
    <n v="22"/>
    <n v="0"/>
    <n v="2"/>
    <n v="12"/>
    <n v="3"/>
    <n v="27.0441089223755"/>
    <n v="39"/>
    <n v="20"/>
    <n v="96"/>
    <x v="1"/>
    <x v="1"/>
    <d v="2024-01-01T00:00:00"/>
    <d v="2024-01-27T00:00:00"/>
    <s v="N/A"/>
    <n v="26"/>
    <s v="N/A"/>
    <x v="2"/>
    <x v="1"/>
  </r>
  <r>
    <n v="40"/>
    <n v="0"/>
    <n v="2"/>
    <n v="12"/>
    <n v="4"/>
    <n v="34.463289792182799"/>
    <n v="43"/>
    <n v="100"/>
    <n v="93"/>
    <x v="2"/>
    <x v="1"/>
    <d v="2024-01-01T00:00:00"/>
    <d v="2024-01-31T00:00:00"/>
    <s v="N/A"/>
    <n v="30"/>
    <s v="N/A"/>
    <x v="3"/>
    <x v="1"/>
  </r>
  <r>
    <n v="42"/>
    <n v="1"/>
    <n v="2"/>
    <n v="15"/>
    <n v="3"/>
    <n v="41.750765833807399"/>
    <n v="85"/>
    <n v="55"/>
    <n v="98"/>
    <x v="2"/>
    <x v="0"/>
    <d v="2024-01-01T00:00:00"/>
    <d v="2024-02-05T00:00:00"/>
    <d v="2024-02-17T00:00:00"/>
    <n v="35"/>
    <n v="12"/>
    <x v="0"/>
    <x v="0"/>
  </r>
  <r>
    <n v="24"/>
    <n v="1"/>
    <n v="2"/>
    <n v="3"/>
    <n v="1"/>
    <n v="14.0337578870296"/>
    <n v="23"/>
    <n v="65"/>
    <n v="22"/>
    <x v="2"/>
    <x v="1"/>
    <d v="2024-01-01T00:00:00"/>
    <d v="2024-02-09T00:00:00"/>
    <s v="N/A"/>
    <n v="39"/>
    <s v="N/A"/>
    <x v="1"/>
    <x v="0"/>
  </r>
  <r>
    <n v="40"/>
    <n v="1"/>
    <n v="2"/>
    <n v="4"/>
    <n v="4"/>
    <n v="15.8447837134021"/>
    <n v="50"/>
    <n v="58"/>
    <n v="9"/>
    <x v="0"/>
    <x v="1"/>
    <d v="2024-01-01T00:00:00"/>
    <d v="2024-02-02T00:00:00"/>
    <s v="N/A"/>
    <n v="32"/>
    <s v="N/A"/>
    <x v="1"/>
    <x v="0"/>
  </r>
  <r>
    <n v="24"/>
    <n v="0"/>
    <n v="1"/>
    <n v="9"/>
    <n v="1"/>
    <n v="1.0313758314228001"/>
    <n v="57"/>
    <n v="6"/>
    <n v="50"/>
    <x v="0"/>
    <x v="1"/>
    <d v="2024-01-01T00:00:00"/>
    <d v="2024-01-21T00:00:00"/>
    <s v="N/A"/>
    <n v="20"/>
    <s v="N/A"/>
    <x v="2"/>
    <x v="1"/>
  </r>
  <r>
    <n v="29"/>
    <n v="1"/>
    <n v="1"/>
    <n v="5"/>
    <n v="4"/>
    <n v="49.154706544890097"/>
    <n v="89"/>
    <n v="48"/>
    <n v="18"/>
    <x v="1"/>
    <x v="1"/>
    <d v="2024-01-01T00:00:00"/>
    <d v="2024-02-09T00:00:00"/>
    <s v="N/A"/>
    <n v="39"/>
    <s v="N/A"/>
    <x v="2"/>
    <x v="0"/>
  </r>
  <r>
    <n v="29"/>
    <n v="1"/>
    <n v="3"/>
    <n v="3"/>
    <n v="3"/>
    <n v="46.8772447298172"/>
    <n v="93"/>
    <n v="15"/>
    <n v="50"/>
    <x v="1"/>
    <x v="1"/>
    <d v="2024-01-01T00:00:00"/>
    <d v="2024-01-23T00:00:00"/>
    <s v="N/A"/>
    <n v="22"/>
    <s v="N/A"/>
    <x v="2"/>
    <x v="1"/>
  </r>
  <r>
    <n v="38"/>
    <n v="0"/>
    <n v="2"/>
    <n v="14"/>
    <n v="1"/>
    <n v="39.228413187971498"/>
    <n v="32"/>
    <n v="16"/>
    <n v="91"/>
    <x v="0"/>
    <x v="0"/>
    <d v="2024-01-01T00:00:00"/>
    <d v="2024-02-14T00:00:00"/>
    <d v="2024-03-01T00:00:00"/>
    <n v="44"/>
    <n v="16"/>
    <x v="0"/>
    <x v="0"/>
  </r>
  <r>
    <n v="36"/>
    <n v="1"/>
    <n v="1"/>
    <n v="1"/>
    <n v="3"/>
    <n v="4.9538010488323998"/>
    <n v="15"/>
    <n v="83"/>
    <n v="86"/>
    <x v="0"/>
    <x v="0"/>
    <d v="2024-01-01T00:00:00"/>
    <d v="2024-02-09T00:00:00"/>
    <d v="2024-02-21T00:00:00"/>
    <n v="39"/>
    <n v="12"/>
    <x v="0"/>
    <x v="0"/>
  </r>
  <r>
    <n v="40"/>
    <n v="1"/>
    <n v="3"/>
    <n v="15"/>
    <n v="4"/>
    <n v="23.375144484975401"/>
    <n v="21"/>
    <n v="86"/>
    <n v="67"/>
    <x v="1"/>
    <x v="0"/>
    <d v="2024-01-01T00:00:00"/>
    <d v="2024-01-30T00:00:00"/>
    <d v="2024-02-17T00:00:00"/>
    <n v="29"/>
    <n v="18"/>
    <x v="0"/>
    <x v="1"/>
  </r>
  <r>
    <n v="33"/>
    <n v="1"/>
    <n v="2"/>
    <n v="5"/>
    <n v="3"/>
    <n v="6.0945876985776399"/>
    <n v="56"/>
    <n v="97"/>
    <n v="83"/>
    <x v="1"/>
    <x v="1"/>
    <d v="2024-01-01T00:00:00"/>
    <d v="2024-02-12T00:00:00"/>
    <s v="N/A"/>
    <n v="42"/>
    <s v="N/A"/>
    <x v="3"/>
    <x v="0"/>
  </r>
  <r>
    <n v="28"/>
    <n v="1"/>
    <n v="2"/>
    <n v="14"/>
    <n v="1"/>
    <n v="1.79601336313993"/>
    <n v="61"/>
    <n v="74"/>
    <n v="82"/>
    <x v="1"/>
    <x v="1"/>
    <d v="2024-01-01T00:00:00"/>
    <d v="2024-01-31T00:00:00"/>
    <s v="N/A"/>
    <n v="30"/>
    <s v="N/A"/>
    <x v="3"/>
    <x v="1"/>
  </r>
  <r>
    <n v="33"/>
    <n v="0"/>
    <n v="1"/>
    <n v="7"/>
    <n v="1"/>
    <n v="31.809148260629801"/>
    <n v="81"/>
    <n v="33"/>
    <n v="41"/>
    <x v="1"/>
    <x v="1"/>
    <d v="2024-01-01T00:00:00"/>
    <d v="2024-01-17T00:00:00"/>
    <s v="N/A"/>
    <n v="16"/>
    <s v="N/A"/>
    <x v="2"/>
    <x v="1"/>
  </r>
  <r>
    <n v="20"/>
    <n v="1"/>
    <n v="3"/>
    <n v="14"/>
    <n v="3"/>
    <n v="49.041470854009397"/>
    <n v="70"/>
    <n v="32"/>
    <n v="90"/>
    <x v="1"/>
    <x v="1"/>
    <d v="2024-01-01T00:00:00"/>
    <d v="2024-01-27T00:00:00"/>
    <s v="N/A"/>
    <n v="26"/>
    <s v="N/A"/>
    <x v="2"/>
    <x v="1"/>
  </r>
  <r>
    <n v="38"/>
    <n v="1"/>
    <n v="2"/>
    <n v="7"/>
    <n v="2"/>
    <n v="46.143401171607501"/>
    <n v="89"/>
    <n v="25"/>
    <n v="56"/>
    <x v="1"/>
    <x v="1"/>
    <d v="2024-01-01T00:00:00"/>
    <d v="2024-01-15T00:00:00"/>
    <s v="N/A"/>
    <n v="14"/>
    <s v="N/A"/>
    <x v="2"/>
    <x v="1"/>
  </r>
  <r>
    <n v="32"/>
    <n v="0"/>
    <n v="2"/>
    <n v="6"/>
    <n v="4"/>
    <n v="35.837740746770201"/>
    <n v="71"/>
    <n v="65"/>
    <n v="97"/>
    <x v="0"/>
    <x v="0"/>
    <d v="2024-01-01T00:00:00"/>
    <d v="2024-02-11T00:00:00"/>
    <d v="2024-02-29T00:00:00"/>
    <n v="41"/>
    <n v="18"/>
    <x v="0"/>
    <x v="0"/>
  </r>
  <r>
    <n v="32"/>
    <n v="1"/>
    <n v="3"/>
    <n v="5"/>
    <n v="4"/>
    <n v="5.8320292082435703"/>
    <n v="69"/>
    <n v="62"/>
    <n v="67"/>
    <x v="1"/>
    <x v="1"/>
    <d v="2024-01-01T00:00:00"/>
    <d v="2024-02-03T00:00:00"/>
    <s v="N/A"/>
    <n v="33"/>
    <s v="N/A"/>
    <x v="1"/>
    <x v="0"/>
  </r>
  <r>
    <n v="23"/>
    <n v="0"/>
    <n v="2"/>
    <n v="1"/>
    <n v="3"/>
    <n v="14.708201883615001"/>
    <n v="29"/>
    <n v="86"/>
    <n v="37"/>
    <x v="1"/>
    <x v="1"/>
    <d v="2024-01-01T00:00:00"/>
    <d v="2024-01-27T00:00:00"/>
    <s v="N/A"/>
    <n v="26"/>
    <s v="N/A"/>
    <x v="3"/>
    <x v="1"/>
  </r>
  <r>
    <n v="49"/>
    <n v="1"/>
    <n v="2"/>
    <n v="14"/>
    <n v="2"/>
    <n v="17.002836344264502"/>
    <n v="22"/>
    <n v="40"/>
    <n v="61"/>
    <x v="0"/>
    <x v="0"/>
    <d v="2024-01-01T00:00:00"/>
    <d v="2024-01-18T00:00:00"/>
    <d v="2024-01-30T00:00:00"/>
    <n v="17"/>
    <n v="12"/>
    <x v="0"/>
    <x v="1"/>
  </r>
  <r>
    <n v="20"/>
    <n v="0"/>
    <n v="1"/>
    <n v="6"/>
    <n v="1"/>
    <n v="39.157502887278"/>
    <n v="31"/>
    <n v="85"/>
    <n v="6"/>
    <x v="1"/>
    <x v="1"/>
    <d v="2024-01-01T00:00:00"/>
    <d v="2024-01-25T00:00:00"/>
    <s v="N/A"/>
    <n v="24"/>
    <s v="N/A"/>
    <x v="3"/>
    <x v="1"/>
  </r>
  <r>
    <n v="36"/>
    <n v="0"/>
    <n v="2"/>
    <n v="10"/>
    <n v="5"/>
    <n v="41.112458961755699"/>
    <n v="85"/>
    <n v="57"/>
    <n v="70"/>
    <x v="1"/>
    <x v="0"/>
    <d v="2024-01-01T00:00:00"/>
    <d v="2024-01-25T00:00:00"/>
    <d v="2024-02-17T00:00:00"/>
    <n v="24"/>
    <n v="23"/>
    <x v="0"/>
    <x v="1"/>
  </r>
  <r>
    <n v="27"/>
    <n v="0"/>
    <n v="1"/>
    <n v="11"/>
    <n v="5"/>
    <n v="20.255306149496001"/>
    <n v="56"/>
    <n v="97"/>
    <n v="49"/>
    <x v="1"/>
    <x v="1"/>
    <d v="2024-01-01T00:00:00"/>
    <d v="2024-02-13T00:00:00"/>
    <s v="N/A"/>
    <n v="43"/>
    <s v="N/A"/>
    <x v="3"/>
    <x v="0"/>
  </r>
  <r>
    <n v="21"/>
    <n v="0"/>
    <n v="2"/>
    <n v="13"/>
    <n v="3"/>
    <n v="21.8941998308804"/>
    <n v="8"/>
    <n v="78"/>
    <n v="51"/>
    <x v="1"/>
    <x v="1"/>
    <d v="2024-01-01T00:00:00"/>
    <d v="2024-01-24T00:00:00"/>
    <s v="N/A"/>
    <n v="23"/>
    <s v="N/A"/>
    <x v="3"/>
    <x v="1"/>
  </r>
  <r>
    <n v="47"/>
    <n v="1"/>
    <n v="3"/>
    <n v="15"/>
    <n v="2"/>
    <n v="3.2254519638085601"/>
    <n v="30"/>
    <n v="9"/>
    <n v="25"/>
    <x v="1"/>
    <x v="1"/>
    <d v="2024-01-01T00:00:00"/>
    <d v="2024-01-28T00:00:00"/>
    <s v="N/A"/>
    <n v="27"/>
    <s v="N/A"/>
    <x v="2"/>
    <x v="1"/>
  </r>
  <r>
    <n v="50"/>
    <n v="0"/>
    <n v="2"/>
    <n v="13"/>
    <n v="2"/>
    <n v="15.456835920938"/>
    <n v="70"/>
    <n v="14"/>
    <n v="25"/>
    <x v="1"/>
    <x v="1"/>
    <d v="2024-01-01T00:00:00"/>
    <d v="2024-02-01T00:00:00"/>
    <s v="N/A"/>
    <n v="31"/>
    <s v="N/A"/>
    <x v="2"/>
    <x v="0"/>
  </r>
  <r>
    <n v="27"/>
    <n v="1"/>
    <n v="2"/>
    <n v="4"/>
    <n v="4"/>
    <n v="23.5642588588819"/>
    <n v="8"/>
    <n v="41"/>
    <n v="18"/>
    <x v="2"/>
    <x v="1"/>
    <d v="2024-01-01T00:00:00"/>
    <d v="2024-01-25T00:00:00"/>
    <s v="N/A"/>
    <n v="24"/>
    <s v="N/A"/>
    <x v="2"/>
    <x v="1"/>
  </r>
  <r>
    <n v="26"/>
    <n v="0"/>
    <n v="1"/>
    <n v="15"/>
    <n v="1"/>
    <n v="6.8491523192628696"/>
    <n v="12"/>
    <n v="92"/>
    <n v="8"/>
    <x v="0"/>
    <x v="0"/>
    <d v="2024-01-01T00:00:00"/>
    <d v="2024-01-17T00:00:00"/>
    <d v="2024-02-03T00:00:00"/>
    <n v="16"/>
    <n v="17"/>
    <x v="0"/>
    <x v="1"/>
  </r>
  <r>
    <n v="45"/>
    <n v="0"/>
    <n v="2"/>
    <n v="5"/>
    <n v="2"/>
    <n v="23.663373037751001"/>
    <n v="57"/>
    <n v="56"/>
    <n v="60"/>
    <x v="2"/>
    <x v="1"/>
    <d v="2024-01-01T00:00:00"/>
    <d v="2024-02-13T00:00:00"/>
    <s v="N/A"/>
    <n v="43"/>
    <s v="N/A"/>
    <x v="1"/>
    <x v="0"/>
  </r>
  <r>
    <n v="45"/>
    <n v="0"/>
    <n v="2"/>
    <n v="9"/>
    <n v="5"/>
    <n v="43.658790612890002"/>
    <n v="2"/>
    <n v="86"/>
    <n v="19"/>
    <x v="1"/>
    <x v="1"/>
    <d v="2024-01-01T00:00:00"/>
    <d v="2024-01-23T00:00:00"/>
    <s v="N/A"/>
    <n v="22"/>
    <s v="N/A"/>
    <x v="3"/>
    <x v="1"/>
  </r>
  <r>
    <n v="21"/>
    <n v="1"/>
    <n v="3"/>
    <n v="7"/>
    <n v="1"/>
    <n v="30.066050986252598"/>
    <n v="34"/>
    <n v="16"/>
    <n v="49"/>
    <x v="0"/>
    <x v="0"/>
    <d v="2024-01-01T00:00:00"/>
    <d v="2024-02-10T00:00:00"/>
    <d v="2024-02-20T00:00:00"/>
    <n v="40"/>
    <n v="10"/>
    <x v="0"/>
    <x v="0"/>
  </r>
  <r>
    <n v="41"/>
    <n v="0"/>
    <n v="1"/>
    <n v="15"/>
    <n v="1"/>
    <n v="4.9464927519206103"/>
    <n v="96"/>
    <n v="59"/>
    <n v="79"/>
    <x v="0"/>
    <x v="0"/>
    <d v="2024-01-01T00:00:00"/>
    <d v="2024-01-28T00:00:00"/>
    <d v="2024-02-12T00:00:00"/>
    <n v="27"/>
    <n v="15"/>
    <x v="0"/>
    <x v="1"/>
  </r>
  <r>
    <n v="41"/>
    <n v="1"/>
    <n v="3"/>
    <n v="13"/>
    <n v="3"/>
    <n v="10.583565941513699"/>
    <n v="20"/>
    <n v="8"/>
    <n v="80"/>
    <x v="1"/>
    <x v="1"/>
    <d v="2024-01-01T00:00:00"/>
    <d v="2024-02-12T00:00:00"/>
    <s v="N/A"/>
    <n v="42"/>
    <s v="N/A"/>
    <x v="2"/>
    <x v="0"/>
  </r>
  <r>
    <n v="22"/>
    <n v="1"/>
    <n v="3"/>
    <n v="7"/>
    <n v="2"/>
    <n v="24.727217507927801"/>
    <n v="63"/>
    <n v="35"/>
    <n v="21"/>
    <x v="1"/>
    <x v="1"/>
    <d v="2024-01-01T00:00:00"/>
    <d v="2024-02-03T00:00:00"/>
    <s v="N/A"/>
    <n v="33"/>
    <s v="N/A"/>
    <x v="2"/>
    <x v="0"/>
  </r>
  <r>
    <n v="46"/>
    <n v="1"/>
    <n v="2"/>
    <n v="2"/>
    <n v="3"/>
    <n v="19.074357491090598"/>
    <n v="94"/>
    <n v="72"/>
    <n v="12"/>
    <x v="0"/>
    <x v="0"/>
    <d v="2024-01-01T00:00:00"/>
    <d v="2024-01-15T00:00:00"/>
    <d v="2024-01-23T00:00:00"/>
    <n v="14"/>
    <n v="8"/>
    <x v="0"/>
    <x v="1"/>
  </r>
  <r>
    <n v="37"/>
    <n v="1"/>
    <n v="3"/>
    <n v="11"/>
    <n v="2"/>
    <n v="18.936350977304901"/>
    <n v="51"/>
    <n v="79"/>
    <n v="11"/>
    <x v="0"/>
    <x v="0"/>
    <d v="2024-01-01T00:00:00"/>
    <d v="2024-02-05T00:00:00"/>
    <d v="2024-02-24T00:00:00"/>
    <n v="35"/>
    <n v="19"/>
    <x v="0"/>
    <x v="0"/>
  </r>
  <r>
    <n v="31"/>
    <n v="1"/>
    <n v="2"/>
    <n v="15"/>
    <n v="4"/>
    <n v="27.463372407179499"/>
    <n v="33"/>
    <n v="35"/>
    <n v="9"/>
    <x v="1"/>
    <x v="1"/>
    <d v="2024-01-01T00:00:00"/>
    <d v="2024-02-01T00:00:00"/>
    <s v="N/A"/>
    <n v="31"/>
    <s v="N/A"/>
    <x v="2"/>
    <x v="0"/>
  </r>
  <r>
    <n v="20"/>
    <n v="1"/>
    <n v="2"/>
    <n v="11"/>
    <n v="3"/>
    <n v="30.2197960794728"/>
    <n v="95"/>
    <n v="47"/>
    <n v="64"/>
    <x v="0"/>
    <x v="0"/>
    <d v="2024-01-01T00:00:00"/>
    <d v="2024-02-03T00:00:00"/>
    <d v="2024-02-23T00:00:00"/>
    <n v="33"/>
    <n v="20"/>
    <x v="0"/>
    <x v="0"/>
  </r>
  <r>
    <n v="41"/>
    <n v="1"/>
    <n v="2"/>
    <n v="13"/>
    <n v="3"/>
    <n v="40.843078513809502"/>
    <n v="34"/>
    <n v="50"/>
    <n v="95"/>
    <x v="2"/>
    <x v="1"/>
    <d v="2024-01-01T00:00:00"/>
    <d v="2024-02-14T00:00:00"/>
    <s v="N/A"/>
    <n v="44"/>
    <s v="N/A"/>
    <x v="1"/>
    <x v="0"/>
  </r>
  <r>
    <n v="31"/>
    <n v="1"/>
    <n v="2"/>
    <n v="6"/>
    <n v="5"/>
    <n v="18.048328173124201"/>
    <n v="14"/>
    <n v="96"/>
    <n v="29"/>
    <x v="1"/>
    <x v="1"/>
    <d v="2024-01-01T00:00:00"/>
    <d v="2024-01-28T00:00:00"/>
    <s v="N/A"/>
    <n v="27"/>
    <s v="N/A"/>
    <x v="3"/>
    <x v="1"/>
  </r>
  <r>
    <n v="24"/>
    <n v="1"/>
    <n v="2"/>
    <n v="0"/>
    <n v="3"/>
    <n v="41.2733141520293"/>
    <n v="95"/>
    <n v="94"/>
    <n v="7"/>
    <x v="1"/>
    <x v="1"/>
    <d v="2024-01-01T00:00:00"/>
    <d v="2024-02-15T00:00:00"/>
    <s v="N/A"/>
    <n v="45"/>
    <s v="N/A"/>
    <x v="3"/>
    <x v="0"/>
  </r>
  <r>
    <n v="49"/>
    <n v="0"/>
    <n v="2"/>
    <n v="0"/>
    <n v="2"/>
    <n v="17.930561455631601"/>
    <n v="5"/>
    <n v="69"/>
    <n v="20"/>
    <x v="1"/>
    <x v="1"/>
    <d v="2024-01-01T00:00:00"/>
    <d v="2024-02-08T00:00:00"/>
    <s v="N/A"/>
    <n v="38"/>
    <s v="N/A"/>
    <x v="1"/>
    <x v="0"/>
  </r>
  <r>
    <n v="49"/>
    <n v="0"/>
    <n v="2"/>
    <n v="6"/>
    <n v="5"/>
    <n v="3.7716494470616899"/>
    <n v="84"/>
    <n v="73"/>
    <n v="21"/>
    <x v="0"/>
    <x v="0"/>
    <d v="2024-01-01T00:00:00"/>
    <d v="2024-01-22T00:00:00"/>
    <d v="2024-01-31T00:00:00"/>
    <n v="21"/>
    <n v="9"/>
    <x v="0"/>
    <x v="1"/>
  </r>
  <r>
    <n v="46"/>
    <n v="0"/>
    <n v="2"/>
    <n v="14"/>
    <n v="3"/>
    <n v="28.7093825502395"/>
    <n v="96"/>
    <n v="79"/>
    <n v="17"/>
    <x v="2"/>
    <x v="1"/>
    <d v="2024-01-01T00:00:00"/>
    <d v="2024-01-26T00:00:00"/>
    <s v="N/A"/>
    <n v="25"/>
    <s v="N/A"/>
    <x v="3"/>
    <x v="1"/>
  </r>
  <r>
    <n v="44"/>
    <n v="0"/>
    <n v="1"/>
    <n v="14"/>
    <n v="3"/>
    <n v="30.395116244740699"/>
    <n v="31"/>
    <n v="67"/>
    <n v="65"/>
    <x v="0"/>
    <x v="0"/>
    <d v="2024-01-01T00:00:00"/>
    <d v="2024-02-03T00:00:00"/>
    <d v="2024-02-12T00:00:00"/>
    <n v="33"/>
    <n v="9"/>
    <x v="0"/>
    <x v="0"/>
  </r>
  <r>
    <n v="36"/>
    <n v="0"/>
    <n v="4"/>
    <n v="9"/>
    <n v="4"/>
    <n v="47.727012281093003"/>
    <n v="51"/>
    <n v="21"/>
    <n v="47"/>
    <x v="1"/>
    <x v="1"/>
    <d v="2024-01-01T00:00:00"/>
    <d v="2024-01-25T00:00:00"/>
    <s v="N/A"/>
    <n v="24"/>
    <s v="N/A"/>
    <x v="2"/>
    <x v="1"/>
  </r>
  <r>
    <n v="35"/>
    <n v="1"/>
    <n v="3"/>
    <n v="8"/>
    <n v="3"/>
    <n v="37.3030663031237"/>
    <n v="82"/>
    <n v="76"/>
    <n v="43"/>
    <x v="1"/>
    <x v="0"/>
    <d v="2024-01-01T00:00:00"/>
    <d v="2024-01-29T00:00:00"/>
    <d v="2024-02-23T00:00:00"/>
    <n v="28"/>
    <n v="25"/>
    <x v="0"/>
    <x v="1"/>
  </r>
  <r>
    <n v="50"/>
    <n v="1"/>
    <n v="2"/>
    <n v="6"/>
    <n v="1"/>
    <n v="46.8886326247219"/>
    <n v="96"/>
    <n v="79"/>
    <n v="8"/>
    <x v="0"/>
    <x v="0"/>
    <d v="2024-01-01T00:00:00"/>
    <d v="2024-01-17T00:00:00"/>
    <d v="2024-02-16T00:00:00"/>
    <n v="16"/>
    <n v="30"/>
    <x v="0"/>
    <x v="1"/>
  </r>
  <r>
    <n v="34"/>
    <n v="1"/>
    <n v="1"/>
    <n v="9"/>
    <n v="5"/>
    <n v="46.417360512150402"/>
    <n v="27"/>
    <n v="92"/>
    <n v="66"/>
    <x v="1"/>
    <x v="1"/>
    <d v="2024-01-01T00:00:00"/>
    <d v="2024-01-25T00:00:00"/>
    <s v="N/A"/>
    <n v="24"/>
    <s v="N/A"/>
    <x v="3"/>
    <x v="1"/>
  </r>
  <r>
    <n v="42"/>
    <n v="1"/>
    <n v="3"/>
    <n v="4"/>
    <n v="1"/>
    <n v="31.2287055129121"/>
    <n v="94"/>
    <n v="5"/>
    <n v="53"/>
    <x v="2"/>
    <x v="1"/>
    <d v="2024-01-01T00:00:00"/>
    <d v="2024-02-06T00:00:00"/>
    <s v="N/A"/>
    <n v="36"/>
    <s v="N/A"/>
    <x v="2"/>
    <x v="0"/>
  </r>
  <r>
    <n v="34"/>
    <n v="1"/>
    <n v="3"/>
    <n v="7"/>
    <n v="5"/>
    <n v="27.388103266822299"/>
    <n v="84"/>
    <n v="25"/>
    <n v="25"/>
    <x v="1"/>
    <x v="1"/>
    <d v="2024-01-01T00:00:00"/>
    <d v="2024-02-10T00:00:00"/>
    <s v="N/A"/>
    <n v="40"/>
    <s v="N/A"/>
    <x v="2"/>
    <x v="0"/>
  </r>
  <r>
    <n v="24"/>
    <n v="1"/>
    <n v="3"/>
    <n v="1"/>
    <n v="4"/>
    <n v="28.872048358179899"/>
    <n v="97"/>
    <n v="74"/>
    <n v="84"/>
    <x v="2"/>
    <x v="0"/>
    <d v="2024-01-01T00:00:00"/>
    <d v="2024-01-25T00:00:00"/>
    <d v="2024-02-17T00:00:00"/>
    <n v="24"/>
    <n v="23"/>
    <x v="0"/>
    <x v="1"/>
  </r>
  <r>
    <n v="40"/>
    <n v="1"/>
    <n v="2"/>
    <n v="8"/>
    <n v="3"/>
    <n v="49.916540383862298"/>
    <n v="63"/>
    <n v="87"/>
    <n v="93"/>
    <x v="2"/>
    <x v="1"/>
    <d v="2024-01-01T00:00:00"/>
    <d v="2024-02-07T00:00:00"/>
    <s v="N/A"/>
    <n v="37"/>
    <s v="N/A"/>
    <x v="3"/>
    <x v="0"/>
  </r>
  <r>
    <n v="33"/>
    <n v="0"/>
    <n v="2"/>
    <n v="5"/>
    <n v="3"/>
    <n v="39.658384587347904"/>
    <n v="78"/>
    <n v="92"/>
    <n v="91"/>
    <x v="1"/>
    <x v="1"/>
    <d v="2024-01-01T00:00:00"/>
    <d v="2024-02-09T00:00:00"/>
    <s v="N/A"/>
    <n v="39"/>
    <s v="N/A"/>
    <x v="3"/>
    <x v="0"/>
  </r>
  <r>
    <n v="21"/>
    <n v="0"/>
    <n v="1"/>
    <n v="12"/>
    <n v="3"/>
    <n v="6.3132952396197899"/>
    <n v="77"/>
    <n v="2"/>
    <n v="99"/>
    <x v="1"/>
    <x v="1"/>
    <d v="2024-01-01T00:00:00"/>
    <d v="2024-01-22T00:00:00"/>
    <s v="N/A"/>
    <n v="21"/>
    <s v="N/A"/>
    <x v="2"/>
    <x v="1"/>
  </r>
  <r>
    <n v="30"/>
    <n v="0"/>
    <n v="1"/>
    <n v="8"/>
    <n v="5"/>
    <n v="39.921420339069897"/>
    <n v="18"/>
    <n v="51"/>
    <n v="25"/>
    <x v="1"/>
    <x v="1"/>
    <d v="2024-01-01T00:00:00"/>
    <d v="2024-02-05T00:00:00"/>
    <s v="N/A"/>
    <n v="35"/>
    <s v="N/A"/>
    <x v="1"/>
    <x v="0"/>
  </r>
  <r>
    <n v="38"/>
    <n v="0"/>
    <n v="3"/>
    <n v="15"/>
    <n v="3"/>
    <n v="9.5269024449112898"/>
    <n v="14"/>
    <n v="73"/>
    <n v="33"/>
    <x v="1"/>
    <x v="1"/>
    <d v="2024-01-01T00:00:00"/>
    <d v="2024-01-27T00:00:00"/>
    <s v="N/A"/>
    <n v="26"/>
    <s v="N/A"/>
    <x v="3"/>
    <x v="1"/>
  </r>
  <r>
    <n v="26"/>
    <n v="1"/>
    <n v="3"/>
    <n v="1"/>
    <n v="1"/>
    <n v="23.367527450281202"/>
    <n v="5"/>
    <n v="59"/>
    <n v="7"/>
    <x v="0"/>
    <x v="0"/>
    <d v="2024-01-01T00:00:00"/>
    <d v="2024-01-26T00:00:00"/>
    <d v="2024-02-12T00:00:00"/>
    <n v="25"/>
    <n v="17"/>
    <x v="0"/>
    <x v="1"/>
  </r>
  <r>
    <n v="25"/>
    <n v="1"/>
    <n v="2"/>
    <n v="2"/>
    <n v="3"/>
    <n v="11.522983608826699"/>
    <n v="72"/>
    <n v="62"/>
    <n v="9"/>
    <x v="2"/>
    <x v="1"/>
    <d v="2024-01-01T00:00:00"/>
    <d v="2024-02-11T00:00:00"/>
    <s v="N/A"/>
    <n v="41"/>
    <s v="N/A"/>
    <x v="1"/>
    <x v="0"/>
  </r>
  <r>
    <n v="47"/>
    <n v="1"/>
    <n v="3"/>
    <n v="11"/>
    <n v="4"/>
    <n v="35.4791532766614"/>
    <n v="100"/>
    <n v="64"/>
    <n v="47"/>
    <x v="1"/>
    <x v="0"/>
    <d v="2024-01-01T00:00:00"/>
    <d v="2024-01-19T00:00:00"/>
    <d v="2024-02-15T00:00:00"/>
    <n v="18"/>
    <n v="27"/>
    <x v="0"/>
    <x v="1"/>
  </r>
  <r>
    <n v="21"/>
    <n v="0"/>
    <n v="2"/>
    <n v="7"/>
    <n v="1"/>
    <n v="44.865486809651699"/>
    <n v="83"/>
    <n v="51"/>
    <n v="54"/>
    <x v="1"/>
    <x v="1"/>
    <d v="2024-01-01T00:00:00"/>
    <d v="2024-01-24T00:00:00"/>
    <s v="N/A"/>
    <n v="23"/>
    <s v="N/A"/>
    <x v="1"/>
    <x v="1"/>
  </r>
  <r>
    <n v="25"/>
    <n v="1"/>
    <n v="2"/>
    <n v="0"/>
    <n v="3"/>
    <n v="15.518094268334"/>
    <n v="97"/>
    <n v="89"/>
    <n v="53"/>
    <x v="1"/>
    <x v="1"/>
    <d v="2024-01-01T00:00:00"/>
    <d v="2024-01-29T00:00:00"/>
    <s v="N/A"/>
    <n v="28"/>
    <s v="N/A"/>
    <x v="3"/>
    <x v="1"/>
  </r>
  <r>
    <n v="37"/>
    <n v="1"/>
    <n v="2"/>
    <n v="14"/>
    <n v="3"/>
    <n v="5.1005370604093798"/>
    <n v="37"/>
    <n v="75"/>
    <n v="77"/>
    <x v="1"/>
    <x v="1"/>
    <d v="2024-01-01T00:00:00"/>
    <d v="2024-01-29T00:00:00"/>
    <s v="N/A"/>
    <n v="28"/>
    <s v="N/A"/>
    <x v="3"/>
    <x v="1"/>
  </r>
  <r>
    <n v="21"/>
    <n v="1"/>
    <n v="4"/>
    <n v="9"/>
    <n v="2"/>
    <n v="15.924654903748101"/>
    <n v="25"/>
    <n v="13"/>
    <n v="39"/>
    <x v="2"/>
    <x v="1"/>
    <d v="2024-01-01T00:00:00"/>
    <d v="2024-02-11T00:00:00"/>
    <s v="N/A"/>
    <n v="41"/>
    <s v="N/A"/>
    <x v="2"/>
    <x v="0"/>
  </r>
  <r>
    <n v="37"/>
    <n v="0"/>
    <n v="1"/>
    <n v="14"/>
    <n v="5"/>
    <n v="34.618092896609703"/>
    <n v="81"/>
    <n v="88"/>
    <n v="14"/>
    <x v="1"/>
    <x v="1"/>
    <d v="2024-01-01T00:00:00"/>
    <d v="2024-02-09T00:00:00"/>
    <s v="N/A"/>
    <n v="39"/>
    <s v="N/A"/>
    <x v="3"/>
    <x v="0"/>
  </r>
  <r>
    <n v="49"/>
    <n v="1"/>
    <n v="4"/>
    <n v="14"/>
    <n v="1"/>
    <n v="17.438006377722498"/>
    <n v="91"/>
    <n v="71"/>
    <n v="80"/>
    <x v="0"/>
    <x v="0"/>
    <d v="2024-01-01T00:00:00"/>
    <d v="2024-02-10T00:00:00"/>
    <d v="2024-02-17T00:00:00"/>
    <n v="40"/>
    <n v="7"/>
    <x v="0"/>
    <x v="0"/>
  </r>
  <r>
    <n v="34"/>
    <n v="0"/>
    <n v="3"/>
    <n v="14"/>
    <n v="2"/>
    <n v="14.9056083776901"/>
    <n v="50"/>
    <n v="67"/>
    <n v="17"/>
    <x v="0"/>
    <x v="0"/>
    <d v="2024-01-01T00:00:00"/>
    <d v="2024-01-28T00:00:00"/>
    <d v="2024-02-26T00:00:00"/>
    <n v="27"/>
    <n v="29"/>
    <x v="0"/>
    <x v="1"/>
  </r>
  <r>
    <n v="46"/>
    <n v="0"/>
    <n v="1"/>
    <n v="6"/>
    <n v="4"/>
    <n v="10.2217595292132"/>
    <n v="72"/>
    <n v="27"/>
    <n v="95"/>
    <x v="2"/>
    <x v="1"/>
    <d v="2024-01-01T00:00:00"/>
    <d v="2024-01-19T00:00:00"/>
    <s v="N/A"/>
    <n v="18"/>
    <s v="N/A"/>
    <x v="2"/>
    <x v="1"/>
  </r>
  <r>
    <n v="38"/>
    <n v="0"/>
    <n v="2"/>
    <n v="6"/>
    <n v="5"/>
    <n v="25.875821343721601"/>
    <n v="95"/>
    <n v="70"/>
    <n v="22"/>
    <x v="1"/>
    <x v="1"/>
    <d v="2024-01-01T00:00:00"/>
    <d v="2024-01-19T00:00:00"/>
    <s v="N/A"/>
    <n v="18"/>
    <s v="N/A"/>
    <x v="3"/>
    <x v="1"/>
  </r>
  <r>
    <n v="50"/>
    <n v="0"/>
    <n v="3"/>
    <n v="12"/>
    <n v="1"/>
    <n v="14.797441407859299"/>
    <n v="52"/>
    <n v="9"/>
    <n v="61"/>
    <x v="2"/>
    <x v="1"/>
    <d v="2024-01-01T00:00:00"/>
    <d v="2024-01-22T00:00:00"/>
    <s v="N/A"/>
    <n v="21"/>
    <s v="N/A"/>
    <x v="2"/>
    <x v="1"/>
  </r>
  <r>
    <n v="21"/>
    <n v="1"/>
    <n v="2"/>
    <n v="0"/>
    <n v="3"/>
    <n v="37.550517456974099"/>
    <n v="55"/>
    <n v="56"/>
    <n v="45"/>
    <x v="0"/>
    <x v="1"/>
    <d v="2024-01-01T00:00:00"/>
    <d v="2024-02-12T00:00:00"/>
    <s v="N/A"/>
    <n v="42"/>
    <s v="N/A"/>
    <x v="1"/>
    <x v="0"/>
  </r>
  <r>
    <n v="39"/>
    <n v="0"/>
    <n v="4"/>
    <n v="15"/>
    <n v="1"/>
    <n v="4.8311200996101302"/>
    <n v="58"/>
    <n v="99"/>
    <n v="86"/>
    <x v="0"/>
    <x v="0"/>
    <d v="2024-01-01T00:00:00"/>
    <d v="2024-02-14T00:00:00"/>
    <d v="2024-02-29T00:00:00"/>
    <n v="44"/>
    <n v="15"/>
    <x v="0"/>
    <x v="0"/>
  </r>
  <r>
    <n v="44"/>
    <n v="0"/>
    <n v="4"/>
    <n v="8"/>
    <n v="3"/>
    <n v="34.201651655565797"/>
    <n v="69"/>
    <n v="65"/>
    <n v="98"/>
    <x v="0"/>
    <x v="0"/>
    <d v="2024-01-01T00:00:00"/>
    <d v="2024-02-10T00:00:00"/>
    <d v="2024-02-20T00:00:00"/>
    <n v="40"/>
    <n v="10"/>
    <x v="0"/>
    <x v="0"/>
  </r>
  <r>
    <n v="25"/>
    <n v="1"/>
    <n v="2"/>
    <n v="7"/>
    <n v="5"/>
    <n v="12.8780007283884"/>
    <n v="77"/>
    <n v="89"/>
    <n v="38"/>
    <x v="1"/>
    <x v="1"/>
    <d v="2024-01-01T00:00:00"/>
    <d v="2024-02-11T00:00:00"/>
    <s v="N/A"/>
    <n v="41"/>
    <s v="N/A"/>
    <x v="3"/>
    <x v="0"/>
  </r>
  <r>
    <n v="20"/>
    <n v="1"/>
    <n v="2"/>
    <n v="3"/>
    <n v="3"/>
    <n v="25.463963052580102"/>
    <n v="91"/>
    <n v="49"/>
    <n v="14"/>
    <x v="1"/>
    <x v="1"/>
    <d v="2024-01-01T00:00:00"/>
    <d v="2024-01-15T00:00:00"/>
    <s v="N/A"/>
    <n v="14"/>
    <s v="N/A"/>
    <x v="2"/>
    <x v="1"/>
  </r>
  <r>
    <n v="43"/>
    <n v="0"/>
    <n v="4"/>
    <n v="9"/>
    <n v="4"/>
    <n v="15.304496101563"/>
    <n v="57"/>
    <n v="13"/>
    <n v="52"/>
    <x v="0"/>
    <x v="0"/>
    <d v="2024-01-01T00:00:00"/>
    <d v="2024-02-04T00:00:00"/>
    <d v="2024-02-19T00:00:00"/>
    <n v="34"/>
    <n v="15"/>
    <x v="0"/>
    <x v="0"/>
  </r>
  <r>
    <n v="34"/>
    <n v="1"/>
    <n v="2"/>
    <n v="10"/>
    <n v="3"/>
    <n v="37.138433800539701"/>
    <n v="87"/>
    <n v="15"/>
    <n v="87"/>
    <x v="1"/>
    <x v="1"/>
    <d v="2024-01-01T00:00:00"/>
    <d v="2024-02-13T00:00:00"/>
    <s v="N/A"/>
    <n v="43"/>
    <s v="N/A"/>
    <x v="2"/>
    <x v="0"/>
  </r>
  <r>
    <n v="47"/>
    <n v="0"/>
    <n v="1"/>
    <n v="4"/>
    <n v="4"/>
    <n v="48.265352012581801"/>
    <n v="12"/>
    <n v="53"/>
    <n v="63"/>
    <x v="1"/>
    <x v="1"/>
    <d v="2024-01-01T00:00:00"/>
    <d v="2024-01-16T00:00:00"/>
    <s v="N/A"/>
    <n v="15"/>
    <s v="N/A"/>
    <x v="1"/>
    <x v="1"/>
  </r>
  <r>
    <n v="49"/>
    <n v="0"/>
    <n v="1"/>
    <n v="1"/>
    <n v="5"/>
    <n v="46.853838973490603"/>
    <n v="42"/>
    <n v="42"/>
    <n v="62"/>
    <x v="0"/>
    <x v="1"/>
    <d v="2024-01-01T00:00:00"/>
    <d v="2024-02-03T00:00:00"/>
    <s v="N/A"/>
    <n v="33"/>
    <s v="N/A"/>
    <x v="2"/>
    <x v="0"/>
  </r>
  <r>
    <n v="42"/>
    <n v="0"/>
    <n v="2"/>
    <n v="12"/>
    <n v="5"/>
    <n v="30.171310757204498"/>
    <n v="75"/>
    <n v="41"/>
    <n v="91"/>
    <x v="1"/>
    <x v="1"/>
    <d v="2024-01-01T00:00:00"/>
    <d v="2024-01-19T00:00:00"/>
    <s v="N/A"/>
    <n v="18"/>
    <s v="N/A"/>
    <x v="2"/>
    <x v="1"/>
  </r>
  <r>
    <n v="29"/>
    <n v="0"/>
    <n v="4"/>
    <n v="15"/>
    <n v="1"/>
    <n v="24.130515162848901"/>
    <n v="50"/>
    <n v="80"/>
    <n v="79"/>
    <x v="1"/>
    <x v="0"/>
    <d v="2024-01-01T00:00:00"/>
    <d v="2024-02-08T00:00:00"/>
    <d v="2024-02-19T00:00:00"/>
    <n v="38"/>
    <n v="11"/>
    <x v="0"/>
    <x v="0"/>
  </r>
  <r>
    <n v="38"/>
    <n v="1"/>
    <n v="3"/>
    <n v="8"/>
    <n v="4"/>
    <n v="41.915025471969003"/>
    <n v="18"/>
    <n v="21"/>
    <n v="15"/>
    <x v="0"/>
    <x v="0"/>
    <d v="2024-01-01T00:00:00"/>
    <d v="2024-02-15T00:00:00"/>
    <d v="2024-03-03T00:00:00"/>
    <n v="45"/>
    <n v="17"/>
    <x v="0"/>
    <x v="0"/>
  </r>
  <r>
    <n v="36"/>
    <n v="0"/>
    <n v="2"/>
    <n v="14"/>
    <n v="4"/>
    <n v="35.166318131386497"/>
    <n v="20"/>
    <n v="67"/>
    <n v="69"/>
    <x v="0"/>
    <x v="0"/>
    <d v="2024-01-01T00:00:00"/>
    <d v="2024-01-21T00:00:00"/>
    <d v="2024-02-12T00:00:00"/>
    <n v="20"/>
    <n v="22"/>
    <x v="0"/>
    <x v="1"/>
  </r>
  <r>
    <n v="24"/>
    <n v="1"/>
    <n v="1"/>
    <n v="11"/>
    <n v="2"/>
    <n v="10.1782057108466"/>
    <n v="90"/>
    <n v="18"/>
    <n v="65"/>
    <x v="1"/>
    <x v="1"/>
    <d v="2024-01-01T00:00:00"/>
    <d v="2024-02-15T00:00:00"/>
    <s v="N/A"/>
    <n v="45"/>
    <s v="N/A"/>
    <x v="2"/>
    <x v="0"/>
  </r>
  <r>
    <n v="48"/>
    <n v="1"/>
    <n v="2"/>
    <n v="11"/>
    <n v="2"/>
    <n v="42.045960680649998"/>
    <n v="82"/>
    <n v="65"/>
    <n v="12"/>
    <x v="1"/>
    <x v="1"/>
    <d v="2024-01-01T00:00:00"/>
    <d v="2024-02-03T00:00:00"/>
    <s v="N/A"/>
    <n v="33"/>
    <s v="N/A"/>
    <x v="1"/>
    <x v="0"/>
  </r>
  <r>
    <n v="23"/>
    <n v="1"/>
    <n v="3"/>
    <n v="5"/>
    <n v="2"/>
    <n v="22.444219469735501"/>
    <n v="23"/>
    <n v="38"/>
    <n v="46"/>
    <x v="2"/>
    <x v="1"/>
    <d v="2024-01-01T00:00:00"/>
    <d v="2024-01-24T00:00:00"/>
    <s v="N/A"/>
    <n v="23"/>
    <s v="N/A"/>
    <x v="2"/>
    <x v="1"/>
  </r>
  <r>
    <n v="29"/>
    <n v="1"/>
    <n v="1"/>
    <n v="2"/>
    <n v="3"/>
    <n v="10.449282998558701"/>
    <n v="25"/>
    <n v="72"/>
    <n v="8"/>
    <x v="1"/>
    <x v="1"/>
    <d v="2024-01-01T00:00:00"/>
    <d v="2024-02-06T00:00:00"/>
    <s v="N/A"/>
    <n v="36"/>
    <s v="N/A"/>
    <x v="3"/>
    <x v="0"/>
  </r>
  <r>
    <n v="43"/>
    <n v="0"/>
    <n v="2"/>
    <n v="11"/>
    <n v="2"/>
    <n v="15.089867519824599"/>
    <n v="44"/>
    <n v="18"/>
    <n v="62"/>
    <x v="0"/>
    <x v="0"/>
    <d v="2024-01-01T00:00:00"/>
    <d v="2024-02-01T00:00:00"/>
    <d v="2024-02-28T00:00:00"/>
    <n v="31"/>
    <n v="27"/>
    <x v="0"/>
    <x v="0"/>
  </r>
  <r>
    <n v="36"/>
    <n v="1"/>
    <n v="1"/>
    <n v="6"/>
    <n v="4"/>
    <n v="14.3763515124171"/>
    <n v="27"/>
    <n v="15"/>
    <n v="33"/>
    <x v="2"/>
    <x v="1"/>
    <d v="2024-01-01T00:00:00"/>
    <d v="2024-01-21T00:00:00"/>
    <s v="N/A"/>
    <n v="20"/>
    <s v="N/A"/>
    <x v="2"/>
    <x v="1"/>
  </r>
  <r>
    <n v="29"/>
    <n v="0"/>
    <n v="2"/>
    <n v="8"/>
    <n v="3"/>
    <n v="26.960348730172999"/>
    <n v="81"/>
    <n v="53"/>
    <n v="80"/>
    <x v="2"/>
    <x v="0"/>
    <d v="2024-01-01T00:00:00"/>
    <d v="2024-01-31T00:00:00"/>
    <d v="2024-02-08T00:00:00"/>
    <n v="30"/>
    <n v="8"/>
    <x v="0"/>
    <x v="1"/>
  </r>
  <r>
    <n v="36"/>
    <n v="1"/>
    <n v="4"/>
    <n v="2"/>
    <n v="5"/>
    <n v="12.7185045338937"/>
    <n v="99"/>
    <n v="24"/>
    <n v="90"/>
    <x v="1"/>
    <x v="1"/>
    <d v="2024-01-01T00:00:00"/>
    <d v="2024-01-28T00:00:00"/>
    <s v="N/A"/>
    <n v="27"/>
    <s v="N/A"/>
    <x v="2"/>
    <x v="1"/>
  </r>
  <r>
    <n v="47"/>
    <n v="1"/>
    <n v="2"/>
    <n v="15"/>
    <n v="1"/>
    <n v="7.1783243700788004"/>
    <n v="28"/>
    <n v="17"/>
    <n v="28"/>
    <x v="2"/>
    <x v="1"/>
    <d v="2024-01-01T00:00:00"/>
    <d v="2024-01-27T00:00:00"/>
    <s v="N/A"/>
    <n v="26"/>
    <s v="N/A"/>
    <x v="2"/>
    <x v="1"/>
  </r>
  <r>
    <n v="39"/>
    <n v="0"/>
    <n v="2"/>
    <n v="1"/>
    <n v="2"/>
    <n v="7.1845425306880299"/>
    <n v="16"/>
    <n v="22"/>
    <n v="36"/>
    <x v="1"/>
    <x v="1"/>
    <d v="2024-01-01T00:00:00"/>
    <d v="2024-01-23T00:00:00"/>
    <s v="N/A"/>
    <n v="22"/>
    <s v="N/A"/>
    <x v="2"/>
    <x v="1"/>
  </r>
  <r>
    <n v="43"/>
    <n v="0"/>
    <n v="2"/>
    <n v="15"/>
    <n v="5"/>
    <n v="30.163809856954799"/>
    <n v="67"/>
    <n v="84"/>
    <n v="42"/>
    <x v="1"/>
    <x v="1"/>
    <d v="2024-01-01T00:00:00"/>
    <d v="2024-02-08T00:00:00"/>
    <s v="N/A"/>
    <n v="38"/>
    <s v="N/A"/>
    <x v="3"/>
    <x v="0"/>
  </r>
  <r>
    <n v="24"/>
    <n v="0"/>
    <n v="4"/>
    <n v="6"/>
    <n v="4"/>
    <n v="37.7379644424689"/>
    <n v="43"/>
    <n v="10"/>
    <n v="85"/>
    <x v="1"/>
    <x v="1"/>
    <d v="2024-01-01T00:00:00"/>
    <d v="2024-02-01T00:00:00"/>
    <s v="N/A"/>
    <n v="31"/>
    <s v="N/A"/>
    <x v="2"/>
    <x v="0"/>
  </r>
  <r>
    <n v="21"/>
    <n v="1"/>
    <n v="1"/>
    <n v="6"/>
    <n v="1"/>
    <n v="17.076650441917"/>
    <n v="60"/>
    <n v="38"/>
    <n v="63"/>
    <x v="1"/>
    <x v="1"/>
    <d v="2024-01-01T00:00:00"/>
    <d v="2024-02-04T00:00:00"/>
    <s v="N/A"/>
    <n v="34"/>
    <s v="N/A"/>
    <x v="2"/>
    <x v="0"/>
  </r>
  <r>
    <n v="25"/>
    <n v="1"/>
    <n v="2"/>
    <n v="3"/>
    <n v="5"/>
    <n v="2.7325354907008501"/>
    <n v="92"/>
    <n v="67"/>
    <n v="23"/>
    <x v="0"/>
    <x v="0"/>
    <d v="2024-01-01T00:00:00"/>
    <d v="2024-01-15T00:00:00"/>
    <d v="2024-02-10T00:00:00"/>
    <n v="14"/>
    <n v="26"/>
    <x v="0"/>
    <x v="1"/>
  </r>
  <r>
    <n v="40"/>
    <n v="0"/>
    <n v="2"/>
    <n v="10"/>
    <n v="1"/>
    <n v="7.3612443468505298"/>
    <n v="67"/>
    <n v="24"/>
    <n v="70"/>
    <x v="2"/>
    <x v="1"/>
    <d v="2024-01-01T00:00:00"/>
    <d v="2024-02-11T00:00:00"/>
    <s v="N/A"/>
    <n v="41"/>
    <s v="N/A"/>
    <x v="2"/>
    <x v="0"/>
  </r>
  <r>
    <n v="21"/>
    <n v="0"/>
    <n v="3"/>
    <n v="8"/>
    <n v="2"/>
    <n v="46.734728016852799"/>
    <n v="73"/>
    <n v="62"/>
    <n v="33"/>
    <x v="2"/>
    <x v="0"/>
    <d v="2024-01-01T00:00:00"/>
    <d v="2024-01-28T00:00:00"/>
    <d v="2024-02-25T00:00:00"/>
    <n v="27"/>
    <n v="28"/>
    <x v="0"/>
    <x v="1"/>
  </r>
  <r>
    <n v="32"/>
    <n v="0"/>
    <n v="2"/>
    <n v="15"/>
    <n v="4"/>
    <n v="25.677182979472601"/>
    <n v="24"/>
    <n v="95"/>
    <n v="47"/>
    <x v="1"/>
    <x v="1"/>
    <d v="2024-01-01T00:00:00"/>
    <d v="2024-01-25T00:00:00"/>
    <s v="N/A"/>
    <n v="24"/>
    <s v="N/A"/>
    <x v="3"/>
    <x v="1"/>
  </r>
  <r>
    <n v="49"/>
    <n v="0"/>
    <n v="1"/>
    <n v="13"/>
    <n v="1"/>
    <n v="23.678640480758698"/>
    <n v="94"/>
    <n v="29"/>
    <n v="11"/>
    <x v="1"/>
    <x v="1"/>
    <d v="2024-01-01T00:00:00"/>
    <d v="2024-01-15T00:00:00"/>
    <s v="N/A"/>
    <n v="14"/>
    <s v="N/A"/>
    <x v="2"/>
    <x v="1"/>
  </r>
  <r>
    <n v="30"/>
    <n v="1"/>
    <n v="2"/>
    <n v="7"/>
    <n v="5"/>
    <n v="2.9024589155045399"/>
    <n v="66"/>
    <n v="44"/>
    <n v="22"/>
    <x v="0"/>
    <x v="1"/>
    <d v="2024-01-01T00:00:00"/>
    <d v="2024-01-26T00:00:00"/>
    <s v="N/A"/>
    <n v="25"/>
    <s v="N/A"/>
    <x v="2"/>
    <x v="1"/>
  </r>
  <r>
    <n v="30"/>
    <n v="0"/>
    <n v="3"/>
    <n v="12"/>
    <n v="2"/>
    <n v="37.4318511158449"/>
    <n v="1"/>
    <n v="89"/>
    <n v="78"/>
    <x v="0"/>
    <x v="0"/>
    <d v="2024-01-01T00:00:00"/>
    <d v="2024-02-05T00:00:00"/>
    <d v="2024-02-19T00:00:00"/>
    <n v="35"/>
    <n v="14"/>
    <x v="0"/>
    <x v="0"/>
  </r>
  <r>
    <n v="35"/>
    <n v="0"/>
    <n v="1"/>
    <n v="12"/>
    <n v="2"/>
    <n v="27.4034040466039"/>
    <n v="88"/>
    <n v="60"/>
    <n v="96"/>
    <x v="0"/>
    <x v="0"/>
    <d v="2024-01-01T00:00:00"/>
    <d v="2024-01-15T00:00:00"/>
    <d v="2024-01-25T00:00:00"/>
    <n v="14"/>
    <n v="10"/>
    <x v="0"/>
    <x v="1"/>
  </r>
  <r>
    <n v="30"/>
    <n v="0"/>
    <n v="3"/>
    <n v="0"/>
    <n v="5"/>
    <n v="11.104046804326"/>
    <n v="48"/>
    <n v="99"/>
    <n v="12"/>
    <x v="1"/>
    <x v="1"/>
    <d v="2024-01-01T00:00:00"/>
    <d v="2024-02-12T00:00:00"/>
    <s v="N/A"/>
    <n v="42"/>
    <s v="N/A"/>
    <x v="3"/>
    <x v="0"/>
  </r>
  <r>
    <n v="38"/>
    <n v="0"/>
    <n v="1"/>
    <n v="0"/>
    <n v="5"/>
    <n v="6.5036880090528504"/>
    <n v="69"/>
    <n v="50"/>
    <n v="86"/>
    <x v="2"/>
    <x v="1"/>
    <d v="2024-01-01T00:00:00"/>
    <d v="2024-02-02T00:00:00"/>
    <s v="N/A"/>
    <n v="32"/>
    <s v="N/A"/>
    <x v="1"/>
    <x v="0"/>
  </r>
  <r>
    <n v="34"/>
    <n v="1"/>
    <n v="2"/>
    <n v="4"/>
    <n v="1"/>
    <n v="20.169393181599901"/>
    <n v="25"/>
    <n v="97"/>
    <n v="95"/>
    <x v="0"/>
    <x v="0"/>
    <d v="2024-01-01T00:00:00"/>
    <d v="2024-02-12T00:00:00"/>
    <d v="2024-03-10T00:00:00"/>
    <n v="42"/>
    <n v="27"/>
    <x v="0"/>
    <x v="0"/>
  </r>
  <r>
    <n v="44"/>
    <n v="0"/>
    <n v="2"/>
    <n v="5"/>
    <n v="3"/>
    <n v="42.858098209751198"/>
    <n v="71"/>
    <n v="8"/>
    <n v="44"/>
    <x v="0"/>
    <x v="1"/>
    <d v="2024-01-01T00:00:00"/>
    <d v="2024-02-13T00:00:00"/>
    <s v="N/A"/>
    <n v="43"/>
    <s v="N/A"/>
    <x v="2"/>
    <x v="0"/>
  </r>
  <r>
    <n v="42"/>
    <n v="1"/>
    <n v="3"/>
    <n v="2"/>
    <n v="2"/>
    <n v="44.264727960051196"/>
    <n v="98"/>
    <n v="75"/>
    <n v="98"/>
    <x v="1"/>
    <x v="0"/>
    <d v="2024-01-01T00:00:00"/>
    <d v="2024-02-08T00:00:00"/>
    <d v="2024-02-21T00:00:00"/>
    <n v="38"/>
    <n v="13"/>
    <x v="0"/>
    <x v="0"/>
  </r>
  <r>
    <n v="42"/>
    <n v="0"/>
    <n v="2"/>
    <n v="12"/>
    <n v="1"/>
    <n v="31.142319019781802"/>
    <n v="26"/>
    <n v="1"/>
    <n v="64"/>
    <x v="0"/>
    <x v="0"/>
    <d v="2024-01-01T00:00:00"/>
    <d v="2024-02-09T00:00:00"/>
    <d v="2024-02-27T00:00:00"/>
    <n v="39"/>
    <n v="18"/>
    <x v="0"/>
    <x v="0"/>
  </r>
  <r>
    <n v="35"/>
    <n v="0"/>
    <n v="3"/>
    <n v="8"/>
    <n v="5"/>
    <n v="37.376821361507098"/>
    <n v="88"/>
    <n v="4"/>
    <n v="46"/>
    <x v="2"/>
    <x v="1"/>
    <d v="2024-01-01T00:00:00"/>
    <d v="2024-02-08T00:00:00"/>
    <s v="N/A"/>
    <n v="38"/>
    <s v="N/A"/>
    <x v="2"/>
    <x v="0"/>
  </r>
  <r>
    <n v="50"/>
    <n v="1"/>
    <n v="3"/>
    <n v="11"/>
    <n v="1"/>
    <n v="6.7577893701435103"/>
    <n v="17"/>
    <n v="61"/>
    <n v="57"/>
    <x v="1"/>
    <x v="1"/>
    <d v="2024-01-01T00:00:00"/>
    <d v="2024-01-22T00:00:00"/>
    <s v="N/A"/>
    <n v="21"/>
    <s v="N/A"/>
    <x v="1"/>
    <x v="1"/>
  </r>
  <r>
    <n v="30"/>
    <n v="0"/>
    <n v="2"/>
    <n v="9"/>
    <n v="5"/>
    <n v="30.406303273392702"/>
    <n v="53"/>
    <n v="68"/>
    <n v="4"/>
    <x v="0"/>
    <x v="0"/>
    <d v="2024-01-01T00:00:00"/>
    <d v="2024-01-23T00:00:00"/>
    <d v="2024-02-17T00:00:00"/>
    <n v="22"/>
    <n v="25"/>
    <x v="0"/>
    <x v="1"/>
  </r>
  <r>
    <n v="41"/>
    <n v="1"/>
    <n v="3"/>
    <n v="13"/>
    <n v="4"/>
    <n v="34.348285174358999"/>
    <n v="0"/>
    <n v="51"/>
    <n v="76"/>
    <x v="0"/>
    <x v="0"/>
    <d v="2024-01-01T00:00:00"/>
    <d v="2024-01-29T00:00:00"/>
    <d v="2024-02-16T00:00:00"/>
    <n v="28"/>
    <n v="18"/>
    <x v="0"/>
    <x v="1"/>
  </r>
  <r>
    <n v="35"/>
    <n v="1"/>
    <n v="3"/>
    <n v="14"/>
    <n v="5"/>
    <n v="11.0356421456896"/>
    <n v="60"/>
    <n v="85"/>
    <n v="4"/>
    <x v="0"/>
    <x v="0"/>
    <d v="2024-01-01T00:00:00"/>
    <d v="2024-02-04T00:00:00"/>
    <d v="2024-02-11T00:00:00"/>
    <n v="34"/>
    <n v="7"/>
    <x v="0"/>
    <x v="0"/>
  </r>
  <r>
    <n v="27"/>
    <n v="0"/>
    <n v="1"/>
    <n v="5"/>
    <n v="5"/>
    <n v="45.0077366455129"/>
    <n v="2"/>
    <n v="4"/>
    <n v="59"/>
    <x v="1"/>
    <x v="1"/>
    <d v="2024-01-01T00:00:00"/>
    <d v="2024-01-27T00:00:00"/>
    <s v="N/A"/>
    <n v="26"/>
    <s v="N/A"/>
    <x v="2"/>
    <x v="1"/>
  </r>
  <r>
    <n v="23"/>
    <n v="1"/>
    <n v="2"/>
    <n v="3"/>
    <n v="5"/>
    <n v="10.7498368760509"/>
    <n v="67"/>
    <n v="58"/>
    <n v="95"/>
    <x v="0"/>
    <x v="0"/>
    <d v="2024-01-01T00:00:00"/>
    <d v="2024-01-22T00:00:00"/>
    <d v="2024-02-11T00:00:00"/>
    <n v="21"/>
    <n v="20"/>
    <x v="0"/>
    <x v="1"/>
  </r>
  <r>
    <n v="27"/>
    <n v="1"/>
    <n v="4"/>
    <n v="11"/>
    <n v="3"/>
    <n v="16.673867992322499"/>
    <n v="40"/>
    <n v="67"/>
    <n v="20"/>
    <x v="1"/>
    <x v="1"/>
    <d v="2024-01-01T00:00:00"/>
    <d v="2024-02-08T00:00:00"/>
    <s v="N/A"/>
    <n v="38"/>
    <s v="N/A"/>
    <x v="1"/>
    <x v="0"/>
  </r>
  <r>
    <n v="23"/>
    <n v="1"/>
    <n v="1"/>
    <n v="6"/>
    <n v="5"/>
    <n v="32.0278423511729"/>
    <n v="36"/>
    <n v="8"/>
    <n v="23"/>
    <x v="1"/>
    <x v="1"/>
    <d v="2024-01-01T00:00:00"/>
    <d v="2024-02-07T00:00:00"/>
    <s v="N/A"/>
    <n v="37"/>
    <s v="N/A"/>
    <x v="2"/>
    <x v="0"/>
  </r>
  <r>
    <n v="43"/>
    <n v="1"/>
    <n v="3"/>
    <n v="7"/>
    <n v="2"/>
    <n v="32.917503256536499"/>
    <n v="50"/>
    <n v="92"/>
    <n v="17"/>
    <x v="0"/>
    <x v="0"/>
    <d v="2024-01-01T00:00:00"/>
    <d v="2024-01-27T00:00:00"/>
    <d v="2024-02-14T00:00:00"/>
    <n v="26"/>
    <n v="18"/>
    <x v="0"/>
    <x v="1"/>
  </r>
  <r>
    <n v="44"/>
    <n v="1"/>
    <n v="4"/>
    <n v="8"/>
    <n v="2"/>
    <n v="35.969237049368303"/>
    <n v="14"/>
    <n v="21"/>
    <n v="20"/>
    <x v="0"/>
    <x v="0"/>
    <d v="2024-01-01T00:00:00"/>
    <d v="2024-01-27T00:00:00"/>
    <d v="2024-02-18T00:00:00"/>
    <n v="26"/>
    <n v="22"/>
    <x v="0"/>
    <x v="1"/>
  </r>
  <r>
    <n v="22"/>
    <n v="1"/>
    <n v="1"/>
    <n v="12"/>
    <n v="1"/>
    <n v="6.6005856534102803"/>
    <n v="7"/>
    <n v="26"/>
    <n v="53"/>
    <x v="1"/>
    <x v="1"/>
    <d v="2024-01-01T00:00:00"/>
    <d v="2024-02-12T00:00:00"/>
    <s v="N/A"/>
    <n v="42"/>
    <s v="N/A"/>
    <x v="2"/>
    <x v="0"/>
  </r>
  <r>
    <n v="22"/>
    <n v="1"/>
    <n v="2"/>
    <n v="15"/>
    <n v="3"/>
    <n v="43.473221496427698"/>
    <n v="37"/>
    <n v="9"/>
    <n v="9"/>
    <x v="1"/>
    <x v="1"/>
    <d v="2024-01-01T00:00:00"/>
    <d v="2024-02-10T00:00:00"/>
    <s v="N/A"/>
    <n v="40"/>
    <s v="N/A"/>
    <x v="2"/>
    <x v="0"/>
  </r>
  <r>
    <n v="46"/>
    <n v="1"/>
    <n v="2"/>
    <n v="10"/>
    <n v="1"/>
    <n v="27.6423566141629"/>
    <n v="82"/>
    <n v="79"/>
    <n v="23"/>
    <x v="2"/>
    <x v="1"/>
    <d v="2024-01-01T00:00:00"/>
    <d v="2024-02-13T00:00:00"/>
    <s v="N/A"/>
    <n v="43"/>
    <s v="N/A"/>
    <x v="3"/>
    <x v="0"/>
  </r>
  <r>
    <n v="48"/>
    <n v="0"/>
    <n v="2"/>
    <n v="5"/>
    <n v="2"/>
    <n v="24.5660897052534"/>
    <n v="55"/>
    <n v="60"/>
    <n v="84"/>
    <x v="0"/>
    <x v="0"/>
    <d v="2024-01-01T00:00:00"/>
    <d v="2024-02-08T00:00:00"/>
    <d v="2024-02-19T00:00:00"/>
    <n v="38"/>
    <n v="11"/>
    <x v="0"/>
    <x v="0"/>
  </r>
  <r>
    <n v="37"/>
    <n v="0"/>
    <n v="1"/>
    <n v="14"/>
    <n v="2"/>
    <n v="50.054881225675402"/>
    <n v="46"/>
    <n v="50"/>
    <n v="88"/>
    <x v="0"/>
    <x v="0"/>
    <d v="2024-01-01T00:00:00"/>
    <d v="2024-02-07T00:00:00"/>
    <d v="2024-03-04T00:00:00"/>
    <n v="37"/>
    <n v="26"/>
    <x v="0"/>
    <x v="0"/>
  </r>
  <r>
    <n v="48"/>
    <n v="1"/>
    <n v="1"/>
    <n v="5"/>
    <n v="4"/>
    <n v="38.018914847050901"/>
    <n v="89"/>
    <n v="9"/>
    <n v="59"/>
    <x v="0"/>
    <x v="1"/>
    <d v="2024-01-01T00:00:00"/>
    <d v="2024-01-25T00:00:00"/>
    <s v="N/A"/>
    <n v="24"/>
    <s v="N/A"/>
    <x v="2"/>
    <x v="1"/>
  </r>
  <r>
    <n v="45"/>
    <n v="0"/>
    <n v="2"/>
    <n v="7"/>
    <n v="5"/>
    <n v="6.9003013309687402"/>
    <n v="9"/>
    <n v="5"/>
    <n v="56"/>
    <x v="1"/>
    <x v="1"/>
    <d v="2024-01-01T00:00:00"/>
    <d v="2024-02-01T00:00:00"/>
    <s v="N/A"/>
    <n v="31"/>
    <s v="N/A"/>
    <x v="2"/>
    <x v="0"/>
  </r>
  <r>
    <n v="38"/>
    <n v="1"/>
    <n v="3"/>
    <n v="11"/>
    <n v="2"/>
    <n v="38.826958361312002"/>
    <n v="77"/>
    <n v="61"/>
    <n v="22"/>
    <x v="1"/>
    <x v="0"/>
    <d v="2024-01-01T00:00:00"/>
    <d v="2024-01-28T00:00:00"/>
    <d v="2024-02-06T00:00:00"/>
    <n v="27"/>
    <n v="9"/>
    <x v="0"/>
    <x v="1"/>
  </r>
  <r>
    <n v="38"/>
    <n v="1"/>
    <n v="3"/>
    <n v="4"/>
    <n v="1"/>
    <n v="5.7624466986434699"/>
    <n v="48"/>
    <n v="4"/>
    <n v="21"/>
    <x v="2"/>
    <x v="1"/>
    <d v="2024-01-01T00:00:00"/>
    <d v="2024-01-17T00:00:00"/>
    <s v="N/A"/>
    <n v="16"/>
    <s v="N/A"/>
    <x v="2"/>
    <x v="1"/>
  </r>
  <r>
    <n v="40"/>
    <n v="0"/>
    <n v="2"/>
    <n v="13"/>
    <n v="1"/>
    <n v="2.3735281256492402"/>
    <n v="40"/>
    <n v="69"/>
    <n v="67"/>
    <x v="1"/>
    <x v="1"/>
    <d v="2024-01-01T00:00:00"/>
    <d v="2024-02-03T00:00:00"/>
    <s v="N/A"/>
    <n v="33"/>
    <s v="N/A"/>
    <x v="1"/>
    <x v="0"/>
  </r>
  <r>
    <n v="24"/>
    <n v="1"/>
    <n v="1"/>
    <n v="2"/>
    <n v="5"/>
    <n v="21.181294763494801"/>
    <n v="82"/>
    <n v="62"/>
    <n v="33"/>
    <x v="0"/>
    <x v="0"/>
    <d v="2024-01-01T00:00:00"/>
    <d v="2024-01-15T00:00:00"/>
    <d v="2024-01-25T00:00:00"/>
    <n v="14"/>
    <n v="10"/>
    <x v="0"/>
    <x v="1"/>
  </r>
  <r>
    <n v="37"/>
    <n v="1"/>
    <n v="2"/>
    <n v="11"/>
    <n v="5"/>
    <n v="50.678908640960898"/>
    <n v="29"/>
    <n v="55"/>
    <n v="69"/>
    <x v="1"/>
    <x v="1"/>
    <d v="2024-01-01T00:00:00"/>
    <d v="2024-02-11T00:00:00"/>
    <s v="N/A"/>
    <n v="41"/>
    <s v="N/A"/>
    <x v="1"/>
    <x v="0"/>
  </r>
  <r>
    <n v="47"/>
    <n v="1"/>
    <n v="2"/>
    <n v="2"/>
    <n v="4"/>
    <n v="9.74419680974313"/>
    <n v="4"/>
    <n v="58"/>
    <n v="27"/>
    <x v="2"/>
    <x v="1"/>
    <d v="2024-01-01T00:00:00"/>
    <d v="2024-01-15T00:00:00"/>
    <s v="N/A"/>
    <n v="14"/>
    <s v="N/A"/>
    <x v="1"/>
    <x v="1"/>
  </r>
  <r>
    <n v="29"/>
    <n v="1"/>
    <n v="4"/>
    <n v="12"/>
    <n v="3"/>
    <n v="34.632217176339502"/>
    <n v="94"/>
    <n v="62"/>
    <n v="94"/>
    <x v="1"/>
    <x v="0"/>
    <d v="2024-01-01T00:00:00"/>
    <d v="2024-01-16T00:00:00"/>
    <d v="2024-02-04T00:00:00"/>
    <n v="15"/>
    <n v="19"/>
    <x v="0"/>
    <x v="1"/>
  </r>
  <r>
    <n v="48"/>
    <n v="0"/>
    <n v="3"/>
    <n v="5"/>
    <n v="1"/>
    <n v="9.6698033103059604"/>
    <n v="70"/>
    <n v="88"/>
    <n v="98"/>
    <x v="1"/>
    <x v="1"/>
    <d v="2024-01-01T00:00:00"/>
    <d v="2024-02-04T00:00:00"/>
    <s v="N/A"/>
    <n v="34"/>
    <s v="N/A"/>
    <x v="3"/>
    <x v="0"/>
  </r>
  <r>
    <n v="41"/>
    <n v="1"/>
    <n v="3"/>
    <n v="1"/>
    <n v="5"/>
    <n v="37.239348747919301"/>
    <n v="82"/>
    <n v="58"/>
    <n v="38"/>
    <x v="2"/>
    <x v="1"/>
    <d v="2024-01-01T00:00:00"/>
    <d v="2024-01-27T00:00:00"/>
    <s v="N/A"/>
    <n v="26"/>
    <s v="N/A"/>
    <x v="1"/>
    <x v="1"/>
  </r>
  <r>
    <n v="40"/>
    <n v="1"/>
    <n v="4"/>
    <n v="15"/>
    <n v="1"/>
    <n v="26.267683411891301"/>
    <n v="30"/>
    <n v="50"/>
    <n v="41"/>
    <x v="1"/>
    <x v="1"/>
    <d v="2024-01-01T00:00:00"/>
    <d v="2024-01-25T00:00:00"/>
    <s v="N/A"/>
    <n v="24"/>
    <s v="N/A"/>
    <x v="1"/>
    <x v="1"/>
  </r>
  <r>
    <n v="25"/>
    <n v="1"/>
    <n v="1"/>
    <n v="5"/>
    <n v="5"/>
    <n v="34.998585504468799"/>
    <n v="51"/>
    <n v="49"/>
    <n v="22"/>
    <x v="1"/>
    <x v="1"/>
    <d v="2024-01-01T00:00:00"/>
    <d v="2024-02-07T00:00:00"/>
    <s v="N/A"/>
    <n v="37"/>
    <s v="N/A"/>
    <x v="2"/>
    <x v="0"/>
  </r>
  <r>
    <n v="20"/>
    <n v="0"/>
    <n v="3"/>
    <n v="15"/>
    <n v="2"/>
    <n v="11.143658795711699"/>
    <n v="87"/>
    <n v="3"/>
    <n v="69"/>
    <x v="0"/>
    <x v="0"/>
    <d v="2024-01-01T00:00:00"/>
    <d v="2024-02-04T00:00:00"/>
    <d v="2024-02-16T00:00:00"/>
    <n v="34"/>
    <n v="12"/>
    <x v="0"/>
    <x v="0"/>
  </r>
  <r>
    <n v="24"/>
    <n v="1"/>
    <n v="2"/>
    <n v="12"/>
    <n v="1"/>
    <n v="38.281416626025099"/>
    <n v="97"/>
    <n v="47"/>
    <n v="79"/>
    <x v="1"/>
    <x v="1"/>
    <d v="2024-01-01T00:00:00"/>
    <d v="2024-02-08T00:00:00"/>
    <s v="N/A"/>
    <n v="38"/>
    <s v="N/A"/>
    <x v="2"/>
    <x v="0"/>
  </r>
  <r>
    <n v="28"/>
    <n v="0"/>
    <n v="4"/>
    <n v="5"/>
    <n v="2"/>
    <n v="50.7809529811353"/>
    <n v="22"/>
    <n v="31"/>
    <n v="1"/>
    <x v="0"/>
    <x v="1"/>
    <d v="2024-01-01T00:00:00"/>
    <d v="2024-02-09T00:00:00"/>
    <s v="N/A"/>
    <n v="39"/>
    <s v="N/A"/>
    <x v="2"/>
    <x v="0"/>
  </r>
  <r>
    <n v="31"/>
    <n v="0"/>
    <n v="2"/>
    <n v="7"/>
    <n v="1"/>
    <n v="34.282525031297901"/>
    <n v="47"/>
    <n v="50"/>
    <n v="23"/>
    <x v="1"/>
    <x v="1"/>
    <d v="2024-01-01T00:00:00"/>
    <d v="2024-02-09T00:00:00"/>
    <s v="N/A"/>
    <n v="39"/>
    <s v="N/A"/>
    <x v="1"/>
    <x v="0"/>
  </r>
  <r>
    <n v="45"/>
    <n v="1"/>
    <n v="3"/>
    <n v="6"/>
    <n v="3"/>
    <n v="25.6739999036438"/>
    <n v="39"/>
    <n v="51"/>
    <n v="16"/>
    <x v="0"/>
    <x v="0"/>
    <d v="2024-01-01T00:00:00"/>
    <d v="2024-01-31T00:00:00"/>
    <d v="2024-02-11T00:00:00"/>
    <n v="30"/>
    <n v="11"/>
    <x v="0"/>
    <x v="1"/>
  </r>
  <r>
    <n v="33"/>
    <n v="1"/>
    <n v="3"/>
    <n v="7"/>
    <n v="4"/>
    <n v="47.158699430963203"/>
    <n v="5"/>
    <n v="98"/>
    <n v="64"/>
    <x v="2"/>
    <x v="0"/>
    <d v="2024-01-01T00:00:00"/>
    <d v="2024-02-01T00:00:00"/>
    <d v="2024-02-23T00:00:00"/>
    <n v="31"/>
    <n v="22"/>
    <x v="0"/>
    <x v="0"/>
  </r>
  <r>
    <n v="21"/>
    <n v="0"/>
    <n v="1"/>
    <n v="13"/>
    <n v="2"/>
    <n v="1.7925921115938099"/>
    <n v="37"/>
    <n v="73"/>
    <n v="69"/>
    <x v="2"/>
    <x v="1"/>
    <d v="2024-01-01T00:00:00"/>
    <d v="2024-01-27T00:00:00"/>
    <s v="N/A"/>
    <n v="26"/>
    <s v="N/A"/>
    <x v="3"/>
    <x v="1"/>
  </r>
  <r>
    <n v="36"/>
    <n v="1"/>
    <n v="2"/>
    <n v="8"/>
    <n v="5"/>
    <n v="37.496175964290998"/>
    <n v="40"/>
    <n v="33"/>
    <n v="68"/>
    <x v="1"/>
    <x v="1"/>
    <d v="2024-01-01T00:00:00"/>
    <d v="2024-02-14T00:00:00"/>
    <s v="N/A"/>
    <n v="44"/>
    <s v="N/A"/>
    <x v="2"/>
    <x v="0"/>
  </r>
  <r>
    <n v="33"/>
    <n v="0"/>
    <n v="3"/>
    <n v="5"/>
    <n v="3"/>
    <n v="45.437325840690598"/>
    <n v="99"/>
    <n v="35"/>
    <n v="59"/>
    <x v="0"/>
    <x v="0"/>
    <d v="2024-01-01T00:00:00"/>
    <d v="2024-02-02T00:00:00"/>
    <d v="2024-02-19T00:00:00"/>
    <n v="32"/>
    <n v="17"/>
    <x v="0"/>
    <x v="0"/>
  </r>
  <r>
    <n v="45"/>
    <n v="0"/>
    <n v="2"/>
    <n v="13"/>
    <n v="1"/>
    <n v="4.08372918104787"/>
    <n v="26"/>
    <n v="69"/>
    <n v="49"/>
    <x v="0"/>
    <x v="0"/>
    <d v="2024-01-01T00:00:00"/>
    <d v="2024-01-28T00:00:00"/>
    <d v="2024-02-23T00:00:00"/>
    <n v="27"/>
    <n v="26"/>
    <x v="0"/>
    <x v="1"/>
  </r>
  <r>
    <n v="32"/>
    <n v="1"/>
    <n v="2"/>
    <n v="15"/>
    <n v="2"/>
    <n v="23.503208520787901"/>
    <n v="74"/>
    <n v="42"/>
    <n v="92"/>
    <x v="1"/>
    <x v="1"/>
    <d v="2024-01-01T00:00:00"/>
    <d v="2024-01-22T00:00:00"/>
    <s v="N/A"/>
    <n v="21"/>
    <s v="N/A"/>
    <x v="2"/>
    <x v="1"/>
  </r>
  <r>
    <n v="46"/>
    <n v="1"/>
    <n v="2"/>
    <n v="2"/>
    <n v="1"/>
    <n v="11.2359726974999"/>
    <n v="68"/>
    <n v="15"/>
    <n v="11"/>
    <x v="1"/>
    <x v="1"/>
    <d v="2024-01-01T00:00:00"/>
    <d v="2024-01-22T00:00:00"/>
    <s v="N/A"/>
    <n v="21"/>
    <s v="N/A"/>
    <x v="2"/>
    <x v="1"/>
  </r>
  <r>
    <n v="28"/>
    <n v="0"/>
    <n v="1"/>
    <n v="9"/>
    <n v="1"/>
    <n v="29.325908279391498"/>
    <n v="56"/>
    <n v="58"/>
    <n v="46"/>
    <x v="1"/>
    <x v="1"/>
    <d v="2024-01-01T00:00:00"/>
    <d v="2024-01-31T00:00:00"/>
    <s v="N/A"/>
    <n v="30"/>
    <s v="N/A"/>
    <x v="1"/>
    <x v="1"/>
  </r>
  <r>
    <n v="45"/>
    <n v="0"/>
    <n v="3"/>
    <n v="2"/>
    <n v="1"/>
    <n v="33.477147930183001"/>
    <n v="16"/>
    <n v="52"/>
    <n v="66"/>
    <x v="1"/>
    <x v="1"/>
    <d v="2024-01-01T00:00:00"/>
    <d v="2024-01-30T00:00:00"/>
    <s v="N/A"/>
    <n v="29"/>
    <s v="N/A"/>
    <x v="1"/>
    <x v="1"/>
  </r>
  <r>
    <n v="44"/>
    <n v="0"/>
    <n v="2"/>
    <n v="15"/>
    <n v="4"/>
    <n v="16.1311591464377"/>
    <n v="70"/>
    <n v="18"/>
    <n v="64"/>
    <x v="1"/>
    <x v="1"/>
    <d v="2024-01-01T00:00:00"/>
    <d v="2024-02-14T00:00:00"/>
    <s v="N/A"/>
    <n v="44"/>
    <s v="N/A"/>
    <x v="2"/>
    <x v="0"/>
  </r>
  <r>
    <n v="34"/>
    <n v="0"/>
    <n v="1"/>
    <n v="10"/>
    <n v="4"/>
    <n v="23.999083483905"/>
    <n v="90"/>
    <n v="97"/>
    <n v="26"/>
    <x v="1"/>
    <x v="1"/>
    <d v="2024-01-01T00:00:00"/>
    <d v="2024-01-26T00:00:00"/>
    <s v="N/A"/>
    <n v="25"/>
    <s v="N/A"/>
    <x v="3"/>
    <x v="1"/>
  </r>
  <r>
    <n v="44"/>
    <n v="1"/>
    <n v="2"/>
    <n v="11"/>
    <n v="5"/>
    <n v="14.9669742638279"/>
    <n v="46"/>
    <n v="88"/>
    <n v="47"/>
    <x v="1"/>
    <x v="1"/>
    <d v="2024-01-01T00:00:00"/>
    <d v="2024-02-05T00:00:00"/>
    <s v="N/A"/>
    <n v="35"/>
    <s v="N/A"/>
    <x v="3"/>
    <x v="0"/>
  </r>
  <r>
    <n v="41"/>
    <n v="1"/>
    <n v="2"/>
    <n v="0"/>
    <n v="2"/>
    <n v="19.469558222755602"/>
    <n v="78"/>
    <n v="94"/>
    <n v="87"/>
    <x v="1"/>
    <x v="1"/>
    <d v="2024-01-01T00:00:00"/>
    <d v="2024-01-18T00:00:00"/>
    <s v="N/A"/>
    <n v="17"/>
    <s v="N/A"/>
    <x v="3"/>
    <x v="1"/>
  </r>
  <r>
    <n v="34"/>
    <n v="1"/>
    <n v="1"/>
    <n v="10"/>
    <n v="3"/>
    <n v="8.97699783442118"/>
    <n v="12"/>
    <n v="40"/>
    <n v="61"/>
    <x v="1"/>
    <x v="1"/>
    <d v="2024-01-01T00:00:00"/>
    <d v="2024-01-28T00:00:00"/>
    <s v="N/A"/>
    <n v="27"/>
    <s v="N/A"/>
    <x v="2"/>
    <x v="1"/>
  </r>
  <r>
    <n v="43"/>
    <n v="1"/>
    <n v="2"/>
    <n v="14"/>
    <n v="3"/>
    <n v="45.277972179281498"/>
    <n v="10"/>
    <n v="80"/>
    <n v="43"/>
    <x v="0"/>
    <x v="0"/>
    <d v="2024-01-01T00:00:00"/>
    <d v="2024-01-21T00:00:00"/>
    <d v="2024-02-17T00:00:00"/>
    <n v="20"/>
    <n v="27"/>
    <x v="0"/>
    <x v="1"/>
  </r>
  <r>
    <n v="49"/>
    <n v="1"/>
    <n v="2"/>
    <n v="12"/>
    <n v="3"/>
    <n v="1.5005205279568199"/>
    <n v="89"/>
    <n v="46"/>
    <n v="18"/>
    <x v="0"/>
    <x v="0"/>
    <d v="2024-01-01T00:00:00"/>
    <d v="2024-02-11T00:00:00"/>
    <d v="2024-03-07T00:00:00"/>
    <n v="41"/>
    <n v="25"/>
    <x v="0"/>
    <x v="0"/>
  </r>
  <r>
    <n v="30"/>
    <n v="0"/>
    <n v="2"/>
    <n v="14"/>
    <n v="1"/>
    <n v="45.120459322189397"/>
    <n v="85"/>
    <n v="93"/>
    <n v="58"/>
    <x v="1"/>
    <x v="1"/>
    <d v="2024-01-01T00:00:00"/>
    <d v="2024-02-06T00:00:00"/>
    <s v="N/A"/>
    <n v="36"/>
    <s v="N/A"/>
    <x v="3"/>
    <x v="0"/>
  </r>
  <r>
    <n v="50"/>
    <n v="1"/>
    <n v="3"/>
    <n v="4"/>
    <n v="4"/>
    <n v="29.583943917486899"/>
    <n v="91"/>
    <n v="53"/>
    <n v="7"/>
    <x v="0"/>
    <x v="0"/>
    <d v="2024-01-01T00:00:00"/>
    <d v="2024-01-18T00:00:00"/>
    <d v="2024-02-15T00:00:00"/>
    <n v="17"/>
    <n v="28"/>
    <x v="0"/>
    <x v="1"/>
  </r>
  <r>
    <n v="35"/>
    <n v="1"/>
    <n v="2"/>
    <n v="13"/>
    <n v="2"/>
    <n v="17.582892208850801"/>
    <n v="23"/>
    <n v="54"/>
    <n v="54"/>
    <x v="1"/>
    <x v="1"/>
    <d v="2024-01-01T00:00:00"/>
    <d v="2024-01-21T00:00:00"/>
    <s v="N/A"/>
    <n v="20"/>
    <s v="N/A"/>
    <x v="1"/>
    <x v="1"/>
  </r>
  <r>
    <n v="48"/>
    <n v="1"/>
    <n v="2"/>
    <n v="3"/>
    <n v="1"/>
    <n v="37.152856273016397"/>
    <n v="92"/>
    <n v="94"/>
    <n v="46"/>
    <x v="1"/>
    <x v="1"/>
    <d v="2024-01-01T00:00:00"/>
    <d v="2024-02-07T00:00:00"/>
    <s v="N/A"/>
    <n v="37"/>
    <s v="N/A"/>
    <x v="3"/>
    <x v="0"/>
  </r>
  <r>
    <n v="36"/>
    <n v="1"/>
    <n v="2"/>
    <n v="8"/>
    <n v="4"/>
    <n v="26.3876075931332"/>
    <n v="72"/>
    <n v="18"/>
    <n v="1"/>
    <x v="2"/>
    <x v="1"/>
    <d v="2024-01-01T00:00:00"/>
    <d v="2024-02-14T00:00:00"/>
    <s v="N/A"/>
    <n v="44"/>
    <s v="N/A"/>
    <x v="2"/>
    <x v="0"/>
  </r>
  <r>
    <n v="45"/>
    <n v="1"/>
    <n v="2"/>
    <n v="14"/>
    <n v="4"/>
    <n v="25.955432905380299"/>
    <n v="3"/>
    <n v="61"/>
    <n v="93"/>
    <x v="1"/>
    <x v="1"/>
    <d v="2024-01-01T00:00:00"/>
    <d v="2024-02-14T00:00:00"/>
    <s v="N/A"/>
    <n v="44"/>
    <s v="N/A"/>
    <x v="1"/>
    <x v="0"/>
  </r>
  <r>
    <n v="23"/>
    <n v="0"/>
    <n v="2"/>
    <n v="8"/>
    <n v="2"/>
    <n v="6.5071141459483197"/>
    <n v="45"/>
    <n v="98"/>
    <n v="93"/>
    <x v="0"/>
    <x v="0"/>
    <d v="2024-01-01T00:00:00"/>
    <d v="2024-01-31T00:00:00"/>
    <d v="2024-02-19T00:00:00"/>
    <n v="30"/>
    <n v="19"/>
    <x v="0"/>
    <x v="1"/>
  </r>
  <r>
    <n v="20"/>
    <n v="0"/>
    <n v="2"/>
    <n v="14"/>
    <n v="2"/>
    <n v="20.475801297270401"/>
    <n v="17"/>
    <n v="92"/>
    <n v="38"/>
    <x v="0"/>
    <x v="0"/>
    <d v="2024-01-01T00:00:00"/>
    <d v="2024-02-06T00:00:00"/>
    <d v="2024-02-29T00:00:00"/>
    <n v="36"/>
    <n v="23"/>
    <x v="0"/>
    <x v="0"/>
  </r>
  <r>
    <n v="27"/>
    <n v="0"/>
    <n v="3"/>
    <n v="13"/>
    <n v="2"/>
    <n v="13.0532172928368"/>
    <n v="42"/>
    <n v="58"/>
    <n v="44"/>
    <x v="2"/>
    <x v="1"/>
    <d v="2024-01-01T00:00:00"/>
    <d v="2024-01-15T00:00:00"/>
    <s v="N/A"/>
    <n v="14"/>
    <s v="N/A"/>
    <x v="1"/>
    <x v="1"/>
  </r>
  <r>
    <n v="36"/>
    <n v="1"/>
    <n v="2"/>
    <n v="4"/>
    <n v="1"/>
    <n v="1.7847952798139799"/>
    <n v="79"/>
    <n v="64"/>
    <n v="31"/>
    <x v="0"/>
    <x v="0"/>
    <d v="2024-01-01T00:00:00"/>
    <d v="2024-01-18T00:00:00"/>
    <d v="2024-01-25T00:00:00"/>
    <n v="17"/>
    <n v="7"/>
    <x v="0"/>
    <x v="1"/>
  </r>
  <r>
    <n v="22"/>
    <n v="0"/>
    <n v="2"/>
    <n v="9"/>
    <n v="5"/>
    <n v="19.0049815391056"/>
    <n v="32"/>
    <n v="67"/>
    <n v="64"/>
    <x v="1"/>
    <x v="1"/>
    <d v="2024-01-01T00:00:00"/>
    <d v="2024-02-11T00:00:00"/>
    <s v="N/A"/>
    <n v="41"/>
    <s v="N/A"/>
    <x v="1"/>
    <x v="0"/>
  </r>
  <r>
    <n v="48"/>
    <n v="0"/>
    <n v="3"/>
    <n v="3"/>
    <n v="2"/>
    <n v="5.4911064712802302"/>
    <n v="92"/>
    <n v="27"/>
    <n v="37"/>
    <x v="1"/>
    <x v="1"/>
    <d v="2024-01-01T00:00:00"/>
    <d v="2024-02-02T00:00:00"/>
    <s v="N/A"/>
    <n v="32"/>
    <s v="N/A"/>
    <x v="2"/>
    <x v="0"/>
  </r>
  <r>
    <n v="39"/>
    <n v="1"/>
    <n v="2"/>
    <n v="6"/>
    <n v="5"/>
    <n v="13.8415018862592"/>
    <n v="9"/>
    <n v="17"/>
    <n v="76"/>
    <x v="1"/>
    <x v="1"/>
    <d v="2024-01-01T00:00:00"/>
    <d v="2024-01-26T00:00:00"/>
    <s v="N/A"/>
    <n v="25"/>
    <s v="N/A"/>
    <x v="2"/>
    <x v="1"/>
  </r>
  <r>
    <n v="34"/>
    <n v="1"/>
    <n v="2"/>
    <n v="14"/>
    <n v="1"/>
    <n v="5.62583105915472"/>
    <n v="72"/>
    <n v="25"/>
    <n v="10"/>
    <x v="1"/>
    <x v="1"/>
    <d v="2024-01-01T00:00:00"/>
    <d v="2024-01-19T00:00:00"/>
    <s v="N/A"/>
    <n v="18"/>
    <s v="N/A"/>
    <x v="2"/>
    <x v="1"/>
  </r>
  <r>
    <n v="34"/>
    <n v="1"/>
    <n v="2"/>
    <n v="5"/>
    <n v="5"/>
    <n v="6.0470812778199399"/>
    <n v="58"/>
    <n v="18"/>
    <n v="9"/>
    <x v="1"/>
    <x v="1"/>
    <d v="2024-01-01T00:00:00"/>
    <d v="2024-01-29T00:00:00"/>
    <s v="N/A"/>
    <n v="28"/>
    <s v="N/A"/>
    <x v="2"/>
    <x v="1"/>
  </r>
  <r>
    <n v="50"/>
    <n v="0"/>
    <n v="1"/>
    <n v="3"/>
    <n v="3"/>
    <n v="10.950564720759401"/>
    <n v="30"/>
    <n v="54"/>
    <n v="58"/>
    <x v="2"/>
    <x v="1"/>
    <d v="2024-01-01T00:00:00"/>
    <d v="2024-01-18T00:00:00"/>
    <s v="N/A"/>
    <n v="17"/>
    <s v="N/A"/>
    <x v="1"/>
    <x v="1"/>
  </r>
  <r>
    <n v="43"/>
    <n v="0"/>
    <n v="3"/>
    <n v="12"/>
    <n v="5"/>
    <n v="50.992462224320001"/>
    <n v="27"/>
    <n v="56"/>
    <n v="89"/>
    <x v="0"/>
    <x v="0"/>
    <d v="2024-01-01T00:00:00"/>
    <d v="2024-01-19T00:00:00"/>
    <d v="2024-01-28T00:00:00"/>
    <n v="18"/>
    <n v="9"/>
    <x v="0"/>
    <x v="1"/>
  </r>
  <r>
    <n v="41"/>
    <n v="1"/>
    <n v="3"/>
    <n v="12"/>
    <n v="2"/>
    <n v="1.1092071428624299"/>
    <n v="59"/>
    <n v="5"/>
    <n v="54"/>
    <x v="2"/>
    <x v="1"/>
    <d v="2024-01-01T00:00:00"/>
    <d v="2024-01-31T00:00:00"/>
    <s v="N/A"/>
    <n v="30"/>
    <s v="N/A"/>
    <x v="2"/>
    <x v="1"/>
  </r>
  <r>
    <n v="33"/>
    <n v="1"/>
    <n v="4"/>
    <n v="14"/>
    <n v="1"/>
    <n v="32.933631806020202"/>
    <n v="2"/>
    <n v="0"/>
    <n v="19"/>
    <x v="1"/>
    <x v="1"/>
    <d v="2024-01-01T00:00:00"/>
    <d v="2024-01-31T00:00:00"/>
    <s v="N/A"/>
    <n v="30"/>
    <s v="N/A"/>
    <x v="2"/>
    <x v="1"/>
  </r>
  <r>
    <n v="45"/>
    <n v="0"/>
    <n v="2"/>
    <n v="9"/>
    <n v="2"/>
    <n v="8.0621849013278606"/>
    <n v="54"/>
    <n v="7"/>
    <n v="80"/>
    <x v="2"/>
    <x v="1"/>
    <d v="2024-01-01T00:00:00"/>
    <d v="2024-02-12T00:00:00"/>
    <s v="N/A"/>
    <n v="42"/>
    <s v="N/A"/>
    <x v="2"/>
    <x v="0"/>
  </r>
  <r>
    <n v="47"/>
    <n v="0"/>
    <n v="2"/>
    <n v="1"/>
    <n v="3"/>
    <n v="47.031406835538696"/>
    <n v="13"/>
    <n v="96"/>
    <n v="16"/>
    <x v="0"/>
    <x v="1"/>
    <d v="2024-01-01T00:00:00"/>
    <d v="2024-01-21T00:00:00"/>
    <s v="N/A"/>
    <n v="20"/>
    <s v="N/A"/>
    <x v="3"/>
    <x v="1"/>
  </r>
  <r>
    <n v="42"/>
    <n v="1"/>
    <n v="1"/>
    <n v="0"/>
    <n v="2"/>
    <n v="5.6816446666814597"/>
    <n v="57"/>
    <n v="50"/>
    <n v="67"/>
    <x v="0"/>
    <x v="1"/>
    <d v="2024-01-01T00:00:00"/>
    <d v="2024-01-22T00:00:00"/>
    <s v="N/A"/>
    <n v="21"/>
    <s v="N/A"/>
    <x v="1"/>
    <x v="1"/>
  </r>
  <r>
    <n v="33"/>
    <n v="1"/>
    <n v="2"/>
    <n v="3"/>
    <n v="2"/>
    <n v="48.753159356311798"/>
    <n v="88"/>
    <n v="84"/>
    <n v="4"/>
    <x v="2"/>
    <x v="1"/>
    <d v="2024-01-01T00:00:00"/>
    <d v="2024-01-16T00:00:00"/>
    <s v="N/A"/>
    <n v="15"/>
    <s v="N/A"/>
    <x v="3"/>
    <x v="1"/>
  </r>
  <r>
    <n v="43"/>
    <n v="0"/>
    <n v="2"/>
    <n v="3"/>
    <n v="2"/>
    <n v="31.546319374173802"/>
    <n v="14"/>
    <n v="87"/>
    <n v="59"/>
    <x v="2"/>
    <x v="1"/>
    <d v="2024-01-01T00:00:00"/>
    <d v="2024-02-05T00:00:00"/>
    <s v="N/A"/>
    <n v="35"/>
    <s v="N/A"/>
    <x v="3"/>
    <x v="0"/>
  </r>
  <r>
    <n v="21"/>
    <n v="1"/>
    <n v="4"/>
    <n v="12"/>
    <n v="4"/>
    <n v="1.0634038457745101"/>
    <n v="1"/>
    <n v="24"/>
    <n v="22"/>
    <x v="1"/>
    <x v="1"/>
    <d v="2024-01-01T00:00:00"/>
    <d v="2024-01-25T00:00:00"/>
    <s v="N/A"/>
    <n v="24"/>
    <s v="N/A"/>
    <x v="2"/>
    <x v="1"/>
  </r>
  <r>
    <n v="32"/>
    <n v="0"/>
    <n v="2"/>
    <n v="0"/>
    <n v="3"/>
    <n v="45.7003598958403"/>
    <n v="23"/>
    <n v="46"/>
    <n v="45"/>
    <x v="1"/>
    <x v="1"/>
    <d v="2024-01-01T00:00:00"/>
    <d v="2024-02-14T00:00:00"/>
    <s v="N/A"/>
    <n v="44"/>
    <s v="N/A"/>
    <x v="2"/>
    <x v="0"/>
  </r>
  <r>
    <n v="45"/>
    <n v="0"/>
    <n v="2"/>
    <n v="5"/>
    <n v="2"/>
    <n v="27.085590068345901"/>
    <n v="77"/>
    <n v="54"/>
    <n v="51"/>
    <x v="2"/>
    <x v="1"/>
    <d v="2024-01-01T00:00:00"/>
    <d v="2024-01-25T00:00:00"/>
    <s v="N/A"/>
    <n v="24"/>
    <s v="N/A"/>
    <x v="1"/>
    <x v="1"/>
  </r>
  <r>
    <n v="33"/>
    <n v="0"/>
    <n v="2"/>
    <n v="3"/>
    <n v="2"/>
    <n v="14.1334867665242"/>
    <n v="63"/>
    <n v="63"/>
    <n v="9"/>
    <x v="0"/>
    <x v="1"/>
    <d v="2024-01-01T00:00:00"/>
    <d v="2024-01-19T00:00:00"/>
    <s v="N/A"/>
    <n v="18"/>
    <s v="N/A"/>
    <x v="1"/>
    <x v="1"/>
  </r>
  <r>
    <n v="46"/>
    <n v="0"/>
    <n v="2"/>
    <n v="0"/>
    <n v="2"/>
    <n v="39.363958875781499"/>
    <n v="70"/>
    <n v="82"/>
    <n v="45"/>
    <x v="1"/>
    <x v="1"/>
    <d v="2024-01-01T00:00:00"/>
    <d v="2024-02-15T00:00:00"/>
    <s v="N/A"/>
    <n v="45"/>
    <s v="N/A"/>
    <x v="3"/>
    <x v="0"/>
  </r>
  <r>
    <n v="43"/>
    <n v="1"/>
    <n v="2"/>
    <n v="0"/>
    <n v="1"/>
    <n v="47.333277694343501"/>
    <n v="99"/>
    <n v="92"/>
    <n v="27"/>
    <x v="2"/>
    <x v="1"/>
    <d v="2024-01-01T00:00:00"/>
    <d v="2024-02-15T00:00:00"/>
    <s v="N/A"/>
    <n v="45"/>
    <s v="N/A"/>
    <x v="3"/>
    <x v="0"/>
  </r>
  <r>
    <n v="38"/>
    <n v="1"/>
    <n v="3"/>
    <n v="14"/>
    <n v="4"/>
    <n v="25.184541157339599"/>
    <n v="23"/>
    <n v="9"/>
    <n v="96"/>
    <x v="1"/>
    <x v="1"/>
    <d v="2024-01-01T00:00:00"/>
    <d v="2024-01-25T00:00:00"/>
    <s v="N/A"/>
    <n v="24"/>
    <s v="N/A"/>
    <x v="2"/>
    <x v="1"/>
  </r>
  <r>
    <n v="26"/>
    <n v="0"/>
    <n v="2"/>
    <n v="12"/>
    <n v="1"/>
    <n v="16.777673722155502"/>
    <n v="26"/>
    <n v="55"/>
    <n v="42"/>
    <x v="1"/>
    <x v="1"/>
    <d v="2024-01-01T00:00:00"/>
    <d v="2024-01-20T00:00:00"/>
    <s v="N/A"/>
    <n v="19"/>
    <s v="N/A"/>
    <x v="1"/>
    <x v="1"/>
  </r>
  <r>
    <n v="22"/>
    <n v="0"/>
    <n v="3"/>
    <n v="0"/>
    <n v="4"/>
    <n v="40.447256196746302"/>
    <n v="36"/>
    <n v="11"/>
    <n v="25"/>
    <x v="1"/>
    <x v="1"/>
    <d v="2024-01-01T00:00:00"/>
    <d v="2024-02-15T00:00:00"/>
    <s v="N/A"/>
    <n v="45"/>
    <s v="N/A"/>
    <x v="2"/>
    <x v="0"/>
  </r>
  <r>
    <n v="34"/>
    <n v="0"/>
    <n v="2"/>
    <n v="7"/>
    <n v="2"/>
    <n v="35.089274889422697"/>
    <n v="93"/>
    <n v="32"/>
    <n v="54"/>
    <x v="1"/>
    <x v="1"/>
    <d v="2024-01-01T00:00:00"/>
    <d v="2024-02-10T00:00:00"/>
    <s v="N/A"/>
    <n v="40"/>
    <s v="N/A"/>
    <x v="2"/>
    <x v="0"/>
  </r>
  <r>
    <n v="42"/>
    <n v="0"/>
    <n v="3"/>
    <n v="9"/>
    <n v="3"/>
    <n v="45.437624187513599"/>
    <n v="90"/>
    <n v="70"/>
    <n v="47"/>
    <x v="0"/>
    <x v="0"/>
    <d v="2024-01-01T00:00:00"/>
    <d v="2024-02-09T00:00:00"/>
    <d v="2024-03-01T00:00:00"/>
    <n v="39"/>
    <n v="21"/>
    <x v="0"/>
    <x v="0"/>
  </r>
  <r>
    <n v="33"/>
    <n v="0"/>
    <n v="3"/>
    <n v="7"/>
    <n v="5"/>
    <n v="35.625700638059598"/>
    <n v="38"/>
    <n v="16"/>
    <n v="28"/>
    <x v="2"/>
    <x v="1"/>
    <d v="2024-01-01T00:00:00"/>
    <d v="2024-01-22T00:00:00"/>
    <s v="N/A"/>
    <n v="21"/>
    <s v="N/A"/>
    <x v="2"/>
    <x v="1"/>
  </r>
  <r>
    <n v="30"/>
    <n v="1"/>
    <n v="2"/>
    <n v="1"/>
    <n v="5"/>
    <n v="13.1764169449768"/>
    <n v="62"/>
    <n v="60"/>
    <n v="26"/>
    <x v="1"/>
    <x v="1"/>
    <d v="2024-01-01T00:00:00"/>
    <d v="2024-02-14T00:00:00"/>
    <s v="N/A"/>
    <n v="44"/>
    <s v="N/A"/>
    <x v="1"/>
    <x v="0"/>
  </r>
  <r>
    <n v="34"/>
    <n v="1"/>
    <n v="2"/>
    <n v="10"/>
    <n v="2"/>
    <n v="47.582962487950901"/>
    <n v="78"/>
    <n v="9"/>
    <n v="17"/>
    <x v="2"/>
    <x v="1"/>
    <d v="2024-01-01T00:00:00"/>
    <d v="2024-01-29T00:00:00"/>
    <s v="N/A"/>
    <n v="28"/>
    <s v="N/A"/>
    <x v="2"/>
    <x v="1"/>
  </r>
  <r>
    <n v="47"/>
    <n v="1"/>
    <n v="4"/>
    <n v="12"/>
    <n v="1"/>
    <n v="6.2417873602995604"/>
    <n v="25"/>
    <n v="30"/>
    <n v="59"/>
    <x v="2"/>
    <x v="1"/>
    <d v="2024-01-01T00:00:00"/>
    <d v="2024-02-05T00:00:00"/>
    <s v="N/A"/>
    <n v="35"/>
    <s v="N/A"/>
    <x v="2"/>
    <x v="0"/>
  </r>
  <r>
    <n v="32"/>
    <n v="1"/>
    <n v="2"/>
    <n v="6"/>
    <n v="3"/>
    <n v="14.3971375053423"/>
    <n v="64"/>
    <n v="59"/>
    <n v="73"/>
    <x v="0"/>
    <x v="0"/>
    <d v="2024-01-01T00:00:00"/>
    <d v="2024-01-18T00:00:00"/>
    <d v="2024-02-05T00:00:00"/>
    <n v="17"/>
    <n v="18"/>
    <x v="0"/>
    <x v="1"/>
  </r>
  <r>
    <n v="37"/>
    <n v="0"/>
    <n v="4"/>
    <n v="13"/>
    <n v="4"/>
    <n v="27.0097303861942"/>
    <n v="3"/>
    <n v="69"/>
    <n v="68"/>
    <x v="0"/>
    <x v="0"/>
    <d v="2024-01-01T00:00:00"/>
    <d v="2024-01-17T00:00:00"/>
    <d v="2024-02-10T00:00:00"/>
    <n v="16"/>
    <n v="24"/>
    <x v="0"/>
    <x v="1"/>
  </r>
  <r>
    <n v="45"/>
    <n v="0"/>
    <n v="1"/>
    <n v="7"/>
    <n v="2"/>
    <n v="29.287101303545001"/>
    <n v="28"/>
    <n v="16"/>
    <n v="73"/>
    <x v="1"/>
    <x v="1"/>
    <d v="2024-01-01T00:00:00"/>
    <d v="2024-01-30T00:00:00"/>
    <s v="N/A"/>
    <n v="29"/>
    <s v="N/A"/>
    <x v="2"/>
    <x v="1"/>
  </r>
  <r>
    <n v="25"/>
    <n v="0"/>
    <n v="2"/>
    <n v="7"/>
    <n v="3"/>
    <n v="1.76552933134527"/>
    <n v="0"/>
    <n v="49"/>
    <n v="20"/>
    <x v="1"/>
    <x v="1"/>
    <d v="2024-01-01T00:00:00"/>
    <d v="2024-02-13T00:00:00"/>
    <s v="N/A"/>
    <n v="43"/>
    <s v="N/A"/>
    <x v="2"/>
    <x v="0"/>
  </r>
  <r>
    <n v="22"/>
    <n v="0"/>
    <n v="3"/>
    <n v="10"/>
    <n v="3"/>
    <n v="40.028636291047"/>
    <n v="49"/>
    <n v="36"/>
    <n v="23"/>
    <x v="1"/>
    <x v="1"/>
    <d v="2024-01-01T00:00:00"/>
    <d v="2024-02-07T00:00:00"/>
    <s v="N/A"/>
    <n v="37"/>
    <s v="N/A"/>
    <x v="2"/>
    <x v="0"/>
  </r>
  <r>
    <n v="38"/>
    <n v="0"/>
    <n v="4"/>
    <n v="9"/>
    <n v="4"/>
    <n v="19.080365921269401"/>
    <n v="85"/>
    <n v="81"/>
    <n v="2"/>
    <x v="1"/>
    <x v="0"/>
    <d v="2024-01-01T00:00:00"/>
    <d v="2024-02-09T00:00:00"/>
    <d v="2024-03-05T00:00:00"/>
    <n v="39"/>
    <n v="25"/>
    <x v="0"/>
    <x v="0"/>
  </r>
  <r>
    <n v="34"/>
    <n v="1"/>
    <n v="2"/>
    <n v="14"/>
    <n v="3"/>
    <n v="21.3209270501068"/>
    <n v="10"/>
    <n v="61"/>
    <n v="94"/>
    <x v="1"/>
    <x v="1"/>
    <d v="2024-01-01T00:00:00"/>
    <d v="2024-02-07T00:00:00"/>
    <s v="N/A"/>
    <n v="37"/>
    <s v="N/A"/>
    <x v="1"/>
    <x v="0"/>
  </r>
  <r>
    <n v="44"/>
    <n v="0"/>
    <n v="3"/>
    <n v="10"/>
    <n v="1"/>
    <n v="41.468477221847202"/>
    <n v="73"/>
    <n v="89"/>
    <n v="61"/>
    <x v="0"/>
    <x v="0"/>
    <d v="2024-01-01T00:00:00"/>
    <d v="2024-02-13T00:00:00"/>
    <d v="2024-03-01T00:00:00"/>
    <n v="43"/>
    <n v="17"/>
    <x v="0"/>
    <x v="0"/>
  </r>
  <r>
    <n v="42"/>
    <n v="1"/>
    <n v="2"/>
    <n v="12"/>
    <n v="1"/>
    <n v="19.964169586377199"/>
    <n v="58"/>
    <n v="79"/>
    <n v="100"/>
    <x v="1"/>
    <x v="1"/>
    <d v="2024-01-01T00:00:00"/>
    <d v="2024-02-07T00:00:00"/>
    <s v="N/A"/>
    <n v="37"/>
    <s v="N/A"/>
    <x v="3"/>
    <x v="0"/>
  </r>
  <r>
    <n v="24"/>
    <n v="1"/>
    <n v="1"/>
    <n v="6"/>
    <n v="1"/>
    <n v="3.3612438247377399"/>
    <n v="61"/>
    <n v="71"/>
    <n v="1"/>
    <x v="1"/>
    <x v="1"/>
    <d v="2024-01-01T00:00:00"/>
    <d v="2024-02-06T00:00:00"/>
    <s v="N/A"/>
    <n v="36"/>
    <s v="N/A"/>
    <x v="3"/>
    <x v="0"/>
  </r>
  <r>
    <n v="47"/>
    <n v="1"/>
    <n v="2"/>
    <n v="4"/>
    <n v="3"/>
    <n v="9.8219885235175095"/>
    <n v="80"/>
    <n v="87"/>
    <n v="65"/>
    <x v="1"/>
    <x v="1"/>
    <d v="2024-01-01T00:00:00"/>
    <d v="2024-01-26T00:00:00"/>
    <s v="N/A"/>
    <n v="25"/>
    <s v="N/A"/>
    <x v="3"/>
    <x v="1"/>
  </r>
  <r>
    <n v="29"/>
    <n v="1"/>
    <n v="2"/>
    <n v="0"/>
    <n v="1"/>
    <n v="48.795158619409101"/>
    <n v="35"/>
    <n v="76"/>
    <n v="41"/>
    <x v="0"/>
    <x v="1"/>
    <d v="2024-01-01T00:00:00"/>
    <d v="2024-02-07T00:00:00"/>
    <s v="N/A"/>
    <n v="37"/>
    <s v="N/A"/>
    <x v="3"/>
    <x v="0"/>
  </r>
  <r>
    <n v="26"/>
    <n v="0"/>
    <n v="4"/>
    <n v="11"/>
    <n v="4"/>
    <n v="4.5202681201257002"/>
    <n v="55"/>
    <n v="28"/>
    <n v="33"/>
    <x v="1"/>
    <x v="1"/>
    <d v="2024-01-01T00:00:00"/>
    <d v="2024-01-17T00:00:00"/>
    <s v="N/A"/>
    <n v="16"/>
    <s v="N/A"/>
    <x v="2"/>
    <x v="1"/>
  </r>
  <r>
    <n v="44"/>
    <n v="1"/>
    <n v="2"/>
    <n v="8"/>
    <n v="3"/>
    <n v="18.746560048400799"/>
    <n v="89"/>
    <n v="31"/>
    <n v="41"/>
    <x v="0"/>
    <x v="0"/>
    <d v="2024-01-01T00:00:00"/>
    <d v="2024-02-06T00:00:00"/>
    <d v="2024-02-24T00:00:00"/>
    <n v="36"/>
    <n v="18"/>
    <x v="0"/>
    <x v="0"/>
  </r>
  <r>
    <n v="36"/>
    <n v="1"/>
    <n v="2"/>
    <n v="12"/>
    <n v="5"/>
    <n v="26.1589583525672"/>
    <n v="20"/>
    <n v="87"/>
    <n v="19"/>
    <x v="1"/>
    <x v="1"/>
    <d v="2024-01-01T00:00:00"/>
    <d v="2024-02-01T00:00:00"/>
    <s v="N/A"/>
    <n v="31"/>
    <s v="N/A"/>
    <x v="3"/>
    <x v="0"/>
  </r>
  <r>
    <n v="26"/>
    <n v="1"/>
    <n v="1"/>
    <n v="15"/>
    <n v="3"/>
    <n v="25.664041366928"/>
    <n v="12"/>
    <n v="79"/>
    <n v="96"/>
    <x v="1"/>
    <x v="1"/>
    <d v="2024-01-01T00:00:00"/>
    <d v="2024-01-20T00:00:00"/>
    <s v="N/A"/>
    <n v="19"/>
    <s v="N/A"/>
    <x v="3"/>
    <x v="1"/>
  </r>
  <r>
    <n v="41"/>
    <n v="0"/>
    <n v="2"/>
    <n v="6"/>
    <n v="4"/>
    <n v="1.1979971506071301"/>
    <n v="8"/>
    <n v="10"/>
    <n v="67"/>
    <x v="0"/>
    <x v="0"/>
    <d v="2024-01-01T00:00:00"/>
    <d v="2024-01-21T00:00:00"/>
    <d v="2024-02-19T00:00:00"/>
    <n v="20"/>
    <n v="29"/>
    <x v="0"/>
    <x v="1"/>
  </r>
  <r>
    <n v="45"/>
    <n v="0"/>
    <n v="2"/>
    <n v="1"/>
    <n v="5"/>
    <n v="26.058136572874499"/>
    <n v="10"/>
    <n v="95"/>
    <n v="44"/>
    <x v="1"/>
    <x v="1"/>
    <d v="2024-01-01T00:00:00"/>
    <d v="2024-02-15T00:00:00"/>
    <s v="N/A"/>
    <n v="45"/>
    <s v="N/A"/>
    <x v="3"/>
    <x v="0"/>
  </r>
  <r>
    <n v="49"/>
    <n v="0"/>
    <n v="3"/>
    <n v="5"/>
    <n v="3"/>
    <n v="20.188622898870399"/>
    <n v="74"/>
    <n v="5"/>
    <n v="74"/>
    <x v="1"/>
    <x v="1"/>
    <d v="2024-01-01T00:00:00"/>
    <d v="2024-02-06T00:00:00"/>
    <s v="N/A"/>
    <n v="36"/>
    <s v="N/A"/>
    <x v="2"/>
    <x v="0"/>
  </r>
  <r>
    <n v="31"/>
    <n v="1"/>
    <n v="2"/>
    <n v="1"/>
    <n v="1"/>
    <n v="49.603966773727798"/>
    <n v="69"/>
    <n v="34"/>
    <n v="41"/>
    <x v="0"/>
    <x v="1"/>
    <d v="2024-01-01T00:00:00"/>
    <d v="2024-02-12T00:00:00"/>
    <s v="N/A"/>
    <n v="42"/>
    <s v="N/A"/>
    <x v="2"/>
    <x v="0"/>
  </r>
  <r>
    <n v="44"/>
    <n v="1"/>
    <n v="4"/>
    <n v="14"/>
    <n v="2"/>
    <n v="8.9579541996914909"/>
    <n v="0"/>
    <n v="32"/>
    <n v="46"/>
    <x v="0"/>
    <x v="0"/>
    <d v="2024-01-01T00:00:00"/>
    <d v="2024-01-22T00:00:00"/>
    <d v="2024-02-13T00:00:00"/>
    <n v="21"/>
    <n v="22"/>
    <x v="0"/>
    <x v="1"/>
  </r>
  <r>
    <n v="36"/>
    <n v="0"/>
    <n v="4"/>
    <n v="0"/>
    <n v="2"/>
    <n v="18.707709837974701"/>
    <n v="69"/>
    <n v="17"/>
    <n v="4"/>
    <x v="2"/>
    <x v="1"/>
    <d v="2024-01-01T00:00:00"/>
    <d v="2024-01-24T00:00:00"/>
    <s v="N/A"/>
    <n v="23"/>
    <s v="N/A"/>
    <x v="2"/>
    <x v="1"/>
  </r>
  <r>
    <n v="32"/>
    <n v="1"/>
    <n v="2"/>
    <n v="13"/>
    <n v="1"/>
    <n v="21.974074254490901"/>
    <n v="76"/>
    <n v="36"/>
    <n v="88"/>
    <x v="1"/>
    <x v="1"/>
    <d v="2024-01-01T00:00:00"/>
    <d v="2024-02-09T00:00:00"/>
    <s v="N/A"/>
    <n v="39"/>
    <s v="N/A"/>
    <x v="2"/>
    <x v="0"/>
  </r>
  <r>
    <n v="39"/>
    <n v="0"/>
    <n v="4"/>
    <n v="6"/>
    <n v="2"/>
    <n v="20.534676855047401"/>
    <n v="85"/>
    <n v="12"/>
    <n v="48"/>
    <x v="2"/>
    <x v="1"/>
    <d v="2024-01-01T00:00:00"/>
    <d v="2024-02-06T00:00:00"/>
    <s v="N/A"/>
    <n v="36"/>
    <s v="N/A"/>
    <x v="2"/>
    <x v="0"/>
  </r>
  <r>
    <n v="44"/>
    <n v="0"/>
    <n v="3"/>
    <n v="12"/>
    <n v="2"/>
    <n v="34.291541382593103"/>
    <n v="55"/>
    <n v="73"/>
    <n v="36"/>
    <x v="1"/>
    <x v="1"/>
    <d v="2024-01-01T00:00:00"/>
    <d v="2024-02-07T00:00:00"/>
    <s v="N/A"/>
    <n v="37"/>
    <s v="N/A"/>
    <x v="3"/>
    <x v="0"/>
  </r>
  <r>
    <n v="23"/>
    <n v="1"/>
    <n v="2"/>
    <n v="15"/>
    <n v="1"/>
    <n v="11.7756428773884"/>
    <n v="30"/>
    <n v="100"/>
    <n v="33"/>
    <x v="1"/>
    <x v="1"/>
    <d v="2024-01-01T00:00:00"/>
    <d v="2024-02-15T00:00:00"/>
    <s v="N/A"/>
    <n v="45"/>
    <s v="N/A"/>
    <x v="3"/>
    <x v="0"/>
  </r>
  <r>
    <n v="29"/>
    <n v="1"/>
    <n v="1"/>
    <n v="1"/>
    <n v="1"/>
    <n v="12.053577640699499"/>
    <n v="85"/>
    <n v="89"/>
    <n v="72"/>
    <x v="1"/>
    <x v="1"/>
    <d v="2024-01-01T00:00:00"/>
    <d v="2024-02-12T00:00:00"/>
    <s v="N/A"/>
    <n v="42"/>
    <s v="N/A"/>
    <x v="3"/>
    <x v="0"/>
  </r>
  <r>
    <n v="22"/>
    <n v="1"/>
    <n v="2"/>
    <n v="12"/>
    <n v="3"/>
    <n v="37.460547425042598"/>
    <n v="36"/>
    <n v="80"/>
    <n v="69"/>
    <x v="1"/>
    <x v="1"/>
    <d v="2024-01-01T00:00:00"/>
    <d v="2024-01-21T00:00:00"/>
    <s v="N/A"/>
    <n v="20"/>
    <s v="N/A"/>
    <x v="3"/>
    <x v="1"/>
  </r>
  <r>
    <n v="28"/>
    <n v="1"/>
    <n v="2"/>
    <n v="13"/>
    <n v="3"/>
    <n v="26.014525933908899"/>
    <n v="46"/>
    <n v="63"/>
    <n v="17"/>
    <x v="0"/>
    <x v="0"/>
    <d v="2024-01-01T00:00:00"/>
    <d v="2024-01-17T00:00:00"/>
    <d v="2024-02-01T00:00:00"/>
    <n v="16"/>
    <n v="15"/>
    <x v="0"/>
    <x v="1"/>
  </r>
  <r>
    <n v="32"/>
    <n v="0"/>
    <n v="3"/>
    <n v="13"/>
    <n v="1"/>
    <n v="21.7577838028655"/>
    <n v="90"/>
    <n v="0"/>
    <n v="77"/>
    <x v="1"/>
    <x v="0"/>
    <d v="2024-01-01T00:00:00"/>
    <d v="2024-01-19T00:00:00"/>
    <d v="2024-01-28T00:00:00"/>
    <n v="18"/>
    <n v="9"/>
    <x v="0"/>
    <x v="1"/>
  </r>
  <r>
    <n v="37"/>
    <n v="0"/>
    <n v="2"/>
    <n v="1"/>
    <n v="4"/>
    <n v="9.4601525838625893"/>
    <n v="77"/>
    <n v="62"/>
    <n v="18"/>
    <x v="1"/>
    <x v="1"/>
    <d v="2024-01-01T00:00:00"/>
    <d v="2024-01-31T00:00:00"/>
    <s v="N/A"/>
    <n v="30"/>
    <s v="N/A"/>
    <x v="1"/>
    <x v="1"/>
  </r>
  <r>
    <n v="34"/>
    <n v="0"/>
    <n v="3"/>
    <n v="12"/>
    <n v="2"/>
    <n v="10.3763611456083"/>
    <n v="46"/>
    <n v="88"/>
    <n v="77"/>
    <x v="0"/>
    <x v="0"/>
    <d v="2024-01-01T00:00:00"/>
    <d v="2024-01-27T00:00:00"/>
    <d v="2024-02-16T00:00:00"/>
    <n v="26"/>
    <n v="20"/>
    <x v="0"/>
    <x v="1"/>
  </r>
  <r>
    <n v="23"/>
    <n v="0"/>
    <n v="2"/>
    <n v="10"/>
    <n v="3"/>
    <n v="1.5275818407950199"/>
    <n v="68"/>
    <n v="33"/>
    <n v="39"/>
    <x v="0"/>
    <x v="1"/>
    <d v="2024-01-01T00:00:00"/>
    <d v="2024-01-24T00:00:00"/>
    <s v="N/A"/>
    <n v="23"/>
    <s v="N/A"/>
    <x v="2"/>
    <x v="1"/>
  </r>
  <r>
    <n v="34"/>
    <n v="0"/>
    <n v="1"/>
    <n v="4"/>
    <n v="2"/>
    <n v="5.5713134430854598"/>
    <n v="57"/>
    <n v="9"/>
    <n v="16"/>
    <x v="0"/>
    <x v="1"/>
    <d v="2024-01-01T00:00:00"/>
    <d v="2024-02-15T00:00:00"/>
    <s v="N/A"/>
    <n v="45"/>
    <s v="N/A"/>
    <x v="2"/>
    <x v="0"/>
  </r>
  <r>
    <n v="41"/>
    <n v="1"/>
    <n v="4"/>
    <n v="13"/>
    <n v="5"/>
    <n v="28.841934734512002"/>
    <n v="35"/>
    <n v="83"/>
    <n v="59"/>
    <x v="1"/>
    <x v="1"/>
    <d v="2024-01-01T00:00:00"/>
    <d v="2024-01-23T00:00:00"/>
    <s v="N/A"/>
    <n v="22"/>
    <s v="N/A"/>
    <x v="3"/>
    <x v="1"/>
  </r>
  <r>
    <n v="21"/>
    <n v="0"/>
    <n v="2"/>
    <n v="4"/>
    <n v="1"/>
    <n v="45.593656500420401"/>
    <n v="31"/>
    <n v="6"/>
    <n v="98"/>
    <x v="1"/>
    <x v="1"/>
    <d v="2024-01-01T00:00:00"/>
    <d v="2024-02-06T00:00:00"/>
    <s v="N/A"/>
    <n v="36"/>
    <s v="N/A"/>
    <x v="2"/>
    <x v="0"/>
  </r>
  <r>
    <n v="34"/>
    <n v="0"/>
    <n v="2"/>
    <n v="15"/>
    <n v="4"/>
    <n v="15.3582382565278"/>
    <n v="97"/>
    <n v="55"/>
    <n v="92"/>
    <x v="2"/>
    <x v="0"/>
    <d v="2024-01-01T00:00:00"/>
    <d v="2024-01-20T00:00:00"/>
    <d v="2024-02-11T00:00:00"/>
    <n v="19"/>
    <n v="22"/>
    <x v="0"/>
    <x v="1"/>
  </r>
  <r>
    <n v="27"/>
    <n v="0"/>
    <n v="2"/>
    <n v="6"/>
    <n v="5"/>
    <n v="17.3873612948064"/>
    <n v="63"/>
    <n v="79"/>
    <n v="41"/>
    <x v="0"/>
    <x v="0"/>
    <d v="2024-01-01T00:00:00"/>
    <d v="2024-02-04T00:00:00"/>
    <d v="2024-02-21T00:00:00"/>
    <n v="34"/>
    <n v="17"/>
    <x v="0"/>
    <x v="0"/>
  </r>
  <r>
    <n v="27"/>
    <n v="1"/>
    <n v="1"/>
    <n v="0"/>
    <n v="5"/>
    <n v="6.7802805305755998"/>
    <n v="70"/>
    <n v="36"/>
    <n v="80"/>
    <x v="0"/>
    <x v="1"/>
    <d v="2024-01-01T00:00:00"/>
    <d v="2024-01-23T00:00:00"/>
    <s v="N/A"/>
    <n v="22"/>
    <s v="N/A"/>
    <x v="2"/>
    <x v="1"/>
  </r>
  <r>
    <n v="36"/>
    <n v="1"/>
    <n v="2"/>
    <n v="7"/>
    <n v="5"/>
    <n v="20.431547280355101"/>
    <n v="41"/>
    <n v="28"/>
    <n v="71"/>
    <x v="1"/>
    <x v="1"/>
    <d v="2024-01-01T00:00:00"/>
    <d v="2024-01-31T00:00:00"/>
    <s v="N/A"/>
    <n v="30"/>
    <s v="N/A"/>
    <x v="2"/>
    <x v="1"/>
  </r>
  <r>
    <n v="31"/>
    <n v="1"/>
    <n v="2"/>
    <n v="2"/>
    <n v="1"/>
    <n v="2.8610852284664499"/>
    <n v="47"/>
    <n v="11"/>
    <n v="64"/>
    <x v="2"/>
    <x v="1"/>
    <d v="2024-01-01T00:00:00"/>
    <d v="2024-01-24T00:00:00"/>
    <s v="N/A"/>
    <n v="23"/>
    <s v="N/A"/>
    <x v="2"/>
    <x v="1"/>
  </r>
  <r>
    <n v="38"/>
    <n v="1"/>
    <n v="2"/>
    <n v="3"/>
    <n v="3"/>
    <n v="46.880034813095001"/>
    <n v="73"/>
    <n v="16"/>
    <n v="52"/>
    <x v="0"/>
    <x v="1"/>
    <d v="2024-01-01T00:00:00"/>
    <d v="2024-01-25T00:00:00"/>
    <s v="N/A"/>
    <n v="24"/>
    <s v="N/A"/>
    <x v="2"/>
    <x v="1"/>
  </r>
  <r>
    <n v="29"/>
    <n v="0"/>
    <n v="4"/>
    <n v="14"/>
    <n v="1"/>
    <n v="34.655567406226403"/>
    <n v="80"/>
    <n v="47"/>
    <n v="99"/>
    <x v="1"/>
    <x v="0"/>
    <d v="2024-01-01T00:00:00"/>
    <d v="2024-02-07T00:00:00"/>
    <d v="2024-02-19T00:00:00"/>
    <n v="37"/>
    <n v="12"/>
    <x v="0"/>
    <x v="0"/>
  </r>
  <r>
    <n v="28"/>
    <n v="0"/>
    <n v="2"/>
    <n v="8"/>
    <n v="3"/>
    <n v="50.537440469660901"/>
    <n v="29"/>
    <n v="83"/>
    <n v="6"/>
    <x v="1"/>
    <x v="1"/>
    <d v="2024-01-01T00:00:00"/>
    <d v="2024-02-02T00:00:00"/>
    <s v="N/A"/>
    <n v="32"/>
    <s v="N/A"/>
    <x v="3"/>
    <x v="0"/>
  </r>
  <r>
    <n v="24"/>
    <n v="1"/>
    <n v="2"/>
    <n v="3"/>
    <n v="5"/>
    <n v="45.141158133924598"/>
    <n v="20"/>
    <n v="25"/>
    <n v="4"/>
    <x v="0"/>
    <x v="1"/>
    <d v="2024-01-01T00:00:00"/>
    <d v="2024-02-09T00:00:00"/>
    <s v="N/A"/>
    <n v="39"/>
    <s v="N/A"/>
    <x v="2"/>
    <x v="0"/>
  </r>
  <r>
    <n v="25"/>
    <n v="1"/>
    <n v="2"/>
    <n v="9"/>
    <n v="5"/>
    <n v="24.649529684907598"/>
    <n v="59"/>
    <n v="82"/>
    <n v="23"/>
    <x v="1"/>
    <x v="1"/>
    <d v="2024-01-01T00:00:00"/>
    <d v="2024-01-16T00:00:00"/>
    <s v="N/A"/>
    <n v="15"/>
    <s v="N/A"/>
    <x v="3"/>
    <x v="1"/>
  </r>
  <r>
    <n v="39"/>
    <n v="0"/>
    <n v="4"/>
    <n v="11"/>
    <n v="4"/>
    <n v="26.9842515575188"/>
    <n v="12"/>
    <n v="11"/>
    <n v="27"/>
    <x v="0"/>
    <x v="0"/>
    <d v="2024-01-01T00:00:00"/>
    <d v="2024-02-06T00:00:00"/>
    <d v="2024-03-06T00:00:00"/>
    <n v="36"/>
    <n v="29"/>
    <x v="0"/>
    <x v="0"/>
  </r>
  <r>
    <n v="45"/>
    <n v="0"/>
    <n v="1"/>
    <n v="14"/>
    <n v="3"/>
    <n v="10.5288023258596"/>
    <n v="0"/>
    <n v="20"/>
    <n v="61"/>
    <x v="2"/>
    <x v="1"/>
    <d v="2024-01-01T00:00:00"/>
    <d v="2024-01-20T00:00:00"/>
    <s v="N/A"/>
    <n v="19"/>
    <s v="N/A"/>
    <x v="2"/>
    <x v="1"/>
  </r>
  <r>
    <n v="21"/>
    <n v="1"/>
    <n v="2"/>
    <n v="4"/>
    <n v="5"/>
    <n v="24.101967141977699"/>
    <n v="64"/>
    <n v="41"/>
    <n v="16"/>
    <x v="1"/>
    <x v="1"/>
    <d v="2024-01-01T00:00:00"/>
    <d v="2024-01-27T00:00:00"/>
    <s v="N/A"/>
    <n v="26"/>
    <s v="N/A"/>
    <x v="2"/>
    <x v="1"/>
  </r>
  <r>
    <n v="46"/>
    <n v="1"/>
    <n v="1"/>
    <n v="6"/>
    <n v="2"/>
    <n v="46.151393674640502"/>
    <n v="32"/>
    <n v="60"/>
    <n v="100"/>
    <x v="1"/>
    <x v="1"/>
    <d v="2024-01-01T00:00:00"/>
    <d v="2024-02-08T00:00:00"/>
    <s v="N/A"/>
    <n v="38"/>
    <s v="N/A"/>
    <x v="1"/>
    <x v="0"/>
  </r>
  <r>
    <n v="43"/>
    <n v="1"/>
    <n v="1"/>
    <n v="15"/>
    <n v="4"/>
    <n v="3.5426711817910501"/>
    <n v="37"/>
    <n v="57"/>
    <n v="19"/>
    <x v="1"/>
    <x v="1"/>
    <d v="2024-01-01T00:00:00"/>
    <d v="2024-02-04T00:00:00"/>
    <s v="N/A"/>
    <n v="34"/>
    <s v="N/A"/>
    <x v="1"/>
    <x v="0"/>
  </r>
  <r>
    <n v="46"/>
    <n v="1"/>
    <n v="3"/>
    <n v="3"/>
    <n v="1"/>
    <n v="44.177840149915397"/>
    <n v="24"/>
    <n v="53"/>
    <n v="2"/>
    <x v="1"/>
    <x v="1"/>
    <d v="2024-01-01T00:00:00"/>
    <d v="2024-01-23T00:00:00"/>
    <s v="N/A"/>
    <n v="22"/>
    <s v="N/A"/>
    <x v="1"/>
    <x v="1"/>
  </r>
  <r>
    <n v="32"/>
    <n v="0"/>
    <n v="3"/>
    <n v="13"/>
    <n v="4"/>
    <n v="18.047390082130399"/>
    <n v="25"/>
    <n v="33"/>
    <n v="36"/>
    <x v="1"/>
    <x v="1"/>
    <d v="2024-01-01T00:00:00"/>
    <d v="2024-02-02T00:00:00"/>
    <s v="N/A"/>
    <n v="32"/>
    <s v="N/A"/>
    <x v="2"/>
    <x v="0"/>
  </r>
  <r>
    <n v="25"/>
    <n v="0"/>
    <n v="2"/>
    <n v="0"/>
    <n v="2"/>
    <n v="45.975638254815401"/>
    <n v="76"/>
    <n v="6"/>
    <n v="89"/>
    <x v="0"/>
    <x v="0"/>
    <d v="2024-01-01T00:00:00"/>
    <d v="2024-01-20T00:00:00"/>
    <d v="2024-02-02T00:00:00"/>
    <n v="19"/>
    <n v="13"/>
    <x v="0"/>
    <x v="1"/>
  </r>
  <r>
    <n v="24"/>
    <n v="0"/>
    <n v="2"/>
    <n v="8"/>
    <n v="3"/>
    <n v="48.043995317074199"/>
    <n v="58"/>
    <n v="34"/>
    <n v="14"/>
    <x v="1"/>
    <x v="1"/>
    <d v="2024-01-01T00:00:00"/>
    <d v="2024-01-18T00:00:00"/>
    <s v="N/A"/>
    <n v="17"/>
    <s v="N/A"/>
    <x v="2"/>
    <x v="1"/>
  </r>
  <r>
    <n v="44"/>
    <n v="1"/>
    <n v="2"/>
    <n v="3"/>
    <n v="1"/>
    <n v="34.5432443500953"/>
    <n v="91"/>
    <n v="14"/>
    <n v="50"/>
    <x v="0"/>
    <x v="1"/>
    <d v="2024-01-01T00:00:00"/>
    <d v="2024-02-06T00:00:00"/>
    <s v="N/A"/>
    <n v="36"/>
    <s v="N/A"/>
    <x v="2"/>
    <x v="0"/>
  </r>
  <r>
    <n v="20"/>
    <n v="1"/>
    <n v="4"/>
    <n v="8"/>
    <n v="1"/>
    <n v="34.221189329633802"/>
    <n v="32"/>
    <n v="64"/>
    <n v="47"/>
    <x v="1"/>
    <x v="1"/>
    <d v="2024-01-01T00:00:00"/>
    <d v="2024-01-30T00:00:00"/>
    <s v="N/A"/>
    <n v="29"/>
    <s v="N/A"/>
    <x v="1"/>
    <x v="1"/>
  </r>
  <r>
    <n v="40"/>
    <n v="0"/>
    <n v="4"/>
    <n v="5"/>
    <n v="3"/>
    <n v="23.637716885437001"/>
    <n v="100"/>
    <n v="89"/>
    <n v="7"/>
    <x v="0"/>
    <x v="0"/>
    <d v="2024-01-01T00:00:00"/>
    <d v="2024-01-28T00:00:00"/>
    <d v="2024-02-24T00:00:00"/>
    <n v="27"/>
    <n v="27"/>
    <x v="0"/>
    <x v="1"/>
  </r>
  <r>
    <n v="41"/>
    <n v="0"/>
    <n v="2"/>
    <n v="14"/>
    <n v="4"/>
    <n v="42.777011227185298"/>
    <n v="40"/>
    <n v="98"/>
    <n v="12"/>
    <x v="1"/>
    <x v="1"/>
    <d v="2024-01-01T00:00:00"/>
    <d v="2024-02-04T00:00:00"/>
    <s v="N/A"/>
    <n v="34"/>
    <s v="N/A"/>
    <x v="3"/>
    <x v="0"/>
  </r>
  <r>
    <n v="40"/>
    <n v="0"/>
    <n v="3"/>
    <n v="0"/>
    <n v="5"/>
    <n v="49.080637921664099"/>
    <n v="29"/>
    <n v="24"/>
    <n v="47"/>
    <x v="0"/>
    <x v="1"/>
    <d v="2024-01-01T00:00:00"/>
    <d v="2024-01-18T00:00:00"/>
    <s v="N/A"/>
    <n v="17"/>
    <s v="N/A"/>
    <x v="2"/>
    <x v="1"/>
  </r>
  <r>
    <n v="25"/>
    <n v="0"/>
    <n v="3"/>
    <n v="11"/>
    <n v="4"/>
    <n v="39.7540900169559"/>
    <n v="56"/>
    <n v="58"/>
    <n v="2"/>
    <x v="2"/>
    <x v="1"/>
    <d v="2024-01-01T00:00:00"/>
    <d v="2024-01-15T00:00:00"/>
    <s v="N/A"/>
    <n v="14"/>
    <s v="N/A"/>
    <x v="1"/>
    <x v="1"/>
  </r>
  <r>
    <n v="25"/>
    <n v="1"/>
    <n v="2"/>
    <n v="2"/>
    <n v="2"/>
    <n v="32.096836687835399"/>
    <n v="48"/>
    <n v="78"/>
    <n v="64"/>
    <x v="1"/>
    <x v="1"/>
    <d v="2024-01-01T00:00:00"/>
    <d v="2024-02-03T00:00:00"/>
    <s v="N/A"/>
    <n v="33"/>
    <s v="N/A"/>
    <x v="3"/>
    <x v="0"/>
  </r>
  <r>
    <n v="42"/>
    <n v="0"/>
    <n v="2"/>
    <n v="10"/>
    <n v="5"/>
    <n v="31.339644791066799"/>
    <n v="47"/>
    <n v="85"/>
    <n v="72"/>
    <x v="1"/>
    <x v="1"/>
    <d v="2024-01-01T00:00:00"/>
    <d v="2024-02-09T00:00:00"/>
    <s v="N/A"/>
    <n v="39"/>
    <s v="N/A"/>
    <x v="3"/>
    <x v="0"/>
  </r>
  <r>
    <n v="35"/>
    <n v="0"/>
    <n v="2"/>
    <n v="1"/>
    <n v="4"/>
    <n v="43.473495079183103"/>
    <n v="71"/>
    <n v="5"/>
    <n v="30"/>
    <x v="2"/>
    <x v="1"/>
    <d v="2024-01-01T00:00:00"/>
    <d v="2024-01-30T00:00:00"/>
    <s v="N/A"/>
    <n v="29"/>
    <s v="N/A"/>
    <x v="2"/>
    <x v="1"/>
  </r>
  <r>
    <n v="23"/>
    <n v="0"/>
    <n v="3"/>
    <n v="15"/>
    <n v="3"/>
    <n v="28.060188288564898"/>
    <n v="48"/>
    <n v="51"/>
    <n v="25"/>
    <x v="1"/>
    <x v="1"/>
    <d v="2024-01-01T00:00:00"/>
    <d v="2024-01-22T00:00:00"/>
    <s v="N/A"/>
    <n v="21"/>
    <s v="N/A"/>
    <x v="1"/>
    <x v="1"/>
  </r>
  <r>
    <n v="49"/>
    <n v="0"/>
    <n v="4"/>
    <n v="8"/>
    <n v="2"/>
    <n v="41.192994312441101"/>
    <n v="46"/>
    <n v="78"/>
    <n v="80"/>
    <x v="2"/>
    <x v="0"/>
    <d v="2024-01-01T00:00:00"/>
    <d v="2024-01-26T00:00:00"/>
    <d v="2024-02-08T00:00:00"/>
    <n v="25"/>
    <n v="13"/>
    <x v="0"/>
    <x v="1"/>
  </r>
  <r>
    <n v="30"/>
    <n v="0"/>
    <n v="3"/>
    <n v="15"/>
    <n v="2"/>
    <n v="26.444262758712199"/>
    <n v="55"/>
    <n v="87"/>
    <n v="55"/>
    <x v="0"/>
    <x v="0"/>
    <d v="2024-01-01T00:00:00"/>
    <d v="2024-01-27T00:00:00"/>
    <d v="2024-02-12T00:00:00"/>
    <n v="26"/>
    <n v="16"/>
    <x v="0"/>
    <x v="1"/>
  </r>
  <r>
    <n v="49"/>
    <n v="0"/>
    <n v="3"/>
    <n v="14"/>
    <n v="2"/>
    <n v="4.1222137486961996"/>
    <n v="64"/>
    <n v="20"/>
    <n v="33"/>
    <x v="1"/>
    <x v="1"/>
    <d v="2024-01-01T00:00:00"/>
    <d v="2024-02-11T00:00:00"/>
    <s v="N/A"/>
    <n v="41"/>
    <s v="N/A"/>
    <x v="2"/>
    <x v="0"/>
  </r>
  <r>
    <n v="49"/>
    <n v="0"/>
    <n v="2"/>
    <n v="11"/>
    <n v="5"/>
    <n v="20.1973504452077"/>
    <n v="11"/>
    <n v="70"/>
    <n v="8"/>
    <x v="1"/>
    <x v="1"/>
    <d v="2024-01-01T00:00:00"/>
    <d v="2024-01-27T00:00:00"/>
    <s v="N/A"/>
    <n v="26"/>
    <s v="N/A"/>
    <x v="3"/>
    <x v="1"/>
  </r>
  <r>
    <n v="49"/>
    <n v="1"/>
    <n v="3"/>
    <n v="0"/>
    <n v="1"/>
    <n v="23.222047883574898"/>
    <n v="68"/>
    <n v="92"/>
    <n v="61"/>
    <x v="2"/>
    <x v="1"/>
    <d v="2024-01-01T00:00:00"/>
    <d v="2024-01-29T00:00:00"/>
    <s v="N/A"/>
    <n v="28"/>
    <s v="N/A"/>
    <x v="3"/>
    <x v="1"/>
  </r>
  <r>
    <n v="50"/>
    <n v="1"/>
    <n v="3"/>
    <n v="12"/>
    <n v="5"/>
    <n v="8.0808622493308597"/>
    <n v="87"/>
    <n v="95"/>
    <n v="12"/>
    <x v="0"/>
    <x v="0"/>
    <d v="2024-01-01T00:00:00"/>
    <d v="2024-01-15T00:00:00"/>
    <d v="2024-01-29T00:00:00"/>
    <n v="14"/>
    <n v="14"/>
    <x v="0"/>
    <x v="1"/>
  </r>
  <r>
    <n v="43"/>
    <n v="1"/>
    <n v="2"/>
    <n v="13"/>
    <n v="4"/>
    <n v="6.1248164594606402"/>
    <n v="5"/>
    <n v="31"/>
    <n v="68"/>
    <x v="2"/>
    <x v="1"/>
    <d v="2024-01-01T00:00:00"/>
    <d v="2024-02-04T00:00:00"/>
    <s v="N/A"/>
    <n v="34"/>
    <s v="N/A"/>
    <x v="2"/>
    <x v="0"/>
  </r>
  <r>
    <n v="42"/>
    <n v="1"/>
    <n v="2"/>
    <n v="8"/>
    <n v="1"/>
    <n v="27.773247482847701"/>
    <n v="88"/>
    <n v="52"/>
    <n v="40"/>
    <x v="1"/>
    <x v="1"/>
    <d v="2024-01-01T00:00:00"/>
    <d v="2024-02-08T00:00:00"/>
    <s v="N/A"/>
    <n v="38"/>
    <s v="N/A"/>
    <x v="1"/>
    <x v="0"/>
  </r>
  <r>
    <n v="28"/>
    <n v="0"/>
    <n v="3"/>
    <n v="8"/>
    <n v="4"/>
    <n v="5.2571818278041"/>
    <n v="64"/>
    <n v="58"/>
    <n v="76"/>
    <x v="2"/>
    <x v="0"/>
    <d v="2024-01-01T00:00:00"/>
    <d v="2024-02-06T00:00:00"/>
    <d v="2024-02-29T00:00:00"/>
    <n v="36"/>
    <n v="23"/>
    <x v="0"/>
    <x v="0"/>
  </r>
  <r>
    <n v="42"/>
    <n v="1"/>
    <n v="1"/>
    <n v="7"/>
    <n v="1"/>
    <n v="16.147258394504199"/>
    <n v="24"/>
    <n v="68"/>
    <n v="0"/>
    <x v="1"/>
    <x v="1"/>
    <d v="2024-01-01T00:00:00"/>
    <d v="2024-01-24T00:00:00"/>
    <s v="N/A"/>
    <n v="23"/>
    <s v="N/A"/>
    <x v="1"/>
    <x v="1"/>
  </r>
  <r>
    <n v="22"/>
    <n v="1"/>
    <n v="3"/>
    <n v="7"/>
    <n v="5"/>
    <n v="38.229848798153697"/>
    <n v="0"/>
    <n v="61"/>
    <n v="88"/>
    <x v="0"/>
    <x v="0"/>
    <d v="2024-01-01T00:00:00"/>
    <d v="2024-02-06T00:00:00"/>
    <d v="2024-02-19T00:00:00"/>
    <n v="36"/>
    <n v="13"/>
    <x v="0"/>
    <x v="0"/>
  </r>
  <r>
    <n v="38"/>
    <n v="0"/>
    <n v="1"/>
    <n v="10"/>
    <n v="2"/>
    <n v="49.221608978398997"/>
    <n v="31"/>
    <n v="3"/>
    <n v="46"/>
    <x v="2"/>
    <x v="1"/>
    <d v="2024-01-01T00:00:00"/>
    <d v="2024-01-21T00:00:00"/>
    <s v="N/A"/>
    <n v="20"/>
    <s v="N/A"/>
    <x v="2"/>
    <x v="1"/>
  </r>
  <r>
    <n v="50"/>
    <n v="0"/>
    <n v="2"/>
    <n v="13"/>
    <n v="3"/>
    <n v="36.893529027596401"/>
    <n v="2"/>
    <n v="85"/>
    <n v="3"/>
    <x v="2"/>
    <x v="1"/>
    <d v="2024-01-01T00:00:00"/>
    <d v="2024-02-14T00:00:00"/>
    <s v="N/A"/>
    <n v="44"/>
    <s v="N/A"/>
    <x v="3"/>
    <x v="0"/>
  </r>
  <r>
    <n v="27"/>
    <n v="1"/>
    <n v="3"/>
    <n v="11"/>
    <n v="2"/>
    <n v="50.6312774226435"/>
    <n v="48"/>
    <n v="17"/>
    <n v="99"/>
    <x v="1"/>
    <x v="1"/>
    <d v="2024-01-01T00:00:00"/>
    <d v="2024-01-21T00:00:00"/>
    <s v="N/A"/>
    <n v="20"/>
    <s v="N/A"/>
    <x v="2"/>
    <x v="1"/>
  </r>
  <r>
    <n v="24"/>
    <n v="1"/>
    <n v="2"/>
    <n v="0"/>
    <n v="5"/>
    <n v="35.916898563970101"/>
    <n v="18"/>
    <n v="98"/>
    <n v="62"/>
    <x v="0"/>
    <x v="0"/>
    <d v="2024-01-01T00:00:00"/>
    <d v="2024-01-24T00:00:00"/>
    <d v="2024-02-22T00:00:00"/>
    <n v="23"/>
    <n v="29"/>
    <x v="0"/>
    <x v="1"/>
  </r>
  <r>
    <n v="23"/>
    <n v="0"/>
    <n v="2"/>
    <n v="10"/>
    <n v="1"/>
    <n v="15.6897235327163"/>
    <n v="59"/>
    <n v="80"/>
    <n v="51"/>
    <x v="0"/>
    <x v="0"/>
    <d v="2024-01-01T00:00:00"/>
    <d v="2024-01-20T00:00:00"/>
    <d v="2024-02-03T00:00:00"/>
    <n v="19"/>
    <n v="14"/>
    <x v="0"/>
    <x v="1"/>
  </r>
  <r>
    <n v="43"/>
    <n v="1"/>
    <n v="2"/>
    <n v="7"/>
    <n v="2"/>
    <n v="34.602627025267999"/>
    <n v="28"/>
    <n v="55"/>
    <n v="9"/>
    <x v="1"/>
    <x v="1"/>
    <d v="2024-01-01T00:00:00"/>
    <d v="2024-02-03T00:00:00"/>
    <s v="N/A"/>
    <n v="33"/>
    <s v="N/A"/>
    <x v="1"/>
    <x v="0"/>
  </r>
  <r>
    <n v="50"/>
    <n v="0"/>
    <n v="3"/>
    <n v="9"/>
    <n v="5"/>
    <n v="36.107838259845103"/>
    <n v="49"/>
    <n v="23"/>
    <n v="27"/>
    <x v="0"/>
    <x v="0"/>
    <d v="2024-01-01T00:00:00"/>
    <d v="2024-01-16T00:00:00"/>
    <d v="2024-02-04T00:00:00"/>
    <n v="15"/>
    <n v="19"/>
    <x v="0"/>
    <x v="1"/>
  </r>
  <r>
    <n v="25"/>
    <n v="0"/>
    <n v="1"/>
    <n v="13"/>
    <n v="4"/>
    <n v="19.586349230823"/>
    <n v="1"/>
    <n v="65"/>
    <n v="5"/>
    <x v="1"/>
    <x v="1"/>
    <d v="2024-01-01T00:00:00"/>
    <d v="2024-02-09T00:00:00"/>
    <s v="N/A"/>
    <n v="39"/>
    <s v="N/A"/>
    <x v="1"/>
    <x v="0"/>
  </r>
  <r>
    <n v="21"/>
    <n v="0"/>
    <n v="4"/>
    <n v="2"/>
    <n v="3"/>
    <n v="1.8856925304694501"/>
    <n v="72"/>
    <n v="12"/>
    <n v="26"/>
    <x v="1"/>
    <x v="1"/>
    <d v="2024-01-01T00:00:00"/>
    <d v="2024-02-08T00:00:00"/>
    <s v="N/A"/>
    <n v="38"/>
    <s v="N/A"/>
    <x v="2"/>
    <x v="0"/>
  </r>
  <r>
    <n v="39"/>
    <n v="0"/>
    <n v="1"/>
    <n v="10"/>
    <n v="2"/>
    <n v="36.159989238774301"/>
    <n v="55"/>
    <n v="61"/>
    <n v="11"/>
    <x v="1"/>
    <x v="1"/>
    <d v="2024-01-01T00:00:00"/>
    <d v="2024-02-14T00:00:00"/>
    <s v="N/A"/>
    <n v="44"/>
    <s v="N/A"/>
    <x v="1"/>
    <x v="0"/>
  </r>
  <r>
    <n v="47"/>
    <n v="1"/>
    <n v="4"/>
    <n v="6"/>
    <n v="1"/>
    <n v="2.0850047637770799"/>
    <n v="16"/>
    <n v="53"/>
    <n v="61"/>
    <x v="0"/>
    <x v="0"/>
    <d v="2024-01-01T00:00:00"/>
    <d v="2024-02-09T00:00:00"/>
    <d v="2024-03-10T00:00:00"/>
    <n v="39"/>
    <n v="30"/>
    <x v="0"/>
    <x v="0"/>
  </r>
  <r>
    <n v="30"/>
    <n v="0"/>
    <n v="4"/>
    <n v="10"/>
    <n v="4"/>
    <n v="32.559403903003499"/>
    <n v="59"/>
    <n v="14"/>
    <n v="51"/>
    <x v="1"/>
    <x v="1"/>
    <d v="2024-01-01T00:00:00"/>
    <d v="2024-02-11T00:00:00"/>
    <s v="N/A"/>
    <n v="41"/>
    <s v="N/A"/>
    <x v="2"/>
    <x v="0"/>
  </r>
  <r>
    <n v="23"/>
    <n v="0"/>
    <n v="2"/>
    <n v="14"/>
    <n v="5"/>
    <n v="9.1808244371277503"/>
    <n v="35"/>
    <n v="68"/>
    <n v="47"/>
    <x v="1"/>
    <x v="1"/>
    <d v="2024-01-01T00:00:00"/>
    <d v="2024-01-19T00:00:00"/>
    <s v="N/A"/>
    <n v="18"/>
    <s v="N/A"/>
    <x v="1"/>
    <x v="1"/>
  </r>
  <r>
    <n v="34"/>
    <n v="1"/>
    <n v="2"/>
    <n v="0"/>
    <n v="3"/>
    <n v="29.280176387402101"/>
    <n v="60"/>
    <n v="2"/>
    <n v="66"/>
    <x v="1"/>
    <x v="1"/>
    <d v="2024-01-01T00:00:00"/>
    <d v="2024-01-24T00:00:00"/>
    <s v="N/A"/>
    <n v="23"/>
    <s v="N/A"/>
    <x v="2"/>
    <x v="1"/>
  </r>
  <r>
    <n v="25"/>
    <n v="0"/>
    <n v="2"/>
    <n v="0"/>
    <n v="1"/>
    <n v="26.195651269030002"/>
    <n v="16"/>
    <n v="36"/>
    <n v="45"/>
    <x v="1"/>
    <x v="1"/>
    <d v="2024-01-01T00:00:00"/>
    <d v="2024-01-18T00:00:00"/>
    <s v="N/A"/>
    <n v="17"/>
    <s v="N/A"/>
    <x v="2"/>
    <x v="1"/>
  </r>
  <r>
    <n v="41"/>
    <n v="1"/>
    <n v="2"/>
    <n v="15"/>
    <n v="5"/>
    <n v="1.6756821153091199"/>
    <n v="48"/>
    <n v="36"/>
    <n v="96"/>
    <x v="1"/>
    <x v="1"/>
    <d v="2024-01-01T00:00:00"/>
    <d v="2024-02-08T00:00:00"/>
    <s v="N/A"/>
    <n v="38"/>
    <s v="N/A"/>
    <x v="2"/>
    <x v="0"/>
  </r>
  <r>
    <n v="36"/>
    <n v="1"/>
    <n v="1"/>
    <n v="9"/>
    <n v="5"/>
    <n v="19.1432908497551"/>
    <n v="75"/>
    <n v="100"/>
    <n v="73"/>
    <x v="1"/>
    <x v="0"/>
    <d v="2024-01-01T00:00:00"/>
    <d v="2024-02-03T00:00:00"/>
    <d v="2024-02-26T00:00:00"/>
    <n v="33"/>
    <n v="23"/>
    <x v="0"/>
    <x v="0"/>
  </r>
  <r>
    <n v="49"/>
    <n v="1"/>
    <n v="1"/>
    <n v="12"/>
    <n v="2"/>
    <n v="31.054558369815101"/>
    <n v="59"/>
    <n v="2"/>
    <n v="94"/>
    <x v="2"/>
    <x v="1"/>
    <d v="2024-01-01T00:00:00"/>
    <d v="2024-01-16T00:00:00"/>
    <s v="N/A"/>
    <n v="15"/>
    <s v="N/A"/>
    <x v="2"/>
    <x v="1"/>
  </r>
  <r>
    <n v="43"/>
    <n v="0"/>
    <n v="1"/>
    <n v="4"/>
    <n v="2"/>
    <n v="43.430327594938902"/>
    <n v="19"/>
    <n v="62"/>
    <n v="14"/>
    <x v="1"/>
    <x v="1"/>
    <d v="2024-01-01T00:00:00"/>
    <d v="2024-01-15T00:00:00"/>
    <s v="N/A"/>
    <n v="14"/>
    <s v="N/A"/>
    <x v="1"/>
    <x v="1"/>
  </r>
  <r>
    <n v="25"/>
    <n v="1"/>
    <n v="2"/>
    <n v="4"/>
    <n v="1"/>
    <n v="45.432105691825797"/>
    <n v="49"/>
    <n v="34"/>
    <n v="70"/>
    <x v="2"/>
    <x v="1"/>
    <d v="2024-01-01T00:00:00"/>
    <d v="2024-01-27T00:00:00"/>
    <s v="N/A"/>
    <n v="26"/>
    <s v="N/A"/>
    <x v="2"/>
    <x v="1"/>
  </r>
  <r>
    <n v="38"/>
    <n v="1"/>
    <n v="2"/>
    <n v="7"/>
    <n v="5"/>
    <n v="25.192498501661099"/>
    <n v="2"/>
    <n v="51"/>
    <n v="35"/>
    <x v="1"/>
    <x v="1"/>
    <d v="2024-01-01T00:00:00"/>
    <d v="2024-02-10T00:00:00"/>
    <s v="N/A"/>
    <n v="40"/>
    <s v="N/A"/>
    <x v="1"/>
    <x v="0"/>
  </r>
  <r>
    <n v="49"/>
    <n v="0"/>
    <n v="2"/>
    <n v="6"/>
    <n v="2"/>
    <n v="37.421124364971902"/>
    <n v="42"/>
    <n v="86"/>
    <n v="13"/>
    <x v="1"/>
    <x v="1"/>
    <d v="2024-01-01T00:00:00"/>
    <d v="2024-01-16T00:00:00"/>
    <s v="N/A"/>
    <n v="15"/>
    <s v="N/A"/>
    <x v="3"/>
    <x v="1"/>
  </r>
  <r>
    <n v="44"/>
    <n v="1"/>
    <n v="4"/>
    <n v="7"/>
    <n v="3"/>
    <n v="16.822728826672801"/>
    <n v="56"/>
    <n v="27"/>
    <n v="77"/>
    <x v="0"/>
    <x v="0"/>
    <d v="2024-01-01T00:00:00"/>
    <d v="2024-01-18T00:00:00"/>
    <d v="2024-02-07T00:00:00"/>
    <n v="17"/>
    <n v="20"/>
    <x v="0"/>
    <x v="1"/>
  </r>
  <r>
    <n v="21"/>
    <n v="1"/>
    <n v="2"/>
    <n v="5"/>
    <n v="3"/>
    <n v="18.1093202879328"/>
    <n v="49"/>
    <n v="93"/>
    <n v="2"/>
    <x v="1"/>
    <x v="1"/>
    <d v="2024-01-01T00:00:00"/>
    <d v="2024-01-20T00:00:00"/>
    <s v="N/A"/>
    <n v="19"/>
    <s v="N/A"/>
    <x v="3"/>
    <x v="1"/>
  </r>
  <r>
    <n v="34"/>
    <n v="1"/>
    <n v="2"/>
    <n v="5"/>
    <n v="5"/>
    <n v="10.723175959115601"/>
    <n v="67"/>
    <n v="17"/>
    <n v="66"/>
    <x v="1"/>
    <x v="1"/>
    <d v="2024-01-01T00:00:00"/>
    <d v="2024-02-02T00:00:00"/>
    <s v="N/A"/>
    <n v="32"/>
    <s v="N/A"/>
    <x v="2"/>
    <x v="0"/>
  </r>
  <r>
    <n v="30"/>
    <n v="1"/>
    <n v="2"/>
    <n v="1"/>
    <n v="2"/>
    <n v="29.0974054996619"/>
    <n v="80"/>
    <n v="35"/>
    <n v="85"/>
    <x v="0"/>
    <x v="0"/>
    <d v="2024-01-01T00:00:00"/>
    <d v="2024-01-18T00:00:00"/>
    <d v="2024-02-04T00:00:00"/>
    <n v="17"/>
    <n v="17"/>
    <x v="0"/>
    <x v="1"/>
  </r>
  <r>
    <n v="27"/>
    <n v="1"/>
    <n v="3"/>
    <n v="5"/>
    <n v="1"/>
    <n v="16.7282075463682"/>
    <n v="49"/>
    <n v="32"/>
    <n v="18"/>
    <x v="1"/>
    <x v="1"/>
    <d v="2024-01-01T00:00:00"/>
    <d v="2024-01-29T00:00:00"/>
    <s v="N/A"/>
    <n v="28"/>
    <s v="N/A"/>
    <x v="2"/>
    <x v="1"/>
  </r>
  <r>
    <n v="45"/>
    <n v="0"/>
    <n v="4"/>
    <n v="4"/>
    <n v="1"/>
    <n v="5.2185448219252502"/>
    <n v="36"/>
    <n v="63"/>
    <n v="98"/>
    <x v="0"/>
    <x v="0"/>
    <d v="2024-01-01T00:00:00"/>
    <d v="2024-02-03T00:00:00"/>
    <d v="2024-02-27T00:00:00"/>
    <n v="33"/>
    <n v="24"/>
    <x v="0"/>
    <x v="0"/>
  </r>
  <r>
    <n v="38"/>
    <n v="1"/>
    <n v="3"/>
    <n v="12"/>
    <n v="1"/>
    <n v="35.250304333158901"/>
    <n v="45"/>
    <n v="25"/>
    <n v="75"/>
    <x v="1"/>
    <x v="1"/>
    <d v="2024-01-01T00:00:00"/>
    <d v="2024-01-28T00:00:00"/>
    <s v="N/A"/>
    <n v="27"/>
    <s v="N/A"/>
    <x v="2"/>
    <x v="1"/>
  </r>
  <r>
    <n v="32"/>
    <n v="1"/>
    <n v="4"/>
    <n v="15"/>
    <n v="3"/>
    <n v="36.387660380269899"/>
    <n v="41"/>
    <n v="47"/>
    <n v="53"/>
    <x v="1"/>
    <x v="1"/>
    <d v="2024-01-01T00:00:00"/>
    <d v="2024-01-17T00:00:00"/>
    <s v="N/A"/>
    <n v="16"/>
    <s v="N/A"/>
    <x v="2"/>
    <x v="1"/>
  </r>
  <r>
    <n v="31"/>
    <n v="0"/>
    <n v="1"/>
    <n v="2"/>
    <n v="2"/>
    <n v="18.999620938952798"/>
    <n v="14"/>
    <n v="39"/>
    <n v="68"/>
    <x v="1"/>
    <x v="1"/>
    <d v="2024-01-01T00:00:00"/>
    <d v="2024-02-05T00:00:00"/>
    <s v="N/A"/>
    <n v="35"/>
    <s v="N/A"/>
    <x v="2"/>
    <x v="0"/>
  </r>
  <r>
    <n v="24"/>
    <n v="0"/>
    <n v="3"/>
    <n v="5"/>
    <n v="2"/>
    <n v="4.83616997280114"/>
    <n v="32"/>
    <n v="16"/>
    <n v="9"/>
    <x v="2"/>
    <x v="1"/>
    <d v="2024-01-01T00:00:00"/>
    <d v="2024-01-20T00:00:00"/>
    <s v="N/A"/>
    <n v="19"/>
    <s v="N/A"/>
    <x v="2"/>
    <x v="1"/>
  </r>
  <r>
    <n v="25"/>
    <n v="0"/>
    <n v="3"/>
    <n v="7"/>
    <n v="3"/>
    <n v="22.314885870171199"/>
    <n v="79"/>
    <n v="39"/>
    <n v="32"/>
    <x v="1"/>
    <x v="1"/>
    <d v="2024-01-01T00:00:00"/>
    <d v="2024-01-26T00:00:00"/>
    <s v="N/A"/>
    <n v="25"/>
    <s v="N/A"/>
    <x v="2"/>
    <x v="1"/>
  </r>
  <r>
    <n v="45"/>
    <n v="1"/>
    <n v="2"/>
    <n v="8"/>
    <n v="1"/>
    <n v="23.1167729025107"/>
    <n v="10"/>
    <n v="6"/>
    <n v="12"/>
    <x v="1"/>
    <x v="1"/>
    <d v="2024-01-01T00:00:00"/>
    <d v="2024-02-01T00:00:00"/>
    <s v="N/A"/>
    <n v="31"/>
    <s v="N/A"/>
    <x v="2"/>
    <x v="0"/>
  </r>
  <r>
    <n v="41"/>
    <n v="0"/>
    <n v="4"/>
    <n v="0"/>
    <n v="1"/>
    <n v="34.433544244894598"/>
    <n v="19"/>
    <n v="56"/>
    <n v="98"/>
    <x v="1"/>
    <x v="1"/>
    <d v="2024-01-01T00:00:00"/>
    <d v="2024-01-20T00:00:00"/>
    <s v="N/A"/>
    <n v="19"/>
    <s v="N/A"/>
    <x v="1"/>
    <x v="1"/>
  </r>
  <r>
    <n v="23"/>
    <n v="1"/>
    <n v="1"/>
    <n v="2"/>
    <n v="5"/>
    <n v="16.770819562934101"/>
    <n v="23"/>
    <n v="7"/>
    <n v="50"/>
    <x v="2"/>
    <x v="1"/>
    <d v="2024-01-01T00:00:00"/>
    <d v="2024-01-26T00:00:00"/>
    <s v="N/A"/>
    <n v="25"/>
    <s v="N/A"/>
    <x v="2"/>
    <x v="1"/>
  </r>
  <r>
    <n v="38"/>
    <n v="1"/>
    <n v="2"/>
    <n v="2"/>
    <n v="4"/>
    <n v="35.129963989065203"/>
    <n v="63"/>
    <n v="55"/>
    <n v="31"/>
    <x v="1"/>
    <x v="1"/>
    <d v="2024-01-01T00:00:00"/>
    <d v="2024-02-08T00:00:00"/>
    <s v="N/A"/>
    <n v="38"/>
    <s v="N/A"/>
    <x v="1"/>
    <x v="0"/>
  </r>
  <r>
    <n v="39"/>
    <n v="0"/>
    <n v="2"/>
    <n v="10"/>
    <n v="2"/>
    <n v="44.574427087869402"/>
    <n v="79"/>
    <n v="30"/>
    <n v="74"/>
    <x v="1"/>
    <x v="1"/>
    <d v="2024-01-01T00:00:00"/>
    <d v="2024-02-05T00:00:00"/>
    <s v="N/A"/>
    <n v="35"/>
    <s v="N/A"/>
    <x v="2"/>
    <x v="0"/>
  </r>
  <r>
    <n v="20"/>
    <n v="0"/>
    <n v="2"/>
    <n v="7"/>
    <n v="2"/>
    <n v="12.874302118109901"/>
    <n v="93"/>
    <n v="58"/>
    <n v="23"/>
    <x v="0"/>
    <x v="0"/>
    <d v="2024-01-01T00:00:00"/>
    <d v="2024-01-31T00:00:00"/>
    <d v="2024-02-09T00:00:00"/>
    <n v="30"/>
    <n v="9"/>
    <x v="0"/>
    <x v="1"/>
  </r>
  <r>
    <n v="39"/>
    <n v="1"/>
    <n v="3"/>
    <n v="0"/>
    <n v="2"/>
    <n v="49.9459778059949"/>
    <n v="97"/>
    <n v="57"/>
    <n v="34"/>
    <x v="1"/>
    <x v="1"/>
    <d v="2024-01-01T00:00:00"/>
    <d v="2024-02-05T00:00:00"/>
    <s v="N/A"/>
    <n v="35"/>
    <s v="N/A"/>
    <x v="1"/>
    <x v="0"/>
  </r>
  <r>
    <n v="36"/>
    <n v="0"/>
    <n v="2"/>
    <n v="4"/>
    <n v="4"/>
    <n v="20.318406856840301"/>
    <n v="64"/>
    <n v="11"/>
    <n v="82"/>
    <x v="0"/>
    <x v="1"/>
    <d v="2024-01-01T00:00:00"/>
    <d v="2024-01-19T00:00:00"/>
    <s v="N/A"/>
    <n v="18"/>
    <s v="N/A"/>
    <x v="2"/>
    <x v="1"/>
  </r>
  <r>
    <n v="31"/>
    <n v="1"/>
    <n v="2"/>
    <n v="2"/>
    <n v="5"/>
    <n v="14.362934257353"/>
    <n v="87"/>
    <n v="47"/>
    <n v="69"/>
    <x v="1"/>
    <x v="1"/>
    <d v="2024-01-01T00:00:00"/>
    <d v="2024-02-09T00:00:00"/>
    <s v="N/A"/>
    <n v="39"/>
    <s v="N/A"/>
    <x v="2"/>
    <x v="0"/>
  </r>
  <r>
    <n v="34"/>
    <n v="0"/>
    <n v="2"/>
    <n v="1"/>
    <n v="4"/>
    <n v="22.075559125514499"/>
    <n v="87"/>
    <n v="30"/>
    <n v="39"/>
    <x v="2"/>
    <x v="1"/>
    <d v="2024-01-01T00:00:00"/>
    <d v="2024-02-15T00:00:00"/>
    <s v="N/A"/>
    <n v="45"/>
    <s v="N/A"/>
    <x v="2"/>
    <x v="0"/>
  </r>
  <r>
    <n v="20"/>
    <n v="0"/>
    <n v="3"/>
    <n v="14"/>
    <n v="1"/>
    <n v="5.7198737951929504"/>
    <n v="72"/>
    <n v="82"/>
    <n v="53"/>
    <x v="1"/>
    <x v="0"/>
    <d v="2024-01-01T00:00:00"/>
    <d v="2024-02-04T00:00:00"/>
    <d v="2024-02-17T00:00:00"/>
    <n v="34"/>
    <n v="13"/>
    <x v="0"/>
    <x v="0"/>
  </r>
  <r>
    <n v="45"/>
    <n v="0"/>
    <n v="1"/>
    <n v="7"/>
    <n v="1"/>
    <n v="7.2852953256057802"/>
    <n v="85"/>
    <n v="62"/>
    <n v="43"/>
    <x v="1"/>
    <x v="1"/>
    <d v="2024-01-01T00:00:00"/>
    <d v="2024-01-21T00:00:00"/>
    <s v="N/A"/>
    <n v="20"/>
    <s v="N/A"/>
    <x v="1"/>
    <x v="1"/>
  </r>
  <r>
    <n v="33"/>
    <n v="1"/>
    <n v="2"/>
    <n v="2"/>
    <n v="2"/>
    <n v="21.7217023484165"/>
    <n v="75"/>
    <n v="73"/>
    <n v="61"/>
    <x v="1"/>
    <x v="1"/>
    <d v="2024-01-01T00:00:00"/>
    <d v="2024-01-23T00:00:00"/>
    <s v="N/A"/>
    <n v="22"/>
    <s v="N/A"/>
    <x v="3"/>
    <x v="1"/>
  </r>
  <r>
    <n v="25"/>
    <n v="0"/>
    <n v="4"/>
    <n v="6"/>
    <n v="3"/>
    <n v="39.122226096955004"/>
    <n v="16"/>
    <n v="38"/>
    <n v="98"/>
    <x v="1"/>
    <x v="1"/>
    <d v="2024-01-01T00:00:00"/>
    <d v="2024-02-14T00:00:00"/>
    <s v="N/A"/>
    <n v="44"/>
    <s v="N/A"/>
    <x v="2"/>
    <x v="0"/>
  </r>
  <r>
    <n v="24"/>
    <n v="1"/>
    <n v="3"/>
    <n v="11"/>
    <n v="2"/>
    <n v="46.0156119787245"/>
    <n v="88"/>
    <n v="75"/>
    <n v="67"/>
    <x v="1"/>
    <x v="0"/>
    <d v="2024-01-01T00:00:00"/>
    <d v="2024-02-02T00:00:00"/>
    <d v="2024-03-03T00:00:00"/>
    <n v="32"/>
    <n v="30"/>
    <x v="0"/>
    <x v="0"/>
  </r>
  <r>
    <n v="49"/>
    <n v="1"/>
    <n v="2"/>
    <n v="10"/>
    <n v="3"/>
    <n v="34.240899535813497"/>
    <n v="91"/>
    <n v="19"/>
    <n v="32"/>
    <x v="1"/>
    <x v="1"/>
    <d v="2024-01-01T00:00:00"/>
    <d v="2024-02-10T00:00:00"/>
    <s v="N/A"/>
    <n v="40"/>
    <s v="N/A"/>
    <x v="2"/>
    <x v="0"/>
  </r>
  <r>
    <n v="30"/>
    <n v="1"/>
    <n v="3"/>
    <n v="0"/>
    <n v="4"/>
    <n v="6.2609777619084799"/>
    <n v="60"/>
    <n v="100"/>
    <n v="76"/>
    <x v="0"/>
    <x v="0"/>
    <d v="2024-01-01T00:00:00"/>
    <d v="2024-01-20T00:00:00"/>
    <d v="2024-02-17T00:00:00"/>
    <n v="19"/>
    <n v="28"/>
    <x v="0"/>
    <x v="1"/>
  </r>
  <r>
    <n v="50"/>
    <n v="1"/>
    <n v="3"/>
    <n v="5"/>
    <n v="1"/>
    <n v="34.600988109026702"/>
    <n v="14"/>
    <n v="47"/>
    <n v="55"/>
    <x v="0"/>
    <x v="1"/>
    <d v="2024-01-01T00:00:00"/>
    <d v="2024-02-04T00:00:00"/>
    <s v="N/A"/>
    <n v="34"/>
    <s v="N/A"/>
    <x v="2"/>
    <x v="0"/>
  </r>
  <r>
    <n v="23"/>
    <n v="0"/>
    <n v="3"/>
    <n v="2"/>
    <n v="3"/>
    <n v="32.771396035148598"/>
    <n v="93"/>
    <n v="70"/>
    <n v="35"/>
    <x v="1"/>
    <x v="1"/>
    <d v="2024-01-01T00:00:00"/>
    <d v="2024-02-02T00:00:00"/>
    <s v="N/A"/>
    <n v="32"/>
    <s v="N/A"/>
    <x v="3"/>
    <x v="0"/>
  </r>
  <r>
    <n v="32"/>
    <n v="1"/>
    <n v="2"/>
    <n v="7"/>
    <n v="4"/>
    <n v="41.288195914666503"/>
    <n v="50"/>
    <n v="53"/>
    <n v="53"/>
    <x v="1"/>
    <x v="1"/>
    <d v="2024-01-01T00:00:00"/>
    <d v="2024-02-15T00:00:00"/>
    <s v="N/A"/>
    <n v="45"/>
    <s v="N/A"/>
    <x v="1"/>
    <x v="0"/>
  </r>
  <r>
    <n v="30"/>
    <n v="1"/>
    <n v="2"/>
    <n v="5"/>
    <n v="1"/>
    <n v="42.262433332609"/>
    <n v="26"/>
    <n v="77"/>
    <n v="18"/>
    <x v="0"/>
    <x v="1"/>
    <d v="2024-01-01T00:00:00"/>
    <d v="2024-01-29T00:00:00"/>
    <s v="N/A"/>
    <n v="28"/>
    <s v="N/A"/>
    <x v="3"/>
    <x v="1"/>
  </r>
  <r>
    <n v="22"/>
    <n v="0"/>
    <n v="2"/>
    <n v="11"/>
    <n v="3"/>
    <n v="44.410153788948897"/>
    <n v="85"/>
    <n v="74"/>
    <n v="42"/>
    <x v="1"/>
    <x v="1"/>
    <d v="2024-01-01T00:00:00"/>
    <d v="2024-02-03T00:00:00"/>
    <s v="N/A"/>
    <n v="33"/>
    <s v="N/A"/>
    <x v="3"/>
    <x v="0"/>
  </r>
  <r>
    <n v="20"/>
    <n v="1"/>
    <n v="2"/>
    <n v="1"/>
    <n v="2"/>
    <n v="21.706575728954899"/>
    <n v="73"/>
    <n v="70"/>
    <n v="11"/>
    <x v="0"/>
    <x v="0"/>
    <d v="2024-01-01T00:00:00"/>
    <d v="2024-02-05T00:00:00"/>
    <d v="2024-03-01T00:00:00"/>
    <n v="35"/>
    <n v="25"/>
    <x v="0"/>
    <x v="0"/>
  </r>
  <r>
    <n v="25"/>
    <n v="0"/>
    <n v="2"/>
    <n v="5"/>
    <n v="2"/>
    <n v="35.893219767607199"/>
    <n v="60"/>
    <n v="28"/>
    <n v="10"/>
    <x v="0"/>
    <x v="1"/>
    <d v="2024-01-01T00:00:00"/>
    <d v="2024-01-29T00:00:00"/>
    <s v="N/A"/>
    <n v="28"/>
    <s v="N/A"/>
    <x v="2"/>
    <x v="1"/>
  </r>
  <r>
    <n v="37"/>
    <n v="1"/>
    <n v="1"/>
    <n v="6"/>
    <n v="2"/>
    <n v="14.4125179461155"/>
    <n v="57"/>
    <n v="73"/>
    <n v="69"/>
    <x v="1"/>
    <x v="1"/>
    <d v="2024-01-01T00:00:00"/>
    <d v="2024-02-05T00:00:00"/>
    <s v="N/A"/>
    <n v="35"/>
    <s v="N/A"/>
    <x v="3"/>
    <x v="0"/>
  </r>
  <r>
    <n v="43"/>
    <n v="0"/>
    <n v="2"/>
    <n v="4"/>
    <n v="4"/>
    <n v="50.966813999175201"/>
    <n v="30"/>
    <n v="92"/>
    <n v="11"/>
    <x v="1"/>
    <x v="1"/>
    <d v="2024-01-01T00:00:00"/>
    <d v="2024-02-04T00:00:00"/>
    <s v="N/A"/>
    <n v="34"/>
    <s v="N/A"/>
    <x v="3"/>
    <x v="0"/>
  </r>
  <r>
    <n v="29"/>
    <n v="1"/>
    <n v="2"/>
    <n v="2"/>
    <n v="2"/>
    <n v="9.76671206884299"/>
    <n v="90"/>
    <n v="72"/>
    <n v="90"/>
    <x v="1"/>
    <x v="1"/>
    <d v="2024-01-01T00:00:00"/>
    <d v="2024-01-20T00:00:00"/>
    <s v="N/A"/>
    <n v="19"/>
    <s v="N/A"/>
    <x v="3"/>
    <x v="1"/>
  </r>
  <r>
    <n v="24"/>
    <n v="0"/>
    <n v="2"/>
    <n v="3"/>
    <n v="5"/>
    <n v="1.50572158304179"/>
    <n v="11"/>
    <n v="99"/>
    <n v="40"/>
    <x v="1"/>
    <x v="1"/>
    <d v="2024-01-01T00:00:00"/>
    <d v="2024-02-02T00:00:00"/>
    <s v="N/A"/>
    <n v="32"/>
    <s v="N/A"/>
    <x v="3"/>
    <x v="0"/>
  </r>
  <r>
    <n v="42"/>
    <n v="1"/>
    <n v="3"/>
    <n v="3"/>
    <n v="1"/>
    <n v="8.4404357259088005"/>
    <n v="45"/>
    <n v="47"/>
    <n v="24"/>
    <x v="2"/>
    <x v="1"/>
    <d v="2024-01-01T00:00:00"/>
    <d v="2024-02-15T00:00:00"/>
    <s v="N/A"/>
    <n v="45"/>
    <s v="N/A"/>
    <x v="2"/>
    <x v="0"/>
  </r>
  <r>
    <n v="29"/>
    <n v="1"/>
    <n v="2"/>
    <n v="5"/>
    <n v="4"/>
    <n v="39.793614477206297"/>
    <n v="30"/>
    <n v="73"/>
    <n v="2"/>
    <x v="1"/>
    <x v="1"/>
    <d v="2024-01-01T00:00:00"/>
    <d v="2024-02-03T00:00:00"/>
    <s v="N/A"/>
    <n v="33"/>
    <s v="N/A"/>
    <x v="3"/>
    <x v="0"/>
  </r>
  <r>
    <n v="31"/>
    <n v="0"/>
    <n v="1"/>
    <n v="9"/>
    <n v="2"/>
    <n v="23.339183825410501"/>
    <n v="31"/>
    <n v="82"/>
    <n v="2"/>
    <x v="0"/>
    <x v="0"/>
    <d v="2024-01-01T00:00:00"/>
    <d v="2024-01-15T00:00:00"/>
    <d v="2024-02-14T00:00:00"/>
    <n v="14"/>
    <n v="30"/>
    <x v="0"/>
    <x v="1"/>
  </r>
  <r>
    <n v="21"/>
    <n v="0"/>
    <n v="3"/>
    <n v="0"/>
    <n v="1"/>
    <n v="23.375012390521398"/>
    <n v="31"/>
    <n v="55"/>
    <n v="83"/>
    <x v="1"/>
    <x v="1"/>
    <d v="2024-01-01T00:00:00"/>
    <d v="2024-01-27T00:00:00"/>
    <s v="N/A"/>
    <n v="26"/>
    <s v="N/A"/>
    <x v="1"/>
    <x v="1"/>
  </r>
  <r>
    <n v="32"/>
    <n v="0"/>
    <n v="1"/>
    <n v="10"/>
    <n v="3"/>
    <n v="48.751145980583402"/>
    <n v="98"/>
    <n v="94"/>
    <n v="27"/>
    <x v="0"/>
    <x v="0"/>
    <d v="2024-01-01T00:00:00"/>
    <d v="2024-01-24T00:00:00"/>
    <d v="2024-02-18T00:00:00"/>
    <n v="23"/>
    <n v="25"/>
    <x v="0"/>
    <x v="1"/>
  </r>
  <r>
    <n v="27"/>
    <n v="0"/>
    <n v="3"/>
    <n v="3"/>
    <n v="2"/>
    <n v="46.9817454014037"/>
    <n v="52"/>
    <n v="16"/>
    <n v="22"/>
    <x v="2"/>
    <x v="1"/>
    <d v="2024-01-01T00:00:00"/>
    <d v="2024-01-27T00:00:00"/>
    <s v="N/A"/>
    <n v="26"/>
    <s v="N/A"/>
    <x v="2"/>
    <x v="1"/>
  </r>
  <r>
    <n v="21"/>
    <n v="1"/>
    <n v="3"/>
    <n v="9"/>
    <n v="1"/>
    <n v="16.559736890200401"/>
    <n v="60"/>
    <n v="8"/>
    <n v="47"/>
    <x v="0"/>
    <x v="0"/>
    <d v="2024-01-01T00:00:00"/>
    <d v="2024-02-10T00:00:00"/>
    <d v="2024-02-22T00:00:00"/>
    <n v="40"/>
    <n v="12"/>
    <x v="0"/>
    <x v="0"/>
  </r>
  <r>
    <n v="39"/>
    <n v="1"/>
    <n v="2"/>
    <n v="12"/>
    <n v="5"/>
    <n v="11.4529064390433"/>
    <n v="45"/>
    <n v="96"/>
    <n v="66"/>
    <x v="1"/>
    <x v="1"/>
    <d v="2024-01-01T00:00:00"/>
    <d v="2024-01-23T00:00:00"/>
    <s v="N/A"/>
    <n v="22"/>
    <s v="N/A"/>
    <x v="3"/>
    <x v="1"/>
  </r>
  <r>
    <n v="20"/>
    <n v="0"/>
    <n v="3"/>
    <n v="3"/>
    <n v="3"/>
    <n v="43.4241104966869"/>
    <n v="84"/>
    <n v="33"/>
    <n v="41"/>
    <x v="0"/>
    <x v="0"/>
    <d v="2024-01-01T00:00:00"/>
    <d v="2024-02-07T00:00:00"/>
    <d v="2024-02-17T00:00:00"/>
    <n v="37"/>
    <n v="10"/>
    <x v="0"/>
    <x v="0"/>
  </r>
  <r>
    <n v="50"/>
    <n v="1"/>
    <n v="2"/>
    <n v="9"/>
    <n v="5"/>
    <n v="46.300953552218097"/>
    <n v="73"/>
    <n v="44"/>
    <n v="87"/>
    <x v="2"/>
    <x v="1"/>
    <d v="2024-01-01T00:00:00"/>
    <d v="2024-02-06T00:00:00"/>
    <s v="N/A"/>
    <n v="36"/>
    <s v="N/A"/>
    <x v="2"/>
    <x v="0"/>
  </r>
  <r>
    <n v="24"/>
    <n v="0"/>
    <n v="2"/>
    <n v="15"/>
    <n v="1"/>
    <n v="28.0798461399243"/>
    <n v="79"/>
    <n v="87"/>
    <n v="39"/>
    <x v="1"/>
    <x v="1"/>
    <d v="2024-01-01T00:00:00"/>
    <d v="2024-02-01T00:00:00"/>
    <s v="N/A"/>
    <n v="31"/>
    <s v="N/A"/>
    <x v="3"/>
    <x v="0"/>
  </r>
  <r>
    <n v="28"/>
    <n v="0"/>
    <n v="1"/>
    <n v="0"/>
    <n v="5"/>
    <n v="32.471185555855001"/>
    <n v="6"/>
    <n v="8"/>
    <n v="5"/>
    <x v="2"/>
    <x v="1"/>
    <d v="2024-01-01T00:00:00"/>
    <d v="2024-02-04T00:00:00"/>
    <s v="N/A"/>
    <n v="34"/>
    <s v="N/A"/>
    <x v="2"/>
    <x v="0"/>
  </r>
  <r>
    <n v="36"/>
    <n v="1"/>
    <n v="2"/>
    <n v="8"/>
    <n v="1"/>
    <n v="13.845714234614601"/>
    <n v="3"/>
    <n v="6"/>
    <n v="19"/>
    <x v="0"/>
    <x v="1"/>
    <d v="2024-01-01T00:00:00"/>
    <d v="2024-01-15T00:00:00"/>
    <s v="N/A"/>
    <n v="14"/>
    <s v="N/A"/>
    <x v="2"/>
    <x v="1"/>
  </r>
  <r>
    <n v="28"/>
    <n v="1"/>
    <n v="4"/>
    <n v="3"/>
    <n v="1"/>
    <n v="41.040134398926199"/>
    <n v="90"/>
    <n v="15"/>
    <n v="10"/>
    <x v="0"/>
    <x v="0"/>
    <d v="2024-01-01T00:00:00"/>
    <d v="2024-02-08T00:00:00"/>
    <d v="2024-02-22T00:00:00"/>
    <n v="38"/>
    <n v="14"/>
    <x v="0"/>
    <x v="0"/>
  </r>
  <r>
    <n v="30"/>
    <n v="1"/>
    <n v="2"/>
    <n v="6"/>
    <n v="5"/>
    <n v="32.606121422451103"/>
    <n v="51"/>
    <n v="18"/>
    <n v="95"/>
    <x v="0"/>
    <x v="0"/>
    <d v="2024-01-01T00:00:00"/>
    <d v="2024-02-05T00:00:00"/>
    <d v="2024-02-24T00:00:00"/>
    <n v="35"/>
    <n v="19"/>
    <x v="0"/>
    <x v="0"/>
  </r>
  <r>
    <n v="34"/>
    <n v="1"/>
    <n v="2"/>
    <n v="11"/>
    <n v="1"/>
    <n v="26.175675564899802"/>
    <n v="88"/>
    <n v="5"/>
    <n v="26"/>
    <x v="2"/>
    <x v="1"/>
    <d v="2024-01-01T00:00:00"/>
    <d v="2024-01-21T00:00:00"/>
    <s v="N/A"/>
    <n v="20"/>
    <s v="N/A"/>
    <x v="2"/>
    <x v="1"/>
  </r>
  <r>
    <n v="43"/>
    <n v="1"/>
    <n v="2"/>
    <n v="13"/>
    <n v="2"/>
    <n v="4.0054278039197904"/>
    <n v="30"/>
    <n v="10"/>
    <n v="20"/>
    <x v="2"/>
    <x v="1"/>
    <d v="2024-01-01T00:00:00"/>
    <d v="2024-01-22T00:00:00"/>
    <s v="N/A"/>
    <n v="21"/>
    <s v="N/A"/>
    <x v="2"/>
    <x v="1"/>
  </r>
  <r>
    <n v="25"/>
    <n v="1"/>
    <n v="2"/>
    <n v="2"/>
    <n v="1"/>
    <n v="46.796748125557599"/>
    <n v="74"/>
    <n v="75"/>
    <n v="12"/>
    <x v="0"/>
    <x v="0"/>
    <d v="2024-01-01T00:00:00"/>
    <d v="2024-02-14T00:00:00"/>
    <d v="2024-03-06T00:00:00"/>
    <n v="44"/>
    <n v="21"/>
    <x v="0"/>
    <x v="0"/>
  </r>
  <r>
    <n v="42"/>
    <n v="1"/>
    <n v="1"/>
    <n v="9"/>
    <n v="4"/>
    <n v="31.772571019220301"/>
    <n v="83"/>
    <n v="60"/>
    <n v="85"/>
    <x v="0"/>
    <x v="0"/>
    <d v="2024-01-01T00:00:00"/>
    <d v="2024-01-21T00:00:00"/>
    <d v="2024-02-15T00:00:00"/>
    <n v="20"/>
    <n v="25"/>
    <x v="0"/>
    <x v="1"/>
  </r>
  <r>
    <n v="22"/>
    <n v="0"/>
    <n v="2"/>
    <n v="11"/>
    <n v="1"/>
    <n v="10.634554734648299"/>
    <n v="35"/>
    <n v="41"/>
    <n v="34"/>
    <x v="1"/>
    <x v="1"/>
    <d v="2024-01-01T00:00:00"/>
    <d v="2024-02-10T00:00:00"/>
    <s v="N/A"/>
    <n v="40"/>
    <s v="N/A"/>
    <x v="2"/>
    <x v="0"/>
  </r>
  <r>
    <n v="49"/>
    <n v="0"/>
    <n v="3"/>
    <n v="2"/>
    <n v="4"/>
    <n v="31.319305849152599"/>
    <n v="53"/>
    <n v="12"/>
    <n v="46"/>
    <x v="0"/>
    <x v="1"/>
    <d v="2024-01-01T00:00:00"/>
    <d v="2024-01-24T00:00:00"/>
    <s v="N/A"/>
    <n v="23"/>
    <s v="N/A"/>
    <x v="2"/>
    <x v="1"/>
  </r>
  <r>
    <n v="50"/>
    <n v="0"/>
    <n v="2"/>
    <n v="13"/>
    <n v="1"/>
    <n v="34.873167711998597"/>
    <n v="53"/>
    <n v="11"/>
    <n v="85"/>
    <x v="0"/>
    <x v="0"/>
    <d v="2024-01-01T00:00:00"/>
    <d v="2024-02-05T00:00:00"/>
    <d v="2024-02-25T00:00:00"/>
    <n v="35"/>
    <n v="20"/>
    <x v="0"/>
    <x v="0"/>
  </r>
  <r>
    <n v="36"/>
    <n v="0"/>
    <n v="2"/>
    <n v="7"/>
    <n v="1"/>
    <n v="27.2885168341612"/>
    <n v="16"/>
    <n v="84"/>
    <n v="27"/>
    <x v="0"/>
    <x v="0"/>
    <d v="2024-01-01T00:00:00"/>
    <d v="2024-01-23T00:00:00"/>
    <d v="2024-02-04T00:00:00"/>
    <n v="22"/>
    <n v="12"/>
    <x v="0"/>
    <x v="1"/>
  </r>
  <r>
    <n v="24"/>
    <n v="0"/>
    <n v="1"/>
    <n v="7"/>
    <n v="5"/>
    <n v="36.905086897801098"/>
    <n v="74"/>
    <n v="73"/>
    <n v="20"/>
    <x v="0"/>
    <x v="0"/>
    <d v="2024-01-01T00:00:00"/>
    <d v="2024-02-02T00:00:00"/>
    <d v="2024-02-26T00:00:00"/>
    <n v="32"/>
    <n v="24"/>
    <x v="0"/>
    <x v="0"/>
  </r>
  <r>
    <n v="49"/>
    <n v="1"/>
    <n v="2"/>
    <n v="10"/>
    <n v="2"/>
    <n v="30.072697396431199"/>
    <n v="29"/>
    <n v="19"/>
    <n v="17"/>
    <x v="0"/>
    <x v="0"/>
    <d v="2024-01-01T00:00:00"/>
    <d v="2024-01-15T00:00:00"/>
    <d v="2024-01-23T00:00:00"/>
    <n v="14"/>
    <n v="8"/>
    <x v="0"/>
    <x v="1"/>
  </r>
  <r>
    <n v="47"/>
    <n v="0"/>
    <n v="3"/>
    <n v="11"/>
    <n v="2"/>
    <n v="48.388479101607402"/>
    <n v="98"/>
    <n v="49"/>
    <n v="30"/>
    <x v="0"/>
    <x v="1"/>
    <d v="2024-01-01T00:00:00"/>
    <d v="2024-01-17T00:00:00"/>
    <s v="N/A"/>
    <n v="16"/>
    <s v="N/A"/>
    <x v="2"/>
    <x v="1"/>
  </r>
  <r>
    <n v="31"/>
    <n v="0"/>
    <n v="1"/>
    <n v="0"/>
    <n v="3"/>
    <n v="3.6848539299653398"/>
    <n v="21"/>
    <n v="35"/>
    <n v="59"/>
    <x v="1"/>
    <x v="0"/>
    <d v="2024-01-01T00:00:00"/>
    <d v="2024-02-05T00:00:00"/>
    <d v="2024-02-27T00:00:00"/>
    <n v="35"/>
    <n v="22"/>
    <x v="0"/>
    <x v="0"/>
  </r>
  <r>
    <n v="37"/>
    <n v="0"/>
    <n v="1"/>
    <n v="9"/>
    <n v="5"/>
    <n v="6.3122854234780199"/>
    <n v="42"/>
    <n v="91"/>
    <n v="36"/>
    <x v="2"/>
    <x v="0"/>
    <d v="2024-01-01T00:00:00"/>
    <d v="2024-01-31T00:00:00"/>
    <d v="2024-02-10T00:00:00"/>
    <n v="30"/>
    <n v="10"/>
    <x v="0"/>
    <x v="1"/>
  </r>
  <r>
    <n v="33"/>
    <n v="0"/>
    <n v="2"/>
    <n v="1"/>
    <n v="5"/>
    <n v="9.6835818477169902"/>
    <n v="26"/>
    <n v="87"/>
    <n v="20"/>
    <x v="1"/>
    <x v="0"/>
    <d v="2024-01-01T00:00:00"/>
    <d v="2024-02-11T00:00:00"/>
    <d v="2024-03-08T00:00:00"/>
    <n v="41"/>
    <n v="26"/>
    <x v="0"/>
    <x v="0"/>
  </r>
  <r>
    <n v="40"/>
    <n v="0"/>
    <n v="3"/>
    <n v="15"/>
    <n v="2"/>
    <n v="35.508553530216602"/>
    <n v="36"/>
    <n v="68"/>
    <n v="13"/>
    <x v="1"/>
    <x v="1"/>
    <d v="2024-01-01T00:00:00"/>
    <d v="2024-02-13T00:00:00"/>
    <s v="N/A"/>
    <n v="43"/>
    <s v="N/A"/>
    <x v="1"/>
    <x v="0"/>
  </r>
  <r>
    <n v="43"/>
    <n v="0"/>
    <n v="2"/>
    <n v="7"/>
    <n v="5"/>
    <n v="33.2797936374904"/>
    <n v="45"/>
    <n v="36"/>
    <n v="88"/>
    <x v="0"/>
    <x v="0"/>
    <d v="2024-01-01T00:00:00"/>
    <d v="2024-01-30T00:00:00"/>
    <d v="2024-02-19T00:00:00"/>
    <n v="29"/>
    <n v="20"/>
    <x v="0"/>
    <x v="1"/>
  </r>
  <r>
    <n v="30"/>
    <n v="0"/>
    <n v="2"/>
    <n v="0"/>
    <n v="2"/>
    <n v="45.602943010484701"/>
    <n v="34"/>
    <n v="11"/>
    <n v="90"/>
    <x v="1"/>
    <x v="0"/>
    <d v="2024-01-01T00:00:00"/>
    <d v="2024-02-01T00:00:00"/>
    <d v="2024-02-20T00:00:00"/>
    <n v="31"/>
    <n v="19"/>
    <x v="0"/>
    <x v="0"/>
  </r>
  <r>
    <n v="28"/>
    <n v="1"/>
    <n v="3"/>
    <n v="14"/>
    <n v="5"/>
    <n v="37.6438726441949"/>
    <n v="3"/>
    <n v="98"/>
    <n v="59"/>
    <x v="1"/>
    <x v="0"/>
    <d v="2024-01-01T00:00:00"/>
    <d v="2024-01-27T00:00:00"/>
    <d v="2024-02-18T00:00:00"/>
    <n v="26"/>
    <n v="22"/>
    <x v="0"/>
    <x v="1"/>
  </r>
  <r>
    <n v="21"/>
    <n v="1"/>
    <n v="2"/>
    <n v="11"/>
    <n v="1"/>
    <n v="26.417774378229598"/>
    <n v="79"/>
    <n v="39"/>
    <n v="22"/>
    <x v="1"/>
    <x v="1"/>
    <d v="2024-01-01T00:00:00"/>
    <d v="2024-01-27T00:00:00"/>
    <s v="N/A"/>
    <n v="26"/>
    <s v="N/A"/>
    <x v="2"/>
    <x v="1"/>
  </r>
  <r>
    <n v="31"/>
    <n v="0"/>
    <n v="3"/>
    <n v="7"/>
    <n v="2"/>
    <n v="50.591589623181498"/>
    <n v="79"/>
    <n v="53"/>
    <n v="94"/>
    <x v="0"/>
    <x v="0"/>
    <d v="2024-01-01T00:00:00"/>
    <d v="2024-01-29T00:00:00"/>
    <d v="2024-02-25T00:00:00"/>
    <n v="28"/>
    <n v="27"/>
    <x v="0"/>
    <x v="1"/>
  </r>
  <r>
    <n v="22"/>
    <n v="1"/>
    <n v="3"/>
    <n v="7"/>
    <n v="2"/>
    <n v="14.3053978084649"/>
    <n v="84"/>
    <n v="1"/>
    <n v="28"/>
    <x v="2"/>
    <x v="1"/>
    <d v="2024-01-01T00:00:00"/>
    <d v="2024-01-20T00:00:00"/>
    <s v="N/A"/>
    <n v="19"/>
    <s v="N/A"/>
    <x v="2"/>
    <x v="1"/>
  </r>
  <r>
    <n v="22"/>
    <n v="1"/>
    <n v="2"/>
    <n v="15"/>
    <n v="4"/>
    <n v="42.6595829892727"/>
    <n v="25"/>
    <n v="49"/>
    <n v="46"/>
    <x v="0"/>
    <x v="1"/>
    <d v="2024-01-01T00:00:00"/>
    <d v="2024-01-27T00:00:00"/>
    <s v="N/A"/>
    <n v="26"/>
    <s v="N/A"/>
    <x v="2"/>
    <x v="1"/>
  </r>
  <r>
    <n v="20"/>
    <n v="1"/>
    <n v="2"/>
    <n v="1"/>
    <n v="5"/>
    <n v="22.339518609695901"/>
    <n v="99"/>
    <n v="40"/>
    <n v="29"/>
    <x v="1"/>
    <x v="1"/>
    <d v="2024-01-01T00:00:00"/>
    <d v="2024-02-14T00:00:00"/>
    <s v="N/A"/>
    <n v="44"/>
    <s v="N/A"/>
    <x v="2"/>
    <x v="0"/>
  </r>
  <r>
    <n v="27"/>
    <n v="1"/>
    <n v="1"/>
    <n v="3"/>
    <n v="5"/>
    <n v="33.436756943786698"/>
    <n v="18"/>
    <n v="44"/>
    <n v="89"/>
    <x v="2"/>
    <x v="1"/>
    <d v="2024-01-01T00:00:00"/>
    <d v="2024-01-15T00:00:00"/>
    <s v="N/A"/>
    <n v="14"/>
    <s v="N/A"/>
    <x v="2"/>
    <x v="1"/>
  </r>
  <r>
    <n v="41"/>
    <n v="0"/>
    <n v="2"/>
    <n v="5"/>
    <n v="2"/>
    <n v="37.363423522621702"/>
    <n v="80"/>
    <n v="8"/>
    <n v="83"/>
    <x v="1"/>
    <x v="0"/>
    <d v="2024-01-01T00:00:00"/>
    <d v="2024-01-19T00:00:00"/>
    <d v="2024-02-07T00:00:00"/>
    <n v="18"/>
    <n v="19"/>
    <x v="0"/>
    <x v="1"/>
  </r>
  <r>
    <n v="47"/>
    <n v="1"/>
    <n v="4"/>
    <n v="11"/>
    <n v="1"/>
    <n v="32.6877043595168"/>
    <n v="44"/>
    <n v="61"/>
    <n v="37"/>
    <x v="1"/>
    <x v="1"/>
    <d v="2024-01-01T00:00:00"/>
    <d v="2024-02-07T00:00:00"/>
    <s v="N/A"/>
    <n v="37"/>
    <s v="N/A"/>
    <x v="1"/>
    <x v="0"/>
  </r>
  <r>
    <n v="48"/>
    <n v="1"/>
    <n v="2"/>
    <n v="10"/>
    <n v="1"/>
    <n v="8.0253651554296592"/>
    <n v="25"/>
    <n v="85"/>
    <n v="82"/>
    <x v="2"/>
    <x v="1"/>
    <d v="2024-01-01T00:00:00"/>
    <d v="2024-01-25T00:00:00"/>
    <s v="N/A"/>
    <n v="24"/>
    <s v="N/A"/>
    <x v="3"/>
    <x v="1"/>
  </r>
  <r>
    <n v="27"/>
    <n v="1"/>
    <n v="2"/>
    <n v="8"/>
    <n v="1"/>
    <n v="23.147550537396601"/>
    <n v="21"/>
    <n v="46"/>
    <n v="26"/>
    <x v="1"/>
    <x v="0"/>
    <d v="2024-01-01T00:00:00"/>
    <d v="2024-02-02T00:00:00"/>
    <d v="2024-02-28T00:00:00"/>
    <n v="32"/>
    <n v="26"/>
    <x v="0"/>
    <x v="0"/>
  </r>
  <r>
    <n v="30"/>
    <n v="0"/>
    <n v="3"/>
    <n v="14"/>
    <n v="5"/>
    <n v="29.0719188966562"/>
    <n v="57"/>
    <n v="4"/>
    <n v="88"/>
    <x v="0"/>
    <x v="1"/>
    <d v="2024-01-01T00:00:00"/>
    <d v="2024-01-18T00:00:00"/>
    <s v="N/A"/>
    <n v="17"/>
    <s v="N/A"/>
    <x v="2"/>
    <x v="1"/>
  </r>
  <r>
    <n v="28"/>
    <n v="0"/>
    <n v="2"/>
    <n v="15"/>
    <n v="4"/>
    <n v="43.452187958929798"/>
    <n v="62"/>
    <n v="75"/>
    <n v="86"/>
    <x v="2"/>
    <x v="1"/>
    <d v="2024-01-01T00:00:00"/>
    <d v="2024-01-26T00:00:00"/>
    <s v="N/A"/>
    <n v="25"/>
    <s v="N/A"/>
    <x v="3"/>
    <x v="1"/>
  </r>
  <r>
    <n v="24"/>
    <n v="0"/>
    <n v="1"/>
    <n v="7"/>
    <n v="2"/>
    <n v="23.182287439928601"/>
    <n v="27"/>
    <n v="0"/>
    <n v="92"/>
    <x v="0"/>
    <x v="1"/>
    <d v="2024-01-01T00:00:00"/>
    <d v="2024-01-29T00:00:00"/>
    <s v="N/A"/>
    <n v="28"/>
    <s v="N/A"/>
    <x v="2"/>
    <x v="1"/>
  </r>
  <r>
    <n v="33"/>
    <n v="0"/>
    <n v="2"/>
    <n v="11"/>
    <n v="3"/>
    <n v="46.9373652402125"/>
    <n v="64"/>
    <n v="43"/>
    <n v="14"/>
    <x v="2"/>
    <x v="1"/>
    <d v="2024-01-01T00:00:00"/>
    <d v="2024-01-31T00:00:00"/>
    <s v="N/A"/>
    <n v="30"/>
    <s v="N/A"/>
    <x v="2"/>
    <x v="1"/>
  </r>
  <r>
    <n v="47"/>
    <n v="0"/>
    <n v="2"/>
    <n v="14"/>
    <n v="4"/>
    <n v="23.018711151260501"/>
    <n v="43"/>
    <n v="21"/>
    <n v="58"/>
    <x v="0"/>
    <x v="1"/>
    <d v="2024-01-01T00:00:00"/>
    <d v="2024-01-31T00:00:00"/>
    <s v="N/A"/>
    <n v="30"/>
    <s v="N/A"/>
    <x v="2"/>
    <x v="1"/>
  </r>
  <r>
    <n v="49"/>
    <n v="0"/>
    <n v="3"/>
    <n v="7"/>
    <n v="3"/>
    <n v="28.438992963150501"/>
    <n v="99"/>
    <n v="37"/>
    <n v="2"/>
    <x v="1"/>
    <x v="1"/>
    <d v="2024-01-01T00:00:00"/>
    <d v="2024-01-18T00:00:00"/>
    <s v="N/A"/>
    <n v="17"/>
    <s v="N/A"/>
    <x v="2"/>
    <x v="1"/>
  </r>
  <r>
    <n v="22"/>
    <n v="0"/>
    <n v="1"/>
    <n v="6"/>
    <n v="4"/>
    <n v="40.81428414714"/>
    <n v="42"/>
    <n v="18"/>
    <n v="9"/>
    <x v="1"/>
    <x v="0"/>
    <d v="2024-01-01T00:00:00"/>
    <d v="2024-01-29T00:00:00"/>
    <d v="2024-02-18T00:00:00"/>
    <n v="28"/>
    <n v="20"/>
    <x v="0"/>
    <x v="1"/>
  </r>
  <r>
    <n v="40"/>
    <n v="1"/>
    <n v="2"/>
    <n v="13"/>
    <n v="1"/>
    <n v="30.1533842211071"/>
    <n v="36"/>
    <n v="79"/>
    <n v="78"/>
    <x v="2"/>
    <x v="0"/>
    <d v="2024-01-01T00:00:00"/>
    <d v="2024-01-28T00:00:00"/>
    <d v="2024-02-20T00:00:00"/>
    <n v="27"/>
    <n v="23"/>
    <x v="0"/>
    <x v="1"/>
  </r>
  <r>
    <n v="24"/>
    <n v="1"/>
    <n v="2"/>
    <n v="12"/>
    <n v="5"/>
    <n v="49.010903619141203"/>
    <n v="65"/>
    <n v="30"/>
    <n v="79"/>
    <x v="1"/>
    <x v="0"/>
    <d v="2024-01-01T00:00:00"/>
    <d v="2024-02-04T00:00:00"/>
    <d v="2024-03-04T00:00:00"/>
    <n v="34"/>
    <n v="29"/>
    <x v="0"/>
    <x v="0"/>
  </r>
  <r>
    <n v="24"/>
    <n v="1"/>
    <n v="2"/>
    <n v="8"/>
    <n v="3"/>
    <n v="34.016791525706303"/>
    <n v="16"/>
    <n v="66"/>
    <n v="16"/>
    <x v="0"/>
    <x v="0"/>
    <d v="2024-01-01T00:00:00"/>
    <d v="2024-02-07T00:00:00"/>
    <d v="2024-02-26T00:00:00"/>
    <n v="37"/>
    <n v="19"/>
    <x v="0"/>
    <x v="0"/>
  </r>
  <r>
    <n v="38"/>
    <n v="0"/>
    <n v="2"/>
    <n v="14"/>
    <n v="4"/>
    <n v="27.13547270338"/>
    <n v="39"/>
    <n v="86"/>
    <n v="82"/>
    <x v="1"/>
    <x v="1"/>
    <d v="2024-01-01T00:00:00"/>
    <d v="2024-02-12T00:00:00"/>
    <s v="N/A"/>
    <n v="42"/>
    <s v="N/A"/>
    <x v="3"/>
    <x v="0"/>
  </r>
  <r>
    <n v="46"/>
    <n v="0"/>
    <n v="2"/>
    <n v="1"/>
    <n v="5"/>
    <n v="2.1795983890397901"/>
    <n v="37"/>
    <n v="41"/>
    <n v="10"/>
    <x v="0"/>
    <x v="1"/>
    <d v="2024-01-01T00:00:00"/>
    <d v="2024-02-02T00:00:00"/>
    <s v="N/A"/>
    <n v="32"/>
    <s v="N/A"/>
    <x v="2"/>
    <x v="0"/>
  </r>
  <r>
    <n v="33"/>
    <n v="0"/>
    <n v="2"/>
    <n v="2"/>
    <n v="3"/>
    <n v="21.686644879016399"/>
    <n v="84"/>
    <n v="81"/>
    <n v="47"/>
    <x v="1"/>
    <x v="1"/>
    <d v="2024-01-01T00:00:00"/>
    <d v="2024-02-07T00:00:00"/>
    <s v="N/A"/>
    <n v="37"/>
    <s v="N/A"/>
    <x v="3"/>
    <x v="0"/>
  </r>
  <r>
    <n v="45"/>
    <n v="0"/>
    <n v="4"/>
    <n v="9"/>
    <n v="2"/>
    <n v="15.962420963008"/>
    <n v="60"/>
    <n v="25"/>
    <n v="4"/>
    <x v="2"/>
    <x v="0"/>
    <d v="2024-01-01T00:00:00"/>
    <d v="2024-02-03T00:00:00"/>
    <d v="2024-02-17T00:00:00"/>
    <n v="33"/>
    <n v="14"/>
    <x v="0"/>
    <x v="0"/>
  </r>
  <r>
    <n v="49"/>
    <n v="0"/>
    <n v="2"/>
    <n v="7"/>
    <n v="4"/>
    <n v="38.405283394374401"/>
    <n v="8"/>
    <n v="12"/>
    <n v="68"/>
    <x v="1"/>
    <x v="0"/>
    <d v="2024-01-01T00:00:00"/>
    <d v="2024-01-24T00:00:00"/>
    <d v="2024-02-09T00:00:00"/>
    <n v="23"/>
    <n v="16"/>
    <x v="0"/>
    <x v="1"/>
  </r>
  <r>
    <n v="23"/>
    <n v="1"/>
    <n v="1"/>
    <n v="13"/>
    <n v="2"/>
    <n v="11.413883757677199"/>
    <n v="76"/>
    <n v="57"/>
    <n v="63"/>
    <x v="1"/>
    <x v="1"/>
    <d v="2024-01-01T00:00:00"/>
    <d v="2024-01-27T00:00:00"/>
    <s v="N/A"/>
    <n v="26"/>
    <s v="N/A"/>
    <x v="1"/>
    <x v="1"/>
  </r>
  <r>
    <n v="44"/>
    <n v="1"/>
    <n v="2"/>
    <n v="5"/>
    <n v="1"/>
    <n v="11.261004364703499"/>
    <n v="74"/>
    <n v="17"/>
    <n v="13"/>
    <x v="0"/>
    <x v="1"/>
    <d v="2024-01-01T00:00:00"/>
    <d v="2024-02-06T00:00:00"/>
    <s v="N/A"/>
    <n v="36"/>
    <s v="N/A"/>
    <x v="2"/>
    <x v="0"/>
  </r>
  <r>
    <n v="32"/>
    <n v="0"/>
    <n v="3"/>
    <n v="9"/>
    <n v="2"/>
    <n v="10.475952161868801"/>
    <n v="60"/>
    <n v="66"/>
    <n v="49"/>
    <x v="1"/>
    <x v="0"/>
    <d v="2024-01-01T00:00:00"/>
    <d v="2024-02-09T00:00:00"/>
    <d v="2024-03-05T00:00:00"/>
    <n v="39"/>
    <n v="25"/>
    <x v="0"/>
    <x v="0"/>
  </r>
  <r>
    <n v="29"/>
    <n v="0"/>
    <n v="3"/>
    <n v="8"/>
    <n v="2"/>
    <n v="7.28078065781179"/>
    <n v="79"/>
    <n v="86"/>
    <n v="25"/>
    <x v="1"/>
    <x v="0"/>
    <d v="2024-01-01T00:00:00"/>
    <d v="2024-01-26T00:00:00"/>
    <d v="2024-02-15T00:00:00"/>
    <n v="25"/>
    <n v="20"/>
    <x v="0"/>
    <x v="1"/>
  </r>
  <r>
    <n v="44"/>
    <n v="0"/>
    <n v="1"/>
    <n v="9"/>
    <n v="4"/>
    <n v="16.5503501835443"/>
    <n v="15"/>
    <n v="2"/>
    <n v="71"/>
    <x v="1"/>
    <x v="0"/>
    <d v="2024-01-01T00:00:00"/>
    <d v="2024-02-02T00:00:00"/>
    <d v="2024-02-27T00:00:00"/>
    <n v="32"/>
    <n v="25"/>
    <x v="0"/>
    <x v="0"/>
  </r>
  <r>
    <n v="37"/>
    <n v="0"/>
    <n v="4"/>
    <n v="3"/>
    <n v="1"/>
    <n v="45.296105722171198"/>
    <n v="1"/>
    <n v="54"/>
    <n v="68"/>
    <x v="0"/>
    <x v="0"/>
    <d v="2024-01-01T00:00:00"/>
    <d v="2024-02-01T00:00:00"/>
    <d v="2024-02-28T00:00:00"/>
    <n v="31"/>
    <n v="27"/>
    <x v="0"/>
    <x v="0"/>
  </r>
  <r>
    <n v="27"/>
    <n v="1"/>
    <n v="2"/>
    <n v="15"/>
    <n v="2"/>
    <n v="39.746423615297701"/>
    <n v="71"/>
    <n v="88"/>
    <n v="6"/>
    <x v="1"/>
    <x v="1"/>
    <d v="2024-01-01T00:00:00"/>
    <d v="2024-02-14T00:00:00"/>
    <s v="N/A"/>
    <n v="44"/>
    <s v="N/A"/>
    <x v="3"/>
    <x v="0"/>
  </r>
  <r>
    <n v="27"/>
    <n v="0"/>
    <n v="1"/>
    <n v="7"/>
    <n v="5"/>
    <n v="37.762560815339597"/>
    <n v="42"/>
    <n v="90"/>
    <n v="15"/>
    <x v="0"/>
    <x v="0"/>
    <d v="2024-01-01T00:00:00"/>
    <d v="2024-01-22T00:00:00"/>
    <d v="2024-01-31T00:00:00"/>
    <n v="21"/>
    <n v="9"/>
    <x v="0"/>
    <x v="1"/>
  </r>
  <r>
    <n v="26"/>
    <n v="0"/>
    <n v="1"/>
    <n v="9"/>
    <n v="3"/>
    <n v="40.866840282498103"/>
    <n v="41"/>
    <n v="57"/>
    <n v="54"/>
    <x v="1"/>
    <x v="0"/>
    <d v="2024-01-01T00:00:00"/>
    <d v="2024-02-01T00:00:00"/>
    <d v="2024-02-13T00:00:00"/>
    <n v="31"/>
    <n v="12"/>
    <x v="0"/>
    <x v="0"/>
  </r>
  <r>
    <n v="27"/>
    <n v="0"/>
    <n v="1"/>
    <n v="2"/>
    <n v="2"/>
    <n v="14.4708944664785"/>
    <n v="76"/>
    <n v="62"/>
    <n v="77"/>
    <x v="0"/>
    <x v="1"/>
    <d v="2024-01-01T00:00:00"/>
    <d v="2024-01-26T00:00:00"/>
    <s v="N/A"/>
    <n v="25"/>
    <s v="N/A"/>
    <x v="1"/>
    <x v="1"/>
  </r>
  <r>
    <n v="33"/>
    <n v="0"/>
    <n v="3"/>
    <n v="2"/>
    <n v="1"/>
    <n v="45.372084537624303"/>
    <n v="56"/>
    <n v="90"/>
    <n v="100"/>
    <x v="2"/>
    <x v="1"/>
    <d v="2024-01-01T00:00:00"/>
    <d v="2024-01-26T00:00:00"/>
    <s v="N/A"/>
    <n v="25"/>
    <s v="N/A"/>
    <x v="3"/>
    <x v="1"/>
  </r>
  <r>
    <n v="38"/>
    <n v="1"/>
    <n v="1"/>
    <n v="7"/>
    <n v="2"/>
    <n v="7.8651687570802196"/>
    <n v="80"/>
    <n v="51"/>
    <n v="55"/>
    <x v="0"/>
    <x v="1"/>
    <d v="2024-01-01T00:00:00"/>
    <d v="2024-02-04T00:00:00"/>
    <s v="N/A"/>
    <n v="34"/>
    <s v="N/A"/>
    <x v="1"/>
    <x v="0"/>
  </r>
  <r>
    <n v="48"/>
    <n v="0"/>
    <n v="1"/>
    <n v="4"/>
    <n v="3"/>
    <n v="17.817286335778999"/>
    <n v="87"/>
    <n v="88"/>
    <n v="3"/>
    <x v="1"/>
    <x v="0"/>
    <d v="2024-01-01T00:00:00"/>
    <d v="2024-02-01T00:00:00"/>
    <d v="2024-02-16T00:00:00"/>
    <n v="31"/>
    <n v="15"/>
    <x v="0"/>
    <x v="0"/>
  </r>
  <r>
    <n v="25"/>
    <n v="0"/>
    <n v="3"/>
    <n v="2"/>
    <n v="1"/>
    <n v="30.337405948367099"/>
    <n v="66"/>
    <n v="23"/>
    <n v="99"/>
    <x v="0"/>
    <x v="0"/>
    <d v="2024-01-01T00:00:00"/>
    <d v="2024-02-14T00:00:00"/>
    <d v="2024-03-03T00:00:00"/>
    <n v="44"/>
    <n v="18"/>
    <x v="0"/>
    <x v="0"/>
  </r>
  <r>
    <n v="20"/>
    <n v="1"/>
    <n v="2"/>
    <n v="9"/>
    <n v="4"/>
    <n v="6.1452544171000296"/>
    <n v="29"/>
    <n v="71"/>
    <n v="47"/>
    <x v="1"/>
    <x v="0"/>
    <d v="2024-01-01T00:00:00"/>
    <d v="2024-01-23T00:00:00"/>
    <d v="2024-02-18T00:00:00"/>
    <n v="22"/>
    <n v="26"/>
    <x v="0"/>
    <x v="1"/>
  </r>
  <r>
    <n v="42"/>
    <n v="1"/>
    <n v="1"/>
    <n v="10"/>
    <n v="1"/>
    <n v="37.5065093888212"/>
    <n v="12"/>
    <n v="8"/>
    <n v="16"/>
    <x v="1"/>
    <x v="0"/>
    <d v="2024-01-01T00:00:00"/>
    <d v="2024-01-30T00:00:00"/>
    <d v="2024-02-08T00:00:00"/>
    <n v="29"/>
    <n v="9"/>
    <x v="0"/>
    <x v="1"/>
  </r>
  <r>
    <n v="50"/>
    <n v="1"/>
    <n v="1"/>
    <n v="15"/>
    <n v="4"/>
    <n v="20.362302410173701"/>
    <n v="18"/>
    <n v="36"/>
    <n v="35"/>
    <x v="1"/>
    <x v="1"/>
    <d v="2024-01-01T00:00:00"/>
    <d v="2024-02-11T00:00:00"/>
    <s v="N/A"/>
    <n v="41"/>
    <s v="N/A"/>
    <x v="2"/>
    <x v="0"/>
  </r>
  <r>
    <n v="34"/>
    <n v="0"/>
    <n v="1"/>
    <n v="0"/>
    <n v="1"/>
    <n v="40.220283280419999"/>
    <n v="6"/>
    <n v="93"/>
    <n v="69"/>
    <x v="0"/>
    <x v="1"/>
    <d v="2024-01-01T00:00:00"/>
    <d v="2024-02-13T00:00:00"/>
    <s v="N/A"/>
    <n v="43"/>
    <s v="N/A"/>
    <x v="3"/>
    <x v="0"/>
  </r>
  <r>
    <n v="20"/>
    <n v="0"/>
    <n v="2"/>
    <n v="14"/>
    <n v="3"/>
    <n v="25.644814279230101"/>
    <n v="8"/>
    <n v="82"/>
    <n v="79"/>
    <x v="1"/>
    <x v="0"/>
    <d v="2024-01-01T00:00:00"/>
    <d v="2024-01-20T00:00:00"/>
    <d v="2024-02-19T00:00:00"/>
    <n v="19"/>
    <n v="30"/>
    <x v="0"/>
    <x v="1"/>
  </r>
  <r>
    <n v="44"/>
    <n v="1"/>
    <n v="2"/>
    <n v="2"/>
    <n v="3"/>
    <n v="10.0437262212668"/>
    <n v="82"/>
    <n v="52"/>
    <n v="92"/>
    <x v="0"/>
    <x v="0"/>
    <d v="2024-01-01T00:00:00"/>
    <d v="2024-01-26T00:00:00"/>
    <d v="2024-02-25T00:00:00"/>
    <n v="25"/>
    <n v="30"/>
    <x v="0"/>
    <x v="1"/>
  </r>
  <r>
    <n v="36"/>
    <n v="1"/>
    <n v="1"/>
    <n v="11"/>
    <n v="1"/>
    <n v="37.738090567767202"/>
    <n v="53"/>
    <n v="79"/>
    <n v="99"/>
    <x v="0"/>
    <x v="0"/>
    <d v="2024-01-01T00:00:00"/>
    <d v="2024-02-01T00:00:00"/>
    <d v="2024-03-02T00:00:00"/>
    <n v="31"/>
    <n v="30"/>
    <x v="0"/>
    <x v="0"/>
  </r>
  <r>
    <n v="20"/>
    <n v="1"/>
    <n v="1"/>
    <n v="8"/>
    <n v="2"/>
    <n v="13.607197791947099"/>
    <n v="85"/>
    <n v="23"/>
    <n v="37"/>
    <x v="1"/>
    <x v="1"/>
    <d v="2024-01-01T00:00:00"/>
    <d v="2024-01-25T00:00:00"/>
    <s v="N/A"/>
    <n v="24"/>
    <s v="N/A"/>
    <x v="2"/>
    <x v="1"/>
  </r>
  <r>
    <n v="34"/>
    <n v="1"/>
    <n v="3"/>
    <n v="4"/>
    <n v="3"/>
    <n v="25.540515063402101"/>
    <n v="81"/>
    <n v="20"/>
    <n v="100"/>
    <x v="0"/>
    <x v="0"/>
    <d v="2024-01-01T00:00:00"/>
    <d v="2024-02-15T00:00:00"/>
    <d v="2024-03-08T00:00:00"/>
    <n v="45"/>
    <n v="22"/>
    <x v="0"/>
    <x v="0"/>
  </r>
  <r>
    <n v="42"/>
    <n v="1"/>
    <n v="2"/>
    <n v="11"/>
    <n v="4"/>
    <n v="4.7766634578453804"/>
    <n v="60"/>
    <n v="99"/>
    <n v="61"/>
    <x v="0"/>
    <x v="1"/>
    <d v="2024-01-01T00:00:00"/>
    <d v="2024-01-18T00:00:00"/>
    <s v="N/A"/>
    <n v="17"/>
    <s v="N/A"/>
    <x v="3"/>
    <x v="1"/>
  </r>
  <r>
    <n v="21"/>
    <n v="1"/>
    <n v="2"/>
    <n v="9"/>
    <n v="4"/>
    <n v="31.893332720601801"/>
    <n v="86"/>
    <n v="39"/>
    <n v="47"/>
    <x v="2"/>
    <x v="0"/>
    <d v="2024-01-01T00:00:00"/>
    <d v="2024-01-16T00:00:00"/>
    <d v="2024-02-08T00:00:00"/>
    <n v="15"/>
    <n v="23"/>
    <x v="0"/>
    <x v="1"/>
  </r>
  <r>
    <n v="33"/>
    <n v="0"/>
    <n v="2"/>
    <n v="14"/>
    <n v="5"/>
    <n v="34.292888310813801"/>
    <n v="1"/>
    <n v="61"/>
    <n v="9"/>
    <x v="2"/>
    <x v="1"/>
    <d v="2024-01-01T00:00:00"/>
    <d v="2024-02-03T00:00:00"/>
    <s v="N/A"/>
    <n v="33"/>
    <s v="N/A"/>
    <x v="1"/>
    <x v="0"/>
  </r>
  <r>
    <n v="40"/>
    <n v="0"/>
    <n v="2"/>
    <n v="1"/>
    <n v="4"/>
    <n v="19.933710498639101"/>
    <n v="49"/>
    <n v="69"/>
    <n v="35"/>
    <x v="1"/>
    <x v="1"/>
    <d v="2024-01-01T00:00:00"/>
    <d v="2024-02-04T00:00:00"/>
    <s v="N/A"/>
    <n v="34"/>
    <s v="N/A"/>
    <x v="1"/>
    <x v="0"/>
  </r>
  <r>
    <n v="27"/>
    <n v="0"/>
    <n v="2"/>
    <n v="6"/>
    <n v="5"/>
    <n v="48.721139016053598"/>
    <n v="74"/>
    <n v="68"/>
    <n v="28"/>
    <x v="0"/>
    <x v="0"/>
    <d v="2024-01-01T00:00:00"/>
    <d v="2024-01-25T00:00:00"/>
    <d v="2024-02-07T00:00:00"/>
    <n v="24"/>
    <n v="13"/>
    <x v="0"/>
    <x v="1"/>
  </r>
  <r>
    <n v="27"/>
    <n v="1"/>
    <n v="2"/>
    <n v="14"/>
    <n v="1"/>
    <n v="44.708446074103399"/>
    <n v="30"/>
    <n v="13"/>
    <n v="77"/>
    <x v="0"/>
    <x v="1"/>
    <d v="2024-01-01T00:00:00"/>
    <d v="2024-01-17T00:00:00"/>
    <s v="N/A"/>
    <n v="16"/>
    <s v="N/A"/>
    <x v="2"/>
    <x v="1"/>
  </r>
  <r>
    <n v="38"/>
    <n v="1"/>
    <n v="2"/>
    <n v="1"/>
    <n v="1"/>
    <n v="36.397045786999698"/>
    <n v="32"/>
    <n v="41"/>
    <n v="3"/>
    <x v="1"/>
    <x v="1"/>
    <d v="2024-01-01T00:00:00"/>
    <d v="2024-01-21T00:00:00"/>
    <s v="N/A"/>
    <n v="20"/>
    <s v="N/A"/>
    <x v="2"/>
    <x v="1"/>
  </r>
  <r>
    <n v="26"/>
    <n v="1"/>
    <n v="4"/>
    <n v="3"/>
    <n v="1"/>
    <n v="36.682603724687098"/>
    <n v="77"/>
    <n v="49"/>
    <n v="43"/>
    <x v="0"/>
    <x v="0"/>
    <d v="2024-01-01T00:00:00"/>
    <d v="2024-02-13T00:00:00"/>
    <d v="2024-03-08T00:00:00"/>
    <n v="43"/>
    <n v="24"/>
    <x v="0"/>
    <x v="0"/>
  </r>
  <r>
    <n v="38"/>
    <n v="1"/>
    <n v="1"/>
    <n v="11"/>
    <n v="2"/>
    <n v="13.620085747107501"/>
    <n v="79"/>
    <n v="60"/>
    <n v="55"/>
    <x v="2"/>
    <x v="1"/>
    <d v="2024-01-01T00:00:00"/>
    <d v="2024-01-22T00:00:00"/>
    <s v="N/A"/>
    <n v="21"/>
    <s v="N/A"/>
    <x v="1"/>
    <x v="1"/>
  </r>
  <r>
    <n v="25"/>
    <n v="1"/>
    <n v="3"/>
    <n v="6"/>
    <n v="2"/>
    <n v="33.8407615544224"/>
    <n v="10"/>
    <n v="3"/>
    <n v="41"/>
    <x v="0"/>
    <x v="0"/>
    <d v="2024-01-01T00:00:00"/>
    <d v="2024-02-01T00:00:00"/>
    <d v="2024-02-09T00:00:00"/>
    <n v="31"/>
    <n v="8"/>
    <x v="0"/>
    <x v="0"/>
  </r>
  <r>
    <n v="25"/>
    <n v="1"/>
    <n v="1"/>
    <n v="3"/>
    <n v="5"/>
    <n v="10.910313261775901"/>
    <n v="32"/>
    <n v="71"/>
    <n v="99"/>
    <x v="2"/>
    <x v="1"/>
    <d v="2024-01-01T00:00:00"/>
    <d v="2024-01-29T00:00:00"/>
    <s v="N/A"/>
    <n v="28"/>
    <s v="N/A"/>
    <x v="3"/>
    <x v="1"/>
  </r>
  <r>
    <n v="22"/>
    <n v="0"/>
    <n v="3"/>
    <n v="6"/>
    <n v="4"/>
    <n v="8.2001611959911003"/>
    <n v="6"/>
    <n v="87"/>
    <n v="12"/>
    <x v="1"/>
    <x v="1"/>
    <d v="2024-01-01T00:00:00"/>
    <d v="2024-02-04T00:00:00"/>
    <s v="N/A"/>
    <n v="34"/>
    <s v="N/A"/>
    <x v="3"/>
    <x v="0"/>
  </r>
  <r>
    <n v="26"/>
    <n v="0"/>
    <n v="2"/>
    <n v="15"/>
    <n v="4"/>
    <n v="50.973394710129"/>
    <n v="30"/>
    <n v="74"/>
    <n v="45"/>
    <x v="1"/>
    <x v="1"/>
    <d v="2024-01-01T00:00:00"/>
    <d v="2024-02-14T00:00:00"/>
    <s v="N/A"/>
    <n v="44"/>
    <s v="N/A"/>
    <x v="3"/>
    <x v="0"/>
  </r>
  <r>
    <n v="38"/>
    <n v="1"/>
    <n v="3"/>
    <n v="6"/>
    <n v="1"/>
    <n v="32.118796573658699"/>
    <n v="47"/>
    <n v="16"/>
    <n v="81"/>
    <x v="0"/>
    <x v="1"/>
    <d v="2024-01-01T00:00:00"/>
    <d v="2024-02-05T00:00:00"/>
    <s v="N/A"/>
    <n v="35"/>
    <s v="N/A"/>
    <x v="2"/>
    <x v="0"/>
  </r>
  <r>
    <n v="27"/>
    <n v="0"/>
    <n v="1"/>
    <n v="15"/>
    <n v="3"/>
    <n v="22.549393632859498"/>
    <n v="46"/>
    <n v="84"/>
    <n v="32"/>
    <x v="2"/>
    <x v="0"/>
    <d v="2024-01-01T00:00:00"/>
    <d v="2024-01-19T00:00:00"/>
    <d v="2024-01-29T00:00:00"/>
    <n v="18"/>
    <n v="10"/>
    <x v="0"/>
    <x v="1"/>
  </r>
  <r>
    <n v="29"/>
    <n v="1"/>
    <n v="2"/>
    <n v="0"/>
    <n v="2"/>
    <n v="15.408226144197499"/>
    <n v="77"/>
    <n v="56"/>
    <n v="20"/>
    <x v="0"/>
    <x v="0"/>
    <d v="2024-01-01T00:00:00"/>
    <d v="2024-01-22T00:00:00"/>
    <d v="2024-02-17T00:00:00"/>
    <n v="21"/>
    <n v="26"/>
    <x v="0"/>
    <x v="1"/>
  </r>
  <r>
    <n v="39"/>
    <n v="0"/>
    <n v="2"/>
    <n v="5"/>
    <n v="2"/>
    <n v="31.1960221831113"/>
    <n v="91"/>
    <n v="89"/>
    <n v="79"/>
    <x v="1"/>
    <x v="0"/>
    <d v="2024-01-01T00:00:00"/>
    <d v="2024-02-06T00:00:00"/>
    <d v="2024-03-02T00:00:00"/>
    <n v="36"/>
    <n v="25"/>
    <x v="0"/>
    <x v="0"/>
  </r>
  <r>
    <n v="34"/>
    <n v="1"/>
    <n v="3"/>
    <n v="8"/>
    <n v="1"/>
    <n v="3.4796754110042998"/>
    <n v="52"/>
    <n v="47"/>
    <n v="78"/>
    <x v="2"/>
    <x v="1"/>
    <d v="2024-01-01T00:00:00"/>
    <d v="2024-02-14T00:00:00"/>
    <s v="N/A"/>
    <n v="44"/>
    <s v="N/A"/>
    <x v="2"/>
    <x v="0"/>
  </r>
  <r>
    <n v="34"/>
    <n v="1"/>
    <n v="2"/>
    <n v="1"/>
    <n v="2"/>
    <n v="5.7340495252397501"/>
    <n v="79"/>
    <n v="43"/>
    <n v="56"/>
    <x v="0"/>
    <x v="1"/>
    <d v="2024-01-01T00:00:00"/>
    <d v="2024-01-20T00:00:00"/>
    <s v="N/A"/>
    <n v="19"/>
    <s v="N/A"/>
    <x v="2"/>
    <x v="1"/>
  </r>
  <r>
    <n v="48"/>
    <n v="0"/>
    <n v="2"/>
    <n v="13"/>
    <n v="1"/>
    <n v="2.6428348870198102"/>
    <n v="18"/>
    <n v="44"/>
    <n v="68"/>
    <x v="1"/>
    <x v="0"/>
    <d v="2024-01-01T00:00:00"/>
    <d v="2024-02-07T00:00:00"/>
    <d v="2024-02-21T00:00:00"/>
    <n v="37"/>
    <n v="14"/>
    <x v="0"/>
    <x v="0"/>
  </r>
  <r>
    <n v="20"/>
    <n v="0"/>
    <n v="2"/>
    <n v="2"/>
    <n v="5"/>
    <n v="25.958491663133"/>
    <n v="80"/>
    <n v="90"/>
    <n v="69"/>
    <x v="1"/>
    <x v="0"/>
    <d v="2024-01-01T00:00:00"/>
    <d v="2024-01-18T00:00:00"/>
    <d v="2024-02-17T00:00:00"/>
    <n v="17"/>
    <n v="30"/>
    <x v="0"/>
    <x v="1"/>
  </r>
  <r>
    <n v="39"/>
    <n v="1"/>
    <n v="2"/>
    <n v="9"/>
    <n v="4"/>
    <n v="31.0303314593591"/>
    <n v="89"/>
    <n v="79"/>
    <n v="66"/>
    <x v="1"/>
    <x v="0"/>
    <d v="2024-01-01T00:00:00"/>
    <d v="2024-01-27T00:00:00"/>
    <d v="2024-02-03T00:00:00"/>
    <n v="26"/>
    <n v="7"/>
    <x v="0"/>
    <x v="1"/>
  </r>
  <r>
    <n v="49"/>
    <n v="1"/>
    <n v="2"/>
    <n v="4"/>
    <n v="3"/>
    <n v="4.1239880678910401"/>
    <n v="5"/>
    <n v="89"/>
    <n v="47"/>
    <x v="1"/>
    <x v="0"/>
    <d v="2024-01-01T00:00:00"/>
    <d v="2024-01-30T00:00:00"/>
    <d v="2024-02-20T00:00:00"/>
    <n v="29"/>
    <n v="21"/>
    <x v="0"/>
    <x v="1"/>
  </r>
  <r>
    <n v="26"/>
    <n v="0"/>
    <n v="1"/>
    <n v="8"/>
    <n v="4"/>
    <n v="37.061223374945797"/>
    <n v="48"/>
    <n v="32"/>
    <n v="75"/>
    <x v="1"/>
    <x v="1"/>
    <d v="2024-01-01T00:00:00"/>
    <d v="2024-02-03T00:00:00"/>
    <s v="N/A"/>
    <n v="33"/>
    <s v="N/A"/>
    <x v="2"/>
    <x v="0"/>
  </r>
  <r>
    <n v="46"/>
    <n v="0"/>
    <n v="4"/>
    <n v="3"/>
    <n v="4"/>
    <n v="12.519753575728201"/>
    <n v="72"/>
    <n v="30"/>
    <n v="99"/>
    <x v="1"/>
    <x v="0"/>
    <d v="2024-01-01T00:00:00"/>
    <d v="2024-02-02T00:00:00"/>
    <d v="2024-02-21T00:00:00"/>
    <n v="32"/>
    <n v="19"/>
    <x v="0"/>
    <x v="0"/>
  </r>
  <r>
    <n v="23"/>
    <n v="1"/>
    <n v="3"/>
    <n v="0"/>
    <n v="5"/>
    <n v="35.260072688493302"/>
    <n v="49"/>
    <n v="46"/>
    <n v="32"/>
    <x v="1"/>
    <x v="1"/>
    <d v="2024-01-01T00:00:00"/>
    <d v="2024-02-03T00:00:00"/>
    <s v="N/A"/>
    <n v="33"/>
    <s v="N/A"/>
    <x v="2"/>
    <x v="0"/>
  </r>
  <r>
    <n v="48"/>
    <n v="0"/>
    <n v="4"/>
    <n v="3"/>
    <n v="2"/>
    <n v="50.0948570017622"/>
    <n v="80"/>
    <n v="5"/>
    <n v="35"/>
    <x v="1"/>
    <x v="0"/>
    <d v="2024-01-01T00:00:00"/>
    <d v="2024-02-03T00:00:00"/>
    <d v="2024-02-19T00:00:00"/>
    <n v="33"/>
    <n v="16"/>
    <x v="0"/>
    <x v="0"/>
  </r>
  <r>
    <n v="25"/>
    <n v="1"/>
    <n v="2"/>
    <n v="5"/>
    <n v="3"/>
    <n v="35.5552935026925"/>
    <n v="94"/>
    <n v="71"/>
    <n v="32"/>
    <x v="0"/>
    <x v="1"/>
    <d v="2024-01-01T00:00:00"/>
    <d v="2024-01-22T00:00:00"/>
    <s v="N/A"/>
    <n v="21"/>
    <s v="N/A"/>
    <x v="3"/>
    <x v="1"/>
  </r>
  <r>
    <n v="44"/>
    <n v="1"/>
    <n v="3"/>
    <n v="4"/>
    <n v="2"/>
    <n v="45.159652646180398"/>
    <n v="11"/>
    <n v="70"/>
    <n v="30"/>
    <x v="2"/>
    <x v="0"/>
    <d v="2024-01-01T00:00:00"/>
    <d v="2024-02-06T00:00:00"/>
    <d v="2024-03-07T00:00:00"/>
    <n v="36"/>
    <n v="30"/>
    <x v="0"/>
    <x v="0"/>
  </r>
  <r>
    <n v="20"/>
    <n v="1"/>
    <n v="3"/>
    <n v="13"/>
    <n v="4"/>
    <n v="48.409925337153297"/>
    <n v="22"/>
    <n v="33"/>
    <n v="20"/>
    <x v="2"/>
    <x v="0"/>
    <d v="2024-01-01T00:00:00"/>
    <d v="2024-02-11T00:00:00"/>
    <d v="2024-03-05T00:00:00"/>
    <n v="41"/>
    <n v="23"/>
    <x v="0"/>
    <x v="0"/>
  </r>
  <r>
    <n v="48"/>
    <n v="1"/>
    <n v="2"/>
    <n v="12"/>
    <n v="1"/>
    <n v="25.337552417615701"/>
    <n v="53"/>
    <n v="52"/>
    <n v="26"/>
    <x v="1"/>
    <x v="1"/>
    <d v="2024-01-01T00:00:00"/>
    <d v="2024-02-15T00:00:00"/>
    <s v="N/A"/>
    <n v="45"/>
    <s v="N/A"/>
    <x v="1"/>
    <x v="0"/>
  </r>
  <r>
    <n v="24"/>
    <n v="0"/>
    <n v="2"/>
    <n v="0"/>
    <n v="4"/>
    <n v="36.116248970985303"/>
    <n v="68"/>
    <n v="13"/>
    <n v="90"/>
    <x v="1"/>
    <x v="1"/>
    <d v="2024-01-01T00:00:00"/>
    <d v="2024-01-18T00:00:00"/>
    <s v="N/A"/>
    <n v="17"/>
    <s v="N/A"/>
    <x v="2"/>
    <x v="1"/>
  </r>
  <r>
    <n v="46"/>
    <n v="0"/>
    <n v="2"/>
    <n v="3"/>
    <n v="2"/>
    <n v="43.598462677792"/>
    <n v="99"/>
    <n v="15"/>
    <n v="71"/>
    <x v="1"/>
    <x v="0"/>
    <d v="2024-01-01T00:00:00"/>
    <d v="2024-02-06T00:00:00"/>
    <d v="2024-02-14T00:00:00"/>
    <n v="36"/>
    <n v="8"/>
    <x v="0"/>
    <x v="0"/>
  </r>
  <r>
    <n v="42"/>
    <n v="0"/>
    <n v="3"/>
    <n v="5"/>
    <n v="4"/>
    <n v="18.830445643719301"/>
    <n v="58"/>
    <n v="42"/>
    <n v="100"/>
    <x v="1"/>
    <x v="1"/>
    <d v="2024-01-01T00:00:00"/>
    <d v="2024-01-31T00:00:00"/>
    <s v="N/A"/>
    <n v="30"/>
    <s v="N/A"/>
    <x v="2"/>
    <x v="1"/>
  </r>
  <r>
    <n v="20"/>
    <n v="0"/>
    <n v="2"/>
    <n v="12"/>
    <n v="1"/>
    <n v="14.069865828019701"/>
    <n v="35"/>
    <n v="72"/>
    <n v="61"/>
    <x v="1"/>
    <x v="0"/>
    <d v="2024-01-01T00:00:00"/>
    <d v="2024-02-07T00:00:00"/>
    <d v="2024-02-14T00:00:00"/>
    <n v="37"/>
    <n v="7"/>
    <x v="0"/>
    <x v="0"/>
  </r>
  <r>
    <n v="49"/>
    <n v="0"/>
    <n v="1"/>
    <n v="14"/>
    <n v="5"/>
    <n v="48.329928638916897"/>
    <n v="2"/>
    <n v="73"/>
    <n v="95"/>
    <x v="0"/>
    <x v="1"/>
    <d v="2024-01-01T00:00:00"/>
    <d v="2024-02-10T00:00:00"/>
    <s v="N/A"/>
    <n v="40"/>
    <s v="N/A"/>
    <x v="3"/>
    <x v="0"/>
  </r>
  <r>
    <n v="23"/>
    <n v="0"/>
    <n v="2"/>
    <n v="9"/>
    <n v="2"/>
    <n v="37.315175018440897"/>
    <n v="57"/>
    <n v="80"/>
    <n v="25"/>
    <x v="1"/>
    <x v="0"/>
    <d v="2024-01-01T00:00:00"/>
    <d v="2024-01-24T00:00:00"/>
    <d v="2024-02-20T00:00:00"/>
    <n v="23"/>
    <n v="27"/>
    <x v="0"/>
    <x v="1"/>
  </r>
  <r>
    <n v="41"/>
    <n v="0"/>
    <n v="4"/>
    <n v="9"/>
    <n v="4"/>
    <n v="11.9841066687913"/>
    <n v="87"/>
    <n v="11"/>
    <n v="65"/>
    <x v="0"/>
    <x v="0"/>
    <d v="2024-01-01T00:00:00"/>
    <d v="2024-01-15T00:00:00"/>
    <d v="2024-02-13T00:00:00"/>
    <n v="14"/>
    <n v="29"/>
    <x v="0"/>
    <x v="1"/>
  </r>
  <r>
    <n v="21"/>
    <n v="1"/>
    <n v="3"/>
    <n v="13"/>
    <n v="2"/>
    <n v="23.454169633805598"/>
    <n v="54"/>
    <n v="69"/>
    <n v="11"/>
    <x v="0"/>
    <x v="0"/>
    <d v="2024-01-01T00:00:00"/>
    <d v="2024-02-04T00:00:00"/>
    <d v="2024-02-29T00:00:00"/>
    <n v="34"/>
    <n v="25"/>
    <x v="0"/>
    <x v="0"/>
  </r>
  <r>
    <n v="29"/>
    <n v="0"/>
    <n v="4"/>
    <n v="3"/>
    <n v="5"/>
    <n v="40.822588476890402"/>
    <n v="56"/>
    <n v="18"/>
    <n v="21"/>
    <x v="1"/>
    <x v="0"/>
    <d v="2024-01-01T00:00:00"/>
    <d v="2024-02-09T00:00:00"/>
    <d v="2024-03-02T00:00:00"/>
    <n v="39"/>
    <n v="22"/>
    <x v="0"/>
    <x v="0"/>
  </r>
  <r>
    <n v="24"/>
    <n v="0"/>
    <n v="2"/>
    <n v="14"/>
    <n v="4"/>
    <n v="28.353149545922101"/>
    <n v="16"/>
    <n v="40"/>
    <n v="16"/>
    <x v="1"/>
    <x v="0"/>
    <d v="2024-01-01T00:00:00"/>
    <d v="2024-01-17T00:00:00"/>
    <d v="2024-02-08T00:00:00"/>
    <n v="16"/>
    <n v="22"/>
    <x v="0"/>
    <x v="1"/>
  </r>
  <r>
    <n v="46"/>
    <n v="1"/>
    <n v="2"/>
    <n v="13"/>
    <n v="4"/>
    <n v="33.497604908294399"/>
    <n v="38"/>
    <n v="52"/>
    <n v="6"/>
    <x v="1"/>
    <x v="0"/>
    <d v="2024-01-01T00:00:00"/>
    <d v="2024-01-16T00:00:00"/>
    <d v="2024-01-31T00:00:00"/>
    <n v="15"/>
    <n v="15"/>
    <x v="0"/>
    <x v="1"/>
  </r>
  <r>
    <n v="29"/>
    <n v="0"/>
    <n v="1"/>
    <n v="8"/>
    <n v="2"/>
    <n v="38.688410102252597"/>
    <n v="89"/>
    <n v="28"/>
    <n v="67"/>
    <x v="1"/>
    <x v="0"/>
    <d v="2024-01-01T00:00:00"/>
    <d v="2024-01-17T00:00:00"/>
    <d v="2024-02-08T00:00:00"/>
    <n v="16"/>
    <n v="22"/>
    <x v="0"/>
    <x v="1"/>
  </r>
  <r>
    <n v="20"/>
    <n v="0"/>
    <n v="1"/>
    <n v="4"/>
    <n v="2"/>
    <n v="32.100459440449001"/>
    <n v="67"/>
    <n v="69"/>
    <n v="36"/>
    <x v="2"/>
    <x v="0"/>
    <d v="2024-01-01T00:00:00"/>
    <d v="2024-01-25T00:00:00"/>
    <d v="2024-02-03T00:00:00"/>
    <n v="24"/>
    <n v="9"/>
    <x v="0"/>
    <x v="1"/>
  </r>
  <r>
    <n v="41"/>
    <n v="1"/>
    <n v="1"/>
    <n v="7"/>
    <n v="1"/>
    <n v="28.0039660961097"/>
    <n v="54"/>
    <n v="58"/>
    <n v="37"/>
    <x v="1"/>
    <x v="1"/>
    <d v="2024-01-01T00:00:00"/>
    <d v="2024-01-17T00:00:00"/>
    <s v="N/A"/>
    <n v="16"/>
    <s v="N/A"/>
    <x v="1"/>
    <x v="1"/>
  </r>
  <r>
    <n v="25"/>
    <n v="0"/>
    <n v="2"/>
    <n v="8"/>
    <n v="5"/>
    <n v="38.480714219388602"/>
    <n v="44"/>
    <n v="88"/>
    <n v="95"/>
    <x v="1"/>
    <x v="1"/>
    <d v="2024-01-01T00:00:00"/>
    <d v="2024-01-19T00:00:00"/>
    <s v="N/A"/>
    <n v="18"/>
    <s v="N/A"/>
    <x v="3"/>
    <x v="1"/>
  </r>
  <r>
    <n v="32"/>
    <n v="0"/>
    <n v="1"/>
    <n v="9"/>
    <n v="1"/>
    <n v="37.37815177161"/>
    <n v="75"/>
    <n v="63"/>
    <n v="10"/>
    <x v="0"/>
    <x v="1"/>
    <d v="2024-01-01T00:00:00"/>
    <d v="2024-02-10T00:00:00"/>
    <s v="N/A"/>
    <n v="40"/>
    <s v="N/A"/>
    <x v="1"/>
    <x v="0"/>
  </r>
  <r>
    <n v="50"/>
    <n v="0"/>
    <n v="2"/>
    <n v="4"/>
    <n v="4"/>
    <n v="32.493620009158903"/>
    <n v="0"/>
    <n v="23"/>
    <n v="0"/>
    <x v="0"/>
    <x v="0"/>
    <d v="2024-01-01T00:00:00"/>
    <d v="2024-02-03T00:00:00"/>
    <d v="2024-02-22T00:00:00"/>
    <n v="33"/>
    <n v="19"/>
    <x v="0"/>
    <x v="0"/>
  </r>
  <r>
    <n v="34"/>
    <n v="1"/>
    <n v="4"/>
    <n v="5"/>
    <n v="2"/>
    <n v="18.989470669096399"/>
    <n v="20"/>
    <n v="88"/>
    <n v="24"/>
    <x v="1"/>
    <x v="0"/>
    <d v="2024-01-01T00:00:00"/>
    <d v="2024-01-26T00:00:00"/>
    <d v="2024-02-12T00:00:00"/>
    <n v="25"/>
    <n v="17"/>
    <x v="0"/>
    <x v="1"/>
  </r>
  <r>
    <n v="23"/>
    <n v="0"/>
    <n v="2"/>
    <n v="0"/>
    <n v="4"/>
    <n v="21.290604610013499"/>
    <n v="82"/>
    <n v="15"/>
    <n v="41"/>
    <x v="1"/>
    <x v="0"/>
    <d v="2024-01-01T00:00:00"/>
    <d v="2024-02-08T00:00:00"/>
    <d v="2024-02-26T00:00:00"/>
    <n v="38"/>
    <n v="18"/>
    <x v="0"/>
    <x v="0"/>
  </r>
  <r>
    <n v="32"/>
    <n v="0"/>
    <n v="3"/>
    <n v="10"/>
    <n v="4"/>
    <n v="49.521927444204799"/>
    <n v="20"/>
    <n v="51"/>
    <n v="51"/>
    <x v="1"/>
    <x v="1"/>
    <d v="2024-01-01T00:00:00"/>
    <d v="2024-01-31T00:00:00"/>
    <s v="N/A"/>
    <n v="30"/>
    <s v="N/A"/>
    <x v="1"/>
    <x v="1"/>
  </r>
  <r>
    <n v="43"/>
    <n v="1"/>
    <n v="2"/>
    <n v="15"/>
    <n v="3"/>
    <n v="6.6192966145762897"/>
    <n v="51"/>
    <n v="79"/>
    <n v="23"/>
    <x v="1"/>
    <x v="1"/>
    <d v="2024-01-01T00:00:00"/>
    <d v="2024-02-10T00:00:00"/>
    <s v="N/A"/>
    <n v="40"/>
    <s v="N/A"/>
    <x v="3"/>
    <x v="0"/>
  </r>
  <r>
    <n v="39"/>
    <n v="0"/>
    <n v="2"/>
    <n v="11"/>
    <n v="3"/>
    <n v="14.425245862641701"/>
    <n v="81"/>
    <n v="5"/>
    <n v="52"/>
    <x v="1"/>
    <x v="1"/>
    <d v="2024-01-01T00:00:00"/>
    <d v="2024-02-10T00:00:00"/>
    <s v="N/A"/>
    <n v="40"/>
    <s v="N/A"/>
    <x v="2"/>
    <x v="0"/>
  </r>
  <r>
    <n v="43"/>
    <n v="1"/>
    <n v="2"/>
    <n v="14"/>
    <n v="4"/>
    <n v="25.620087960216701"/>
    <n v="42"/>
    <n v="36"/>
    <n v="55"/>
    <x v="0"/>
    <x v="1"/>
    <d v="2024-01-01T00:00:00"/>
    <d v="2024-01-24T00:00:00"/>
    <s v="N/A"/>
    <n v="23"/>
    <s v="N/A"/>
    <x v="2"/>
    <x v="1"/>
  </r>
  <r>
    <n v="34"/>
    <n v="1"/>
    <n v="1"/>
    <n v="6"/>
    <n v="2"/>
    <n v="42.836484307189203"/>
    <n v="51"/>
    <n v="84"/>
    <n v="62"/>
    <x v="0"/>
    <x v="1"/>
    <d v="2024-01-01T00:00:00"/>
    <d v="2024-01-30T00:00:00"/>
    <s v="N/A"/>
    <n v="29"/>
    <s v="N/A"/>
    <x v="3"/>
    <x v="1"/>
  </r>
  <r>
    <n v="48"/>
    <n v="0"/>
    <n v="2"/>
    <n v="3"/>
    <n v="4"/>
    <n v="9.1837831864863908"/>
    <n v="66"/>
    <n v="3"/>
    <n v="80"/>
    <x v="2"/>
    <x v="0"/>
    <d v="2024-01-01T00:00:00"/>
    <d v="2024-01-28T00:00:00"/>
    <d v="2024-02-07T00:00:00"/>
    <n v="27"/>
    <n v="10"/>
    <x v="0"/>
    <x v="1"/>
  </r>
  <r>
    <n v="27"/>
    <n v="1"/>
    <n v="2"/>
    <n v="10"/>
    <n v="3"/>
    <n v="14.847730906230399"/>
    <n v="43"/>
    <n v="97"/>
    <n v="7"/>
    <x v="1"/>
    <x v="1"/>
    <d v="2024-01-01T00:00:00"/>
    <d v="2024-01-21T00:00:00"/>
    <s v="N/A"/>
    <n v="20"/>
    <s v="N/A"/>
    <x v="3"/>
    <x v="1"/>
  </r>
  <r>
    <n v="24"/>
    <n v="1"/>
    <n v="1"/>
    <n v="1"/>
    <n v="2"/>
    <n v="4.2899108897619396"/>
    <n v="31"/>
    <n v="91"/>
    <n v="58"/>
    <x v="0"/>
    <x v="0"/>
    <d v="2024-01-01T00:00:00"/>
    <d v="2024-02-04T00:00:00"/>
    <d v="2024-02-29T00:00:00"/>
    <n v="34"/>
    <n v="25"/>
    <x v="0"/>
    <x v="0"/>
  </r>
  <r>
    <n v="48"/>
    <n v="0"/>
    <n v="2"/>
    <n v="4"/>
    <n v="4"/>
    <n v="36.299263302540901"/>
    <n v="9"/>
    <n v="37"/>
    <n v="44"/>
    <x v="1"/>
    <x v="0"/>
    <d v="2024-01-01T00:00:00"/>
    <d v="2024-02-12T00:00:00"/>
    <d v="2024-03-11T00:00:00"/>
    <n v="42"/>
    <n v="28"/>
    <x v="0"/>
    <x v="0"/>
  </r>
  <r>
    <n v="34"/>
    <n v="1"/>
    <n v="2"/>
    <n v="11"/>
    <n v="5"/>
    <n v="12.910471773780801"/>
    <n v="63"/>
    <n v="40"/>
    <n v="26"/>
    <x v="1"/>
    <x v="0"/>
    <d v="2024-01-01T00:00:00"/>
    <d v="2024-01-31T00:00:00"/>
    <d v="2024-02-07T00:00:00"/>
    <n v="30"/>
    <n v="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24D34-CC72-4CF5-AC79-E4FDF1B8FB34}"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H6" firstHeaderRow="1" firstDataRow="2" firstDataCol="1"/>
  <pivotFields count="18">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showAll="0">
      <items count="3">
        <item x="1"/>
        <item x="0"/>
        <item t="default"/>
      </items>
    </pivotField>
    <pivotField numFmtId="166" showAll="0"/>
    <pivotField numFmtId="166" showAll="0"/>
    <pivotField showAll="0"/>
    <pivotField numFmtId="2" showAll="0"/>
    <pivotField showAll="0"/>
    <pivotField showAll="0"/>
    <pivotField showAll="0">
      <items count="3">
        <item x="0"/>
        <item x="1"/>
        <item t="default"/>
      </items>
    </pivotField>
  </pivotFields>
  <rowFields count="1">
    <field x="9"/>
  </rowFields>
  <rowItems count="4">
    <i>
      <x/>
    </i>
    <i>
      <x v="1"/>
    </i>
    <i>
      <x v="2"/>
    </i>
    <i t="grand">
      <x/>
    </i>
  </rowItems>
  <colFields count="1">
    <field x="10"/>
  </colFields>
  <colItems count="3">
    <i>
      <x/>
    </i>
    <i>
      <x v="1"/>
    </i>
    <i t="grand">
      <x/>
    </i>
  </colItems>
  <dataFields count="1">
    <dataField name="Count of Age" fld="0" subtotal="count" baseField="9" baseItem="0"/>
  </dataFields>
  <chartFormats count="2">
    <chartFormat chart="3" format="2" series="1">
      <pivotArea type="data" outline="0" fieldPosition="0">
        <references count="2">
          <reference field="4294967294" count="1" selected="0">
            <x v="0"/>
          </reference>
          <reference field="10" count="1" selected="0">
            <x v="0"/>
          </reference>
        </references>
      </pivotArea>
    </chartFormat>
    <chartFormat chart="3"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57F16-0F4C-421E-87F7-B538994DB75F}"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8">
    <pivotField dataField="1"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3">
        <item x="1"/>
        <item x="0"/>
        <item t="default"/>
      </items>
    </pivotField>
    <pivotField numFmtId="166" showAll="0"/>
    <pivotField numFmtId="166" showAll="0"/>
    <pivotField showAll="0"/>
    <pivotField numFmtId="2" showAll="0"/>
    <pivotField showAll="0"/>
    <pivotField axis="axisRow" showAll="0">
      <items count="5">
        <item x="2"/>
        <item x="1"/>
        <item x="3"/>
        <item x="0"/>
        <item t="default"/>
      </items>
    </pivotField>
    <pivotField showAll="0">
      <items count="3">
        <item x="0"/>
        <item x="1"/>
        <item t="default"/>
      </items>
    </pivotField>
  </pivotFields>
  <rowFields count="1">
    <field x="16"/>
  </rowFields>
  <rowItems count="5">
    <i>
      <x/>
    </i>
    <i>
      <x v="1"/>
    </i>
    <i>
      <x v="2"/>
    </i>
    <i>
      <x v="3"/>
    </i>
    <i t="grand">
      <x/>
    </i>
  </rowItems>
  <colItems count="1">
    <i/>
  </colItems>
  <dataFields count="1">
    <dataField name="Candidates" fld="0" subtotal="count" baseField="16" baseItem="0"/>
  </dataFields>
  <formats count="2">
    <format dxfId="15">
      <pivotArea dataOnly="0" labelOnly="1" fieldPosition="0">
        <references count="1">
          <reference field="16" count="1">
            <x v="0"/>
          </reference>
        </references>
      </pivotArea>
    </format>
    <format dxfId="16">
      <pivotArea field="1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D72CD2-BF80-4360-93E5-C8C3C021ED7E}"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L4" firstHeaderRow="1" firstDataRow="1" firstDataCol="1"/>
  <pivotFields count="18">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3">
        <item x="1"/>
        <item x="0"/>
        <item t="default"/>
      </items>
    </pivotField>
    <pivotField numFmtId="166" showAll="0"/>
    <pivotField numFmtId="166" showAll="0"/>
    <pivotField showAll="0"/>
    <pivotField dataField="1" numFmtId="2"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Average of Days_to_offer" fld="14" subtotal="average" baseField="17" baseItem="0" numFmtId="2"/>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Monthly Avg Days to Offer"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DED301-627D-4E11-82AF-43285208AAA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numFmtId="2" showAll="0"/>
    <pivotField showAll="0"/>
    <pivotField axis="axisRow" showAll="0">
      <items count="5">
        <item x="2"/>
        <item x="1"/>
        <item x="3"/>
        <item x="0"/>
        <item t="default"/>
      </items>
    </pivotField>
    <pivotField showAll="0"/>
  </pivotFields>
  <rowFields count="1">
    <field x="16"/>
  </rowFields>
  <rowItems count="5">
    <i>
      <x/>
    </i>
    <i>
      <x v="1"/>
    </i>
    <i>
      <x v="2"/>
    </i>
    <i>
      <x v="3"/>
    </i>
    <i t="grand">
      <x/>
    </i>
  </rowItems>
  <colItems count="1">
    <i/>
  </colItems>
  <dataFields count="1">
    <dataField name="Count of Age" fld="0" subtotal="count" baseField="16" baseItem="0"/>
  </dataFields>
  <formats count="2">
    <format dxfId="30">
      <pivotArea dataOnly="0" labelOnly="1" fieldPosition="0">
        <references count="1">
          <reference field="16" count="1">
            <x v="0"/>
          </reference>
        </references>
      </pivotArea>
    </format>
    <format dxfId="29">
      <pivotArea field="1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trategy" xr10:uid="{C7B02A88-8324-459F-A2F9-2FF8C49AF8FE}" sourceName="RecruitmentStrategy">
  <pivotTables>
    <pivotTable tabId="5" name="PivotTable9"/>
    <pivotTable tabId="5" name="PivotTable5"/>
    <pivotTable tabId="5" name="PivotTable7"/>
  </pivotTables>
  <data>
    <tabular pivotCacheId="6702723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Decision" xr10:uid="{900ACA40-3C70-4857-8803-0B3E5C9D2D40}" sourceName="HiringDecision">
  <pivotTables>
    <pivotTable tabId="5" name="PivotTable9"/>
    <pivotTable tabId="5" name="PivotTable5"/>
    <pivotTable tabId="5" name="PivotTable7"/>
  </pivotTables>
  <data>
    <tabular pivotCacheId="6702723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DF04DA-3223-4654-BF49-36A96C63D828}" sourceName="Month">
  <pivotTables>
    <pivotTable tabId="5" name="PivotTable9"/>
    <pivotTable tabId="5" name="PivotTable5"/>
    <pivotTable tabId="5" name="PivotTable7"/>
  </pivotTables>
  <data>
    <tabular pivotCacheId="6702723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ruitmentStrategy" xr10:uid="{9F691CA8-F7F2-4CD7-9F2F-A40263A19BE9}" cache="Slicer_RecruitmentStrategy" caption="RecruitmentStrategy" style="SlicerStyleDark1" rowHeight="234950"/>
  <slicer name="HiringDecision" xr10:uid="{3BA08BBE-002F-4E9D-91D5-647A506B541D}" cache="Slicer_HiringDecision" caption="HiringDecision" style="SlicerStyleDark1" rowHeight="234950"/>
  <slicer name="Month" xr10:uid="{0C9BA241-F761-46E1-835C-B341CAA3ADDC}" cache="Slicer_Month" caption="Month"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D904A1-22D6-489E-8A6D-62409AD1CBAF}" name="RecruitmentData" displayName="RecruitmentData" ref="A1:R1502" totalsRowCount="1">
  <autoFilter ref="A1:R1501" xr:uid="{1BD904A1-22D6-489E-8A6D-62409AD1CBAF}"/>
  <tableColumns count="18">
    <tableColumn id="1" xr3:uid="{20D5E3F1-9C3D-479D-B8B9-3AA9FA9E2797}" name="Age"/>
    <tableColumn id="2" xr3:uid="{7759C48C-A1FF-44BF-9884-C1939F537B50}" name="Gender"/>
    <tableColumn id="3" xr3:uid="{FDC14F4A-3E47-416C-9468-C534D7264F91}" name="EducationLevel"/>
    <tableColumn id="4" xr3:uid="{E0EA899A-4D8B-4BB2-AA0A-049898BE7C30}" name="ExperienceYears"/>
    <tableColumn id="5" xr3:uid="{9E504E45-E407-4DAF-BE52-02A1560BD755}" name="PreviousCompanies"/>
    <tableColumn id="6" xr3:uid="{885DCA51-23F3-4351-8965-70F0E751B890}" name="DistanceFromCompany"/>
    <tableColumn id="7" xr3:uid="{A5B50ABE-F373-4007-8E54-E6E5952F892B}" name="InterviewScore"/>
    <tableColumn id="8" xr3:uid="{C248E118-A72E-40E2-BEC6-835C2A61E6CC}" name="SkillScore"/>
    <tableColumn id="9" xr3:uid="{3978251C-0714-46A0-8E03-34B119769A2F}" name="PersonalityScore"/>
    <tableColumn id="10" xr3:uid="{6EECD3F4-218D-43A8-80E1-85F488A39CAD}" name="RecruitmentStrategy"/>
    <tableColumn id="11" xr3:uid="{01723DE9-CD69-4C70-ACFA-45FD2CA01A5F}" name="HiringDecision"/>
    <tableColumn id="14" xr3:uid="{45861213-A697-4180-BC32-245E25E70E14}" name="Application_Date" dataDxfId="28" totalsRowDxfId="21">
      <calculatedColumnFormula>DATE(2024,1,1)</calculatedColumnFormula>
    </tableColumn>
    <tableColumn id="15" xr3:uid="{19722A08-1076-41FD-BDA6-DF981E229AE6}" name="Offer_Date" dataDxfId="27" totalsRowDxfId="20">
      <calculatedColumnFormula>L2+RANDBETWEEN(14,45)</calculatedColumnFormula>
    </tableColumn>
    <tableColumn id="16" xr3:uid="{957B294F-0296-4312-8BD4-19A0C3E9A598}" name="Join_Date" dataDxfId="26" totalsRowDxfId="19">
      <calculatedColumnFormula>IF(K2=1, M2+RANDBETWEEN(7,30), "N/A")</calculatedColumnFormula>
    </tableColumn>
    <tableColumn id="17" xr3:uid="{45628873-3DE3-4ED5-911E-F27044DFCDB0}" name="Days_to_offer" dataDxfId="25" totalsRowDxfId="18">
      <calculatedColumnFormula>IF(AND(M2&lt;&gt;"",L2&lt;&gt;""), M2-L2, "N/A")</calculatedColumnFormula>
    </tableColumn>
    <tableColumn id="18" xr3:uid="{F30E83ED-259E-4654-B262-000AE0CFFF0B}" name="Days_to_Join" totalsRowFunction="custom" dataDxfId="24" totalsRowDxfId="17">
      <totalsRowFormula>AVERAGEIF(P2:P1501, "&lt;&gt;N/A")</totalsRowFormula>
    </tableColumn>
    <tableColumn id="19" xr3:uid="{FB86A456-4AAC-4F02-9099-3FB1145A74C6}" name="Funnel_Stage_Drop" dataDxfId="23">
      <calculatedColumnFormula>IF(K2=1,"Joined",IF(H2&gt;=70,"Dropped at Offer",IF(H2&gt;=50,"Dropped at Interview","Dropped at Screening")))</calculatedColumnFormula>
    </tableColumn>
    <tableColumn id="20" xr3:uid="{2191F081-F9C1-4F4A-A4B9-CD4DBB38EBFD}" name="Month" dataDxfId="22">
      <calculatedColumnFormula>TEXT(M2,"MMM-YYYY")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FFEF-DAE9-49BD-9D3C-75448A77F7EF}">
  <dimension ref="A1:L12"/>
  <sheetViews>
    <sheetView zoomScale="80" workbookViewId="0">
      <selection activeCell="L29" sqref="L29"/>
    </sheetView>
  </sheetViews>
  <sheetFormatPr defaultRowHeight="14.4"/>
  <cols>
    <col min="1" max="1" width="19.6640625" bestFit="1" customWidth="1"/>
    <col min="2" max="2" width="10.5546875" bestFit="1" customWidth="1"/>
    <col min="5" max="5" width="13.33203125" bestFit="1" customWidth="1"/>
    <col min="6" max="6" width="16.33203125" bestFit="1" customWidth="1"/>
    <col min="7" max="7" width="4" bestFit="1" customWidth="1"/>
    <col min="8" max="8" width="11" bestFit="1" customWidth="1"/>
    <col min="11" max="11" width="13.33203125" bestFit="1" customWidth="1"/>
    <col min="12" max="12" width="23.21875" bestFit="1" customWidth="1"/>
  </cols>
  <sheetData>
    <row r="1" spans="1:12">
      <c r="A1" s="11" t="s">
        <v>17</v>
      </c>
      <c r="B1" t="s">
        <v>52</v>
      </c>
      <c r="E1" s="4" t="s">
        <v>23</v>
      </c>
      <c r="F1" s="4" t="s">
        <v>53</v>
      </c>
      <c r="K1" s="4" t="s">
        <v>17</v>
      </c>
      <c r="L1" t="s">
        <v>40</v>
      </c>
    </row>
    <row r="2" spans="1:12">
      <c r="A2" s="10" t="s">
        <v>20</v>
      </c>
      <c r="B2" s="6">
        <v>553</v>
      </c>
      <c r="E2" s="4" t="s">
        <v>17</v>
      </c>
      <c r="F2">
        <v>0</v>
      </c>
      <c r="G2">
        <v>1</v>
      </c>
      <c r="H2" t="s">
        <v>22</v>
      </c>
      <c r="K2" s="5" t="s">
        <v>38</v>
      </c>
      <c r="L2" s="3">
        <v>37.616457461645744</v>
      </c>
    </row>
    <row r="3" spans="1:12">
      <c r="A3" s="5" t="s">
        <v>18</v>
      </c>
      <c r="B3" s="6">
        <v>197</v>
      </c>
      <c r="E3" s="5">
        <v>1</v>
      </c>
      <c r="F3" s="6">
        <v>126</v>
      </c>
      <c r="G3" s="6">
        <v>319</v>
      </c>
      <c r="H3" s="6">
        <v>445</v>
      </c>
      <c r="K3" s="5" t="s">
        <v>39</v>
      </c>
      <c r="L3" s="3">
        <v>21.883780332056194</v>
      </c>
    </row>
    <row r="4" spans="1:12">
      <c r="A4" s="5" t="s">
        <v>19</v>
      </c>
      <c r="B4" s="6">
        <v>285</v>
      </c>
      <c r="E4" s="5">
        <v>2</v>
      </c>
      <c r="F4" s="6">
        <v>665</v>
      </c>
      <c r="G4" s="6">
        <v>105</v>
      </c>
      <c r="H4" s="6">
        <v>770</v>
      </c>
      <c r="K4" s="5" t="s">
        <v>22</v>
      </c>
      <c r="L4" s="3">
        <v>29.404</v>
      </c>
    </row>
    <row r="5" spans="1:12">
      <c r="A5" s="5" t="s">
        <v>21</v>
      </c>
      <c r="B5" s="6">
        <v>465</v>
      </c>
      <c r="E5" s="5">
        <v>3</v>
      </c>
      <c r="F5" s="6">
        <v>244</v>
      </c>
      <c r="G5" s="6">
        <v>41</v>
      </c>
      <c r="H5" s="6">
        <v>285</v>
      </c>
    </row>
    <row r="6" spans="1:12">
      <c r="A6" s="5" t="s">
        <v>22</v>
      </c>
      <c r="B6" s="6">
        <v>1500</v>
      </c>
      <c r="E6" s="5" t="s">
        <v>22</v>
      </c>
      <c r="F6" s="6">
        <v>1035</v>
      </c>
      <c r="G6" s="6">
        <v>465</v>
      </c>
      <c r="H6" s="6">
        <v>1500</v>
      </c>
    </row>
    <row r="8" spans="1:12" ht="28.8">
      <c r="A8" s="10" t="s">
        <v>20</v>
      </c>
      <c r="B8" s="6">
        <v>553</v>
      </c>
    </row>
    <row r="9" spans="1:12">
      <c r="A9" s="5" t="s">
        <v>18</v>
      </c>
      <c r="B9" s="6">
        <v>197</v>
      </c>
    </row>
    <row r="10" spans="1:12">
      <c r="A10" s="5" t="s">
        <v>19</v>
      </c>
      <c r="B10" s="6">
        <v>285</v>
      </c>
    </row>
    <row r="11" spans="1:12">
      <c r="A11" s="5" t="s">
        <v>21</v>
      </c>
      <c r="B11" s="6">
        <v>465</v>
      </c>
    </row>
    <row r="12" spans="1:12">
      <c r="A12" s="14" t="s">
        <v>22</v>
      </c>
      <c r="B12" s="15">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95C8-4376-4EBD-A001-9D6EA376471A}">
  <dimension ref="B2:J4"/>
  <sheetViews>
    <sheetView showGridLines="0" zoomScale="75" workbookViewId="0">
      <selection activeCell="V20" sqref="V20"/>
    </sheetView>
  </sheetViews>
  <sheetFormatPr defaultRowHeight="14.4"/>
  <sheetData>
    <row r="2" spans="2:10" ht="26.4">
      <c r="B2" s="13" t="s">
        <v>54</v>
      </c>
    </row>
    <row r="3" spans="2:10">
      <c r="D3" s="16" t="s">
        <v>55</v>
      </c>
      <c r="G3" s="17" t="s">
        <v>50</v>
      </c>
      <c r="J3" s="17" t="s">
        <v>43</v>
      </c>
    </row>
    <row r="4" spans="2:10">
      <c r="D4">
        <f>COUNTIF(RecruitmentData[HiringDecision],1)/1500*100</f>
        <v>31</v>
      </c>
      <c r="G4">
        <f ca="1">AVERAGE(RecruitmentData[Days_to_offer])</f>
        <v>29.333333333333332</v>
      </c>
      <c r="J4" s="18">
        <f>AVERAGEIF(RecruitmentData[HiringDecision],1,RecruitmentData[InterviewScore])</f>
        <v>56.8</v>
      </c>
    </row>
  </sheetData>
  <sheetProtection selectLockedCells="1" pivotTables="0" selectUnlockedCells="1"/>
  <conditionalFormatting sqref="D4">
    <cfRule type="iconSet" priority="1">
      <iconSet iconSet="3TrafficLights2">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98C5-4987-4442-B983-B2A542910355}">
  <dimension ref="A1:AC1502"/>
  <sheetViews>
    <sheetView tabSelected="1" zoomScale="76" zoomScaleNormal="63" workbookViewId="0">
      <selection activeCell="K1" sqref="K1"/>
    </sheetView>
  </sheetViews>
  <sheetFormatPr defaultRowHeight="14.4"/>
  <cols>
    <col min="2" max="2" width="9" customWidth="1"/>
    <col min="3" max="3" width="15.6640625" customWidth="1"/>
    <col min="4" max="4" width="16.44140625" customWidth="1"/>
    <col min="5" max="5" width="19.44140625" customWidth="1"/>
    <col min="6" max="6" width="22.44140625" customWidth="1"/>
    <col min="7" max="7" width="15.44140625" customWidth="1"/>
    <col min="8" max="8" width="10.88671875" customWidth="1"/>
    <col min="9" max="9" width="16.88671875" customWidth="1"/>
    <col min="10" max="10" width="20.21875" customWidth="1"/>
    <col min="11" max="11" width="14.77734375" customWidth="1"/>
    <col min="12" max="14" width="10.33203125" bestFit="1" customWidth="1"/>
    <col min="16" max="16" width="10.33203125" bestFit="1" customWidth="1"/>
    <col min="22" max="22" width="26.77734375" bestFit="1" customWidth="1"/>
    <col min="23" max="23" width="16.88671875" customWidth="1"/>
    <col min="24" max="24" width="22.109375" bestFit="1" customWidth="1"/>
    <col min="25" max="25" width="13.77734375" customWidth="1"/>
    <col min="26" max="27" width="20.77734375" customWidth="1"/>
    <col min="28" max="28" width="22.109375" bestFit="1" customWidth="1"/>
    <col min="29" max="29" width="12.33203125" bestFit="1" customWidth="1"/>
  </cols>
  <sheetData>
    <row r="1" spans="1:29" ht="15" thickBot="1">
      <c r="A1" t="s">
        <v>0</v>
      </c>
      <c r="B1" t="s">
        <v>1</v>
      </c>
      <c r="C1" t="s">
        <v>2</v>
      </c>
      <c r="D1" t="s">
        <v>3</v>
      </c>
      <c r="E1" t="s">
        <v>4</v>
      </c>
      <c r="F1" t="s">
        <v>5</v>
      </c>
      <c r="G1" t="s">
        <v>6</v>
      </c>
      <c r="H1" t="s">
        <v>7</v>
      </c>
      <c r="I1" t="s">
        <v>8</v>
      </c>
      <c r="J1" t="s">
        <v>9</v>
      </c>
      <c r="K1" t="s">
        <v>10</v>
      </c>
      <c r="L1" t="s">
        <v>11</v>
      </c>
      <c r="M1" t="s">
        <v>12</v>
      </c>
      <c r="N1" t="s">
        <v>13</v>
      </c>
      <c r="O1" t="s">
        <v>14</v>
      </c>
      <c r="P1" t="s">
        <v>15</v>
      </c>
      <c r="Q1" t="s">
        <v>16</v>
      </c>
      <c r="R1" t="s">
        <v>37</v>
      </c>
      <c r="W1" s="7" t="s">
        <v>26</v>
      </c>
      <c r="X1" s="7" t="s">
        <v>27</v>
      </c>
      <c r="Y1" s="7" t="s">
        <v>28</v>
      </c>
    </row>
    <row r="2" spans="1:29" ht="15" thickBot="1">
      <c r="A2">
        <v>26</v>
      </c>
      <c r="B2">
        <v>1</v>
      </c>
      <c r="C2">
        <v>2</v>
      </c>
      <c r="D2">
        <v>0</v>
      </c>
      <c r="E2">
        <v>3</v>
      </c>
      <c r="F2">
        <v>26.783827553853602</v>
      </c>
      <c r="G2">
        <v>48</v>
      </c>
      <c r="H2">
        <v>78</v>
      </c>
      <c r="I2">
        <v>91</v>
      </c>
      <c r="J2">
        <v>1</v>
      </c>
      <c r="K2">
        <v>1</v>
      </c>
      <c r="L2" s="2">
        <f t="shared" ref="L2:L65" si="0">DATE(2024,1,1)</f>
        <v>45292</v>
      </c>
      <c r="M2" s="2">
        <f t="shared" ref="M2:M65" ca="1" si="1">L2+RANDBETWEEN(14,45)</f>
        <v>45328</v>
      </c>
      <c r="N2" s="2">
        <f t="shared" ref="N2:N65" ca="1" si="2">IF(K2=1, M2+RANDBETWEEN(7,30), "N/A")</f>
        <v>45356</v>
      </c>
      <c r="O2" s="3">
        <f t="shared" ref="O2:O65" ca="1" si="3">IF(AND(M2&lt;&gt;"",L2&lt;&gt;""), M2-L2, "N/A")</f>
        <v>36</v>
      </c>
      <c r="P2" s="3">
        <f ca="1">IF(AND(K2=1, N2&lt;&gt;"", M2&lt;&gt;""), N2 - M2, "N/A")</f>
        <v>28</v>
      </c>
      <c r="Q2" s="1" t="str">
        <f>IF(K2=1,"Joined",IF(H2&gt;=70,"Dropped at Offer",IF(H2&gt;=50,"Dropped at Interview","Dropped at Screening")))</f>
        <v>Joined</v>
      </c>
      <c r="R2" s="1" t="str">
        <f t="shared" ref="R2:R65" ca="1" si="4">TEXT(M2,"MMM-YYYY")</f>
        <v>Feb-2024</v>
      </c>
      <c r="W2" s="9" t="s">
        <v>24</v>
      </c>
      <c r="X2" s="9" t="s">
        <v>25</v>
      </c>
      <c r="Y2" s="12" t="s">
        <v>29</v>
      </c>
    </row>
    <row r="3" spans="1:29" ht="27" thickBot="1">
      <c r="A3">
        <v>39</v>
      </c>
      <c r="B3">
        <v>1</v>
      </c>
      <c r="C3">
        <v>4</v>
      </c>
      <c r="D3">
        <v>12</v>
      </c>
      <c r="E3">
        <v>3</v>
      </c>
      <c r="F3">
        <v>25.862694329543899</v>
      </c>
      <c r="G3">
        <v>35</v>
      </c>
      <c r="H3">
        <v>68</v>
      </c>
      <c r="I3">
        <v>80</v>
      </c>
      <c r="J3">
        <v>2</v>
      </c>
      <c r="K3">
        <v>1</v>
      </c>
      <c r="L3" s="2">
        <f t="shared" si="0"/>
        <v>45292</v>
      </c>
      <c r="M3" s="2">
        <f t="shared" ca="1" si="1"/>
        <v>45337</v>
      </c>
      <c r="N3" s="2">
        <f t="shared" ca="1" si="2"/>
        <v>45349</v>
      </c>
      <c r="O3" s="3">
        <f t="shared" ca="1" si="3"/>
        <v>45</v>
      </c>
      <c r="P3" s="3">
        <f t="shared" ref="P3:P65" ca="1" si="5">IF(AND(K3=1, N3&lt;&gt;"", M3&lt;&gt;""), N3 - M3, "N/A")</f>
        <v>12</v>
      </c>
      <c r="Q3" s="1" t="str">
        <f>IF(K3=1,"Joined",IF(H3&gt;=70,"Dropped at Offer",IF(H3&gt;=50,"Dropped at Interview","Dropped at Screening")))</f>
        <v>Joined</v>
      </c>
      <c r="R3" s="1" t="str">
        <f t="shared" ca="1" si="4"/>
        <v>Feb-2024</v>
      </c>
      <c r="W3" s="9" t="s">
        <v>20</v>
      </c>
      <c r="X3" s="9">
        <f>COUNTIF(Q2:Q1501,"Dropped at Screening")</f>
        <v>553</v>
      </c>
      <c r="Y3" s="12">
        <f>X3/1500*100</f>
        <v>36.866666666666667</v>
      </c>
      <c r="AB3" s="11" t="s">
        <v>17</v>
      </c>
      <c r="AC3" t="s">
        <v>23</v>
      </c>
    </row>
    <row r="4" spans="1:29" ht="27" thickBot="1">
      <c r="A4">
        <v>48</v>
      </c>
      <c r="B4">
        <v>0</v>
      </c>
      <c r="C4">
        <v>2</v>
      </c>
      <c r="D4">
        <v>3</v>
      </c>
      <c r="E4">
        <v>2</v>
      </c>
      <c r="F4">
        <v>9.9208048281747807</v>
      </c>
      <c r="G4">
        <v>20</v>
      </c>
      <c r="H4">
        <v>67</v>
      </c>
      <c r="I4">
        <v>13</v>
      </c>
      <c r="J4">
        <v>2</v>
      </c>
      <c r="K4">
        <v>0</v>
      </c>
      <c r="L4" s="2">
        <f t="shared" si="0"/>
        <v>45292</v>
      </c>
      <c r="M4" s="2">
        <f t="shared" ca="1" si="1"/>
        <v>45336</v>
      </c>
      <c r="N4" s="2" t="str">
        <f t="shared" ca="1" si="2"/>
        <v>N/A</v>
      </c>
      <c r="O4" s="3">
        <f t="shared" ca="1" si="3"/>
        <v>44</v>
      </c>
      <c r="P4" s="3" t="str">
        <f t="shared" ca="1" si="5"/>
        <v>N/A</v>
      </c>
      <c r="Q4" s="1" t="str">
        <f>IF(K4=1,"Joined",IF(H4&gt;=70,"Dropped at Offer",IF(H4&gt;=50,"Dropped at Interview","Dropped at Screening")))</f>
        <v>Dropped at Interview</v>
      </c>
      <c r="R4" s="1" t="str">
        <f t="shared" ca="1" si="4"/>
        <v>Feb-2024</v>
      </c>
      <c r="W4" s="9" t="s">
        <v>18</v>
      </c>
      <c r="X4" s="9">
        <f>COUNTIF(Q2:Q1501,"Dropped at Interview")</f>
        <v>197</v>
      </c>
      <c r="Y4" s="12">
        <f>X4/1500*100</f>
        <v>13.133333333333333</v>
      </c>
      <c r="AB4" s="10" t="s">
        <v>20</v>
      </c>
      <c r="AC4" s="6">
        <v>553</v>
      </c>
    </row>
    <row r="5" spans="1:29" ht="15" customHeight="1" thickBot="1">
      <c r="A5">
        <v>34</v>
      </c>
      <c r="B5">
        <v>1</v>
      </c>
      <c r="C5">
        <v>2</v>
      </c>
      <c r="D5">
        <v>5</v>
      </c>
      <c r="E5">
        <v>2</v>
      </c>
      <c r="F5">
        <v>6.4077507286678301</v>
      </c>
      <c r="G5">
        <v>36</v>
      </c>
      <c r="H5">
        <v>27</v>
      </c>
      <c r="I5">
        <v>70</v>
      </c>
      <c r="J5">
        <v>3</v>
      </c>
      <c r="K5">
        <v>0</v>
      </c>
      <c r="L5" s="2">
        <f t="shared" si="0"/>
        <v>45292</v>
      </c>
      <c r="M5" s="2">
        <f t="shared" ca="1" si="1"/>
        <v>45333</v>
      </c>
      <c r="N5" s="2" t="str">
        <f t="shared" ca="1" si="2"/>
        <v>N/A</v>
      </c>
      <c r="O5" s="3">
        <f t="shared" ca="1" si="3"/>
        <v>41</v>
      </c>
      <c r="P5" s="3" t="str">
        <f t="shared" ca="1" si="5"/>
        <v>N/A</v>
      </c>
      <c r="Q5" s="1" t="str">
        <f>IF(K5=1,"Joined",IF(H5&gt;=70,"Dropped at Offer",IF(H5&gt;=50,"Dropped at Interview","Dropped at Screening")))</f>
        <v>Dropped at Screening</v>
      </c>
      <c r="R5" s="1" t="str">
        <f t="shared" ca="1" si="4"/>
        <v>Feb-2024</v>
      </c>
      <c r="W5" s="9" t="s">
        <v>19</v>
      </c>
      <c r="X5" s="9">
        <f>COUNTIF(Q2:Q1501,"Dropped at Offer")</f>
        <v>285</v>
      </c>
      <c r="Y5" s="12">
        <f>X5/1500*100</f>
        <v>19</v>
      </c>
      <c r="AB5" s="5" t="s">
        <v>18</v>
      </c>
      <c r="AC5" s="6">
        <v>197</v>
      </c>
    </row>
    <row r="6" spans="1:29" ht="15" customHeight="1" thickBot="1">
      <c r="A6">
        <v>30</v>
      </c>
      <c r="B6">
        <v>0</v>
      </c>
      <c r="C6">
        <v>1</v>
      </c>
      <c r="D6">
        <v>6</v>
      </c>
      <c r="E6">
        <v>1</v>
      </c>
      <c r="F6">
        <v>43.105343124175498</v>
      </c>
      <c r="G6">
        <v>23</v>
      </c>
      <c r="H6">
        <v>52</v>
      </c>
      <c r="I6">
        <v>85</v>
      </c>
      <c r="J6">
        <v>2</v>
      </c>
      <c r="K6">
        <v>0</v>
      </c>
      <c r="L6" s="2">
        <f t="shared" si="0"/>
        <v>45292</v>
      </c>
      <c r="M6" s="2">
        <f t="shared" ca="1" si="1"/>
        <v>45317</v>
      </c>
      <c r="N6" s="2" t="str">
        <f t="shared" ca="1" si="2"/>
        <v>N/A</v>
      </c>
      <c r="O6" s="3">
        <f t="shared" ca="1" si="3"/>
        <v>25</v>
      </c>
      <c r="P6" s="3" t="str">
        <f t="shared" ca="1" si="5"/>
        <v>N/A</v>
      </c>
      <c r="Q6" s="1" t="str">
        <f>IF(K6=1,"Joined",IF(H6&gt;=70,"Dropped at Offer",IF(H6&gt;=50,"Dropped at Interview","Dropped at Screening")))</f>
        <v>Dropped at Interview</v>
      </c>
      <c r="R6" s="1" t="str">
        <f t="shared" ca="1" si="4"/>
        <v>Jan-2024</v>
      </c>
      <c r="W6" s="9" t="s">
        <v>21</v>
      </c>
      <c r="X6" s="9">
        <f>COUNTIF(Q2:Q1501,"Joined")</f>
        <v>465</v>
      </c>
      <c r="Y6" s="12">
        <f>X6/1500*100</f>
        <v>31</v>
      </c>
      <c r="AB6" s="5" t="s">
        <v>19</v>
      </c>
      <c r="AC6" s="6">
        <v>285</v>
      </c>
    </row>
    <row r="7" spans="1:29" ht="15" customHeight="1">
      <c r="A7">
        <v>27</v>
      </c>
      <c r="B7">
        <v>0</v>
      </c>
      <c r="C7">
        <v>3</v>
      </c>
      <c r="D7">
        <v>14</v>
      </c>
      <c r="E7">
        <v>4</v>
      </c>
      <c r="F7">
        <v>31.706658809375899</v>
      </c>
      <c r="G7">
        <v>54</v>
      </c>
      <c r="H7">
        <v>50</v>
      </c>
      <c r="I7">
        <v>50</v>
      </c>
      <c r="J7">
        <v>1</v>
      </c>
      <c r="K7">
        <v>1</v>
      </c>
      <c r="L7" s="2">
        <f t="shared" si="0"/>
        <v>45292</v>
      </c>
      <c r="M7" s="2">
        <f t="shared" ca="1" si="1"/>
        <v>45327</v>
      </c>
      <c r="N7" s="2">
        <f t="shared" ca="1" si="2"/>
        <v>45340</v>
      </c>
      <c r="O7" s="3">
        <f t="shared" ca="1" si="3"/>
        <v>35</v>
      </c>
      <c r="P7" s="3">
        <f t="shared" ca="1" si="5"/>
        <v>13</v>
      </c>
      <c r="Q7" s="1" t="str">
        <f>IF(K7=1,"Joined",IF(H7&gt;=70,"Dropped at Offer",IF(H7&gt;=50,"Dropped at Interview","Dropped at Screening")))</f>
        <v>Joined</v>
      </c>
      <c r="R7" s="1" t="str">
        <f t="shared" ca="1" si="4"/>
        <v>Feb-2024</v>
      </c>
      <c r="AB7" s="5" t="s">
        <v>21</v>
      </c>
      <c r="AC7" s="6">
        <v>465</v>
      </c>
    </row>
    <row r="8" spans="1:29" ht="15" thickBot="1">
      <c r="A8">
        <v>48</v>
      </c>
      <c r="B8">
        <v>0</v>
      </c>
      <c r="C8">
        <v>2</v>
      </c>
      <c r="D8">
        <v>6</v>
      </c>
      <c r="E8">
        <v>1</v>
      </c>
      <c r="F8">
        <v>17.291229200972399</v>
      </c>
      <c r="G8">
        <v>24</v>
      </c>
      <c r="H8">
        <v>52</v>
      </c>
      <c r="I8">
        <v>64</v>
      </c>
      <c r="J8">
        <v>3</v>
      </c>
      <c r="K8">
        <v>0</v>
      </c>
      <c r="L8" s="2">
        <f t="shared" si="0"/>
        <v>45292</v>
      </c>
      <c r="M8" s="2">
        <f t="shared" ca="1" si="1"/>
        <v>45323</v>
      </c>
      <c r="N8" s="2" t="str">
        <f t="shared" ca="1" si="2"/>
        <v>N/A</v>
      </c>
      <c r="O8" s="3">
        <f t="shared" ca="1" si="3"/>
        <v>31</v>
      </c>
      <c r="P8" s="3" t="str">
        <f t="shared" ca="1" si="5"/>
        <v>N/A</v>
      </c>
      <c r="Q8" s="1" t="str">
        <f>IF(K8=1,"Joined",IF(H8&gt;=70,"Dropped at Offer",IF(H8&gt;=50,"Dropped at Interview","Dropped at Screening")))</f>
        <v>Dropped at Interview</v>
      </c>
      <c r="R8" s="1" t="str">
        <f t="shared" ca="1" si="4"/>
        <v>Feb-2024</v>
      </c>
      <c r="AB8" s="5" t="s">
        <v>22</v>
      </c>
      <c r="AC8" s="6">
        <v>1500</v>
      </c>
    </row>
    <row r="9" spans="1:29" ht="27" thickBot="1">
      <c r="A9">
        <v>40</v>
      </c>
      <c r="B9">
        <v>0</v>
      </c>
      <c r="C9">
        <v>4</v>
      </c>
      <c r="D9">
        <v>13</v>
      </c>
      <c r="E9">
        <v>3</v>
      </c>
      <c r="F9">
        <v>10.5868108695133</v>
      </c>
      <c r="G9">
        <v>6</v>
      </c>
      <c r="H9">
        <v>3</v>
      </c>
      <c r="I9">
        <v>92</v>
      </c>
      <c r="J9">
        <v>3</v>
      </c>
      <c r="K9">
        <v>0</v>
      </c>
      <c r="L9" s="2">
        <f t="shared" si="0"/>
        <v>45292</v>
      </c>
      <c r="M9" s="2">
        <f t="shared" ca="1" si="1"/>
        <v>45312</v>
      </c>
      <c r="N9" s="2" t="str">
        <f t="shared" ca="1" si="2"/>
        <v>N/A</v>
      </c>
      <c r="O9" s="3">
        <f t="shared" ca="1" si="3"/>
        <v>20</v>
      </c>
      <c r="P9" s="3" t="str">
        <f t="shared" ca="1" si="5"/>
        <v>N/A</v>
      </c>
      <c r="Q9" s="1" t="str">
        <f>IF(K9=1,"Joined",IF(H9&gt;=70,"Dropped at Offer",IF(H9&gt;=50,"Dropped at Interview","Dropped at Screening")))</f>
        <v>Dropped at Screening</v>
      </c>
      <c r="R9" s="1" t="str">
        <f t="shared" ca="1" si="4"/>
        <v>Jan-2024</v>
      </c>
      <c r="W9" s="9" t="s">
        <v>30</v>
      </c>
      <c r="X9" s="9" t="s">
        <v>31</v>
      </c>
      <c r="Y9" s="9" t="s">
        <v>32</v>
      </c>
      <c r="Z9" s="9" t="s">
        <v>33</v>
      </c>
    </row>
    <row r="10" spans="1:29" ht="16.05" customHeight="1" thickBot="1">
      <c r="A10">
        <v>26</v>
      </c>
      <c r="B10">
        <v>1</v>
      </c>
      <c r="C10">
        <v>3</v>
      </c>
      <c r="D10">
        <v>6</v>
      </c>
      <c r="E10">
        <v>5</v>
      </c>
      <c r="F10">
        <v>28.774864008481501</v>
      </c>
      <c r="G10">
        <v>80</v>
      </c>
      <c r="H10">
        <v>78</v>
      </c>
      <c r="I10">
        <v>51</v>
      </c>
      <c r="J10">
        <v>1</v>
      </c>
      <c r="K10">
        <v>1</v>
      </c>
      <c r="L10" s="2">
        <f t="shared" si="0"/>
        <v>45292</v>
      </c>
      <c r="M10" s="2">
        <f t="shared" ca="1" si="1"/>
        <v>45335</v>
      </c>
      <c r="N10" s="2">
        <f t="shared" ca="1" si="2"/>
        <v>45342</v>
      </c>
      <c r="O10" s="3">
        <f t="shared" ca="1" si="3"/>
        <v>43</v>
      </c>
      <c r="P10" s="3">
        <f t="shared" ca="1" si="5"/>
        <v>7</v>
      </c>
      <c r="Q10" s="1" t="str">
        <f>IF(K10=1,"Joined",IF(H10&gt;=70,"Dropped at Offer",IF(H10&gt;=50,"Dropped at Interview","Dropped at Screening")))</f>
        <v>Joined</v>
      </c>
      <c r="R10" s="1" t="str">
        <f t="shared" ca="1" si="4"/>
        <v>Feb-2024</v>
      </c>
      <c r="W10" s="9" t="s">
        <v>34</v>
      </c>
      <c r="X10" s="9">
        <f>COUNTIF(J2:J1501,1)</f>
        <v>445</v>
      </c>
      <c r="Y10" s="9">
        <f>COUNTIFS(J2:J1501,1,K2:K1501,1)</f>
        <v>319</v>
      </c>
      <c r="Z10" s="9">
        <f>Y10/X10*100</f>
        <v>71.68539325842697</v>
      </c>
    </row>
    <row r="11" spans="1:29" ht="15" thickBot="1">
      <c r="A11">
        <v>45</v>
      </c>
      <c r="B11">
        <v>1</v>
      </c>
      <c r="C11">
        <v>2</v>
      </c>
      <c r="D11">
        <v>2</v>
      </c>
      <c r="E11">
        <v>5</v>
      </c>
      <c r="F11">
        <v>30.195964463056701</v>
      </c>
      <c r="G11">
        <v>92</v>
      </c>
      <c r="H11">
        <v>16</v>
      </c>
      <c r="I11">
        <v>94</v>
      </c>
      <c r="J11">
        <v>3</v>
      </c>
      <c r="K11">
        <v>0</v>
      </c>
      <c r="L11" s="2">
        <f t="shared" si="0"/>
        <v>45292</v>
      </c>
      <c r="M11" s="2">
        <f t="shared" ca="1" si="1"/>
        <v>45307</v>
      </c>
      <c r="N11" s="2" t="str">
        <f t="shared" ca="1" si="2"/>
        <v>N/A</v>
      </c>
      <c r="O11" s="3">
        <f t="shared" ca="1" si="3"/>
        <v>15</v>
      </c>
      <c r="P11" s="3" t="str">
        <f t="shared" ca="1" si="5"/>
        <v>N/A</v>
      </c>
      <c r="Q11" s="1" t="str">
        <f>IF(K11=1,"Joined",IF(H11&gt;=70,"Dropped at Offer",IF(H11&gt;=50,"Dropped at Interview","Dropped at Screening")))</f>
        <v>Dropped at Screening</v>
      </c>
      <c r="R11" s="1" t="str">
        <f t="shared" ca="1" si="4"/>
        <v>Jan-2024</v>
      </c>
      <c r="W11" s="9" t="s">
        <v>35</v>
      </c>
      <c r="X11" s="9">
        <f>COUNTIF(J2:J1501,2)</f>
        <v>770</v>
      </c>
      <c r="Y11" s="9">
        <f>COUNTIFS(J2:J1501,2,K2:K1501,1)</f>
        <v>105</v>
      </c>
      <c r="Z11" s="9">
        <f>Y11/X11*100</f>
        <v>13.636363636363635</v>
      </c>
    </row>
    <row r="12" spans="1:29" ht="15" thickBot="1">
      <c r="A12">
        <v>38</v>
      </c>
      <c r="B12">
        <v>1</v>
      </c>
      <c r="C12">
        <v>1</v>
      </c>
      <c r="D12">
        <v>15</v>
      </c>
      <c r="E12">
        <v>2</v>
      </c>
      <c r="F12">
        <v>11.349680062252901</v>
      </c>
      <c r="G12">
        <v>93</v>
      </c>
      <c r="H12">
        <v>66</v>
      </c>
      <c r="I12">
        <v>29</v>
      </c>
      <c r="J12">
        <v>2</v>
      </c>
      <c r="K12">
        <v>0</v>
      </c>
      <c r="L12" s="2">
        <f t="shared" si="0"/>
        <v>45292</v>
      </c>
      <c r="M12" s="2">
        <f t="shared" ca="1" si="1"/>
        <v>45322</v>
      </c>
      <c r="N12" s="2" t="str">
        <f t="shared" ca="1" si="2"/>
        <v>N/A</v>
      </c>
      <c r="O12" s="3">
        <f t="shared" ca="1" si="3"/>
        <v>30</v>
      </c>
      <c r="P12" s="3" t="str">
        <f t="shared" ca="1" si="5"/>
        <v>N/A</v>
      </c>
      <c r="Q12" s="1" t="str">
        <f>IF(K12=1,"Joined",IF(H12&gt;=70,"Dropped at Offer",IF(H12&gt;=50,"Dropped at Interview","Dropped at Screening")))</f>
        <v>Dropped at Interview</v>
      </c>
      <c r="R12" s="1" t="str">
        <f t="shared" ca="1" si="4"/>
        <v>Jan-2024</v>
      </c>
      <c r="W12" s="9" t="s">
        <v>36</v>
      </c>
      <c r="X12" s="9">
        <f>COUNTIF(J2:J1501,3)</f>
        <v>285</v>
      </c>
      <c r="Y12" s="9">
        <f>COUNTIFS(J2:J1501,3,K2:K1501,1)</f>
        <v>41</v>
      </c>
      <c r="Z12" s="9">
        <f>Y12/X12*100</f>
        <v>14.385964912280702</v>
      </c>
    </row>
    <row r="13" spans="1:29">
      <c r="A13">
        <v>42</v>
      </c>
      <c r="B13">
        <v>0</v>
      </c>
      <c r="C13">
        <v>3</v>
      </c>
      <c r="D13">
        <v>5</v>
      </c>
      <c r="E13">
        <v>5</v>
      </c>
      <c r="F13">
        <v>43.570287394573697</v>
      </c>
      <c r="G13">
        <v>70</v>
      </c>
      <c r="H13">
        <v>73</v>
      </c>
      <c r="I13">
        <v>56</v>
      </c>
      <c r="J13">
        <v>2</v>
      </c>
      <c r="K13">
        <v>0</v>
      </c>
      <c r="L13" s="2">
        <f t="shared" si="0"/>
        <v>45292</v>
      </c>
      <c r="M13" s="2">
        <f t="shared" ca="1" si="1"/>
        <v>45328</v>
      </c>
      <c r="N13" s="2" t="str">
        <f t="shared" ca="1" si="2"/>
        <v>N/A</v>
      </c>
      <c r="O13" s="3">
        <f t="shared" ca="1" si="3"/>
        <v>36</v>
      </c>
      <c r="P13" s="3" t="str">
        <f t="shared" ca="1" si="5"/>
        <v>N/A</v>
      </c>
      <c r="Q13" s="1" t="str">
        <f>IF(K13=1,"Joined",IF(H13&gt;=70,"Dropped at Offer",IF(H13&gt;=50,"Dropped at Interview","Dropped at Screening")))</f>
        <v>Dropped at Offer</v>
      </c>
      <c r="R13" s="1" t="str">
        <f t="shared" ca="1" si="4"/>
        <v>Feb-2024</v>
      </c>
    </row>
    <row r="14" spans="1:29" ht="15" thickBot="1">
      <c r="A14">
        <v>30</v>
      </c>
      <c r="B14">
        <v>0</v>
      </c>
      <c r="C14">
        <v>3</v>
      </c>
      <c r="D14">
        <v>12</v>
      </c>
      <c r="E14">
        <v>5</v>
      </c>
      <c r="F14">
        <v>5.21321830779255</v>
      </c>
      <c r="G14">
        <v>96</v>
      </c>
      <c r="H14">
        <v>46</v>
      </c>
      <c r="I14">
        <v>78</v>
      </c>
      <c r="J14">
        <v>3</v>
      </c>
      <c r="K14">
        <v>1</v>
      </c>
      <c r="L14" s="2">
        <f t="shared" si="0"/>
        <v>45292</v>
      </c>
      <c r="M14" s="2">
        <f t="shared" ca="1" si="1"/>
        <v>45331</v>
      </c>
      <c r="N14" s="2">
        <f t="shared" ca="1" si="2"/>
        <v>45350</v>
      </c>
      <c r="O14" s="3">
        <f t="shared" ca="1" si="3"/>
        <v>39</v>
      </c>
      <c r="P14" s="3">
        <f t="shared" ca="1" si="5"/>
        <v>19</v>
      </c>
      <c r="Q14" s="1" t="str">
        <f>IF(K14=1,"Joined",IF(H14&gt;=70,"Dropped at Offer",IF(H14&gt;=50,"Dropped at Interview","Dropped at Screening")))</f>
        <v>Joined</v>
      </c>
      <c r="R14" s="1" t="str">
        <f t="shared" ca="1" si="4"/>
        <v>Feb-2024</v>
      </c>
    </row>
    <row r="15" spans="1:29" ht="16.05" customHeight="1" thickBot="1">
      <c r="A15">
        <v>30</v>
      </c>
      <c r="B15">
        <v>0</v>
      </c>
      <c r="C15">
        <v>1</v>
      </c>
      <c r="D15">
        <v>7</v>
      </c>
      <c r="E15">
        <v>5</v>
      </c>
      <c r="F15">
        <v>18.804654258321001</v>
      </c>
      <c r="G15">
        <v>70</v>
      </c>
      <c r="H15">
        <v>55</v>
      </c>
      <c r="I15">
        <v>81</v>
      </c>
      <c r="J15">
        <v>2</v>
      </c>
      <c r="K15">
        <v>0</v>
      </c>
      <c r="L15" s="2">
        <f t="shared" si="0"/>
        <v>45292</v>
      </c>
      <c r="M15" s="2">
        <f t="shared" ca="1" si="1"/>
        <v>45320</v>
      </c>
      <c r="N15" s="2" t="str">
        <f t="shared" ca="1" si="2"/>
        <v>N/A</v>
      </c>
      <c r="O15" s="3">
        <f t="shared" ca="1" si="3"/>
        <v>28</v>
      </c>
      <c r="P15" s="3" t="str">
        <f t="shared" ca="1" si="5"/>
        <v>N/A</v>
      </c>
      <c r="Q15" s="1" t="str">
        <f>IF(K15=1,"Joined",IF(H15&gt;=70,"Dropped at Offer",IF(H15&gt;=50,"Dropped at Interview","Dropped at Screening")))</f>
        <v>Dropped at Interview</v>
      </c>
      <c r="R15" s="1" t="str">
        <f t="shared" ca="1" si="4"/>
        <v>Jan-2024</v>
      </c>
      <c r="V15" s="7" t="s">
        <v>30</v>
      </c>
      <c r="W15" s="7" t="s">
        <v>41</v>
      </c>
      <c r="X15" s="7" t="s">
        <v>32</v>
      </c>
      <c r="Y15" s="7" t="s">
        <v>42</v>
      </c>
      <c r="Z15" s="7" t="s">
        <v>43</v>
      </c>
    </row>
    <row r="16" spans="1:29" ht="15" thickBot="1">
      <c r="A16">
        <v>43</v>
      </c>
      <c r="B16">
        <v>1</v>
      </c>
      <c r="C16">
        <v>2</v>
      </c>
      <c r="D16">
        <v>3</v>
      </c>
      <c r="E16">
        <v>3</v>
      </c>
      <c r="F16">
        <v>35.019220688126097</v>
      </c>
      <c r="G16">
        <v>23</v>
      </c>
      <c r="H16">
        <v>22</v>
      </c>
      <c r="I16">
        <v>98</v>
      </c>
      <c r="J16">
        <v>1</v>
      </c>
      <c r="K16">
        <v>0</v>
      </c>
      <c r="L16" s="2">
        <f t="shared" si="0"/>
        <v>45292</v>
      </c>
      <c r="M16" s="2">
        <f t="shared" ca="1" si="1"/>
        <v>45332</v>
      </c>
      <c r="N16" s="2" t="str">
        <f t="shared" ca="1" si="2"/>
        <v>N/A</v>
      </c>
      <c r="O16" s="3">
        <f t="shared" ca="1" si="3"/>
        <v>40</v>
      </c>
      <c r="P16" s="3" t="str">
        <f t="shared" ca="1" si="5"/>
        <v>N/A</v>
      </c>
      <c r="Q16" s="1" t="str">
        <f>IF(K16=1,"Joined",IF(H16&gt;=70,"Dropped at Offer",IF(H16&gt;=50,"Dropped at Interview","Dropped at Screening")))</f>
        <v>Dropped at Screening</v>
      </c>
      <c r="R16" s="1" t="str">
        <f t="shared" ca="1" si="4"/>
        <v>Feb-2024</v>
      </c>
      <c r="V16" s="9" t="s">
        <v>44</v>
      </c>
      <c r="W16" s="9">
        <f>COUNTIF(J2:J1501,1)</f>
        <v>445</v>
      </c>
      <c r="X16" s="9">
        <f>COUNTIFS(J2:J1501,1,K2:K1501,1)</f>
        <v>319</v>
      </c>
      <c r="Y16" s="9">
        <f>W16/W16*100</f>
        <v>100</v>
      </c>
      <c r="Z16" s="9">
        <f>AVERAGEIF(J2:J1501,1,G2:G1501)</f>
        <v>51.397752808988763</v>
      </c>
    </row>
    <row r="17" spans="1:26" ht="15" thickBot="1">
      <c r="A17">
        <v>40</v>
      </c>
      <c r="B17">
        <v>0</v>
      </c>
      <c r="C17">
        <v>3</v>
      </c>
      <c r="D17">
        <v>12</v>
      </c>
      <c r="E17">
        <v>5</v>
      </c>
      <c r="F17">
        <v>14.70601819096</v>
      </c>
      <c r="G17">
        <v>10</v>
      </c>
      <c r="H17">
        <v>17</v>
      </c>
      <c r="I17">
        <v>29</v>
      </c>
      <c r="J17">
        <v>2</v>
      </c>
      <c r="K17">
        <v>0</v>
      </c>
      <c r="L17" s="2">
        <f t="shared" si="0"/>
        <v>45292</v>
      </c>
      <c r="M17" s="2">
        <f t="shared" ca="1" si="1"/>
        <v>45306</v>
      </c>
      <c r="N17" s="2" t="str">
        <f t="shared" ca="1" si="2"/>
        <v>N/A</v>
      </c>
      <c r="O17" s="3">
        <f t="shared" ca="1" si="3"/>
        <v>14</v>
      </c>
      <c r="P17" s="3" t="str">
        <f t="shared" ca="1" si="5"/>
        <v>N/A</v>
      </c>
      <c r="Q17" s="1" t="str">
        <f>IF(K17=1,"Joined",IF(H17&gt;=70,"Dropped at Offer",IF(H17&gt;=50,"Dropped at Interview","Dropped at Screening")))</f>
        <v>Dropped at Screening</v>
      </c>
      <c r="R17" s="1" t="str">
        <f t="shared" ca="1" si="4"/>
        <v>Jan-2024</v>
      </c>
      <c r="V17" s="9" t="s">
        <v>45</v>
      </c>
      <c r="W17" s="9">
        <f>COUNTIF(J2:J1501,2)</f>
        <v>770</v>
      </c>
      <c r="X17" s="9">
        <f>COUNTIFS(J2:J1501,2,K2:K1501,1)</f>
        <v>105</v>
      </c>
      <c r="Y17" s="9">
        <f>W17/W17*100</f>
        <v>100</v>
      </c>
      <c r="Z17" s="9">
        <f>AVERAGEIF(J2:J1501,2,G2:G1501)</f>
        <v>49.138961038961043</v>
      </c>
    </row>
    <row r="18" spans="1:26" ht="15" thickBot="1">
      <c r="A18">
        <v>23</v>
      </c>
      <c r="B18">
        <v>1</v>
      </c>
      <c r="C18">
        <v>1</v>
      </c>
      <c r="D18">
        <v>7</v>
      </c>
      <c r="E18">
        <v>5</v>
      </c>
      <c r="F18">
        <v>42.3837597390635</v>
      </c>
      <c r="G18">
        <v>72</v>
      </c>
      <c r="H18">
        <v>0</v>
      </c>
      <c r="I18">
        <v>97</v>
      </c>
      <c r="J18">
        <v>2</v>
      </c>
      <c r="K18">
        <v>0</v>
      </c>
      <c r="L18" s="2">
        <f t="shared" si="0"/>
        <v>45292</v>
      </c>
      <c r="M18" s="2">
        <f t="shared" ca="1" si="1"/>
        <v>45307</v>
      </c>
      <c r="N18" s="2" t="str">
        <f t="shared" ca="1" si="2"/>
        <v>N/A</v>
      </c>
      <c r="O18" s="3">
        <f t="shared" ca="1" si="3"/>
        <v>15</v>
      </c>
      <c r="P18" s="3" t="str">
        <f t="shared" ca="1" si="5"/>
        <v>N/A</v>
      </c>
      <c r="Q18" s="1" t="str">
        <f>IF(K18=1,"Joined",IF(H18&gt;=70,"Dropped at Offer",IF(H18&gt;=50,"Dropped at Interview","Dropped at Screening")))</f>
        <v>Dropped at Screening</v>
      </c>
      <c r="R18" s="1" t="str">
        <f t="shared" ca="1" si="4"/>
        <v>Jan-2024</v>
      </c>
      <c r="V18" s="9" t="s">
        <v>46</v>
      </c>
      <c r="W18" s="9">
        <f>COUNTIF(J2:J1501,3)</f>
        <v>285</v>
      </c>
      <c r="X18" s="9">
        <f>COUNTIFS(J2:J1501,3,K2:K1501,1)</f>
        <v>41</v>
      </c>
      <c r="Y18" s="9">
        <f>W18/W18*100</f>
        <v>100</v>
      </c>
      <c r="Z18" s="9">
        <f>AVERAGEIF(J2:J1501,3,G2:G1501)</f>
        <v>53.112280701754386</v>
      </c>
    </row>
    <row r="19" spans="1:26" ht="15" thickBot="1">
      <c r="A19">
        <v>27</v>
      </c>
      <c r="B19">
        <v>1</v>
      </c>
      <c r="C19">
        <v>4</v>
      </c>
      <c r="D19">
        <v>1</v>
      </c>
      <c r="E19">
        <v>5</v>
      </c>
      <c r="F19">
        <v>37.993391330020103</v>
      </c>
      <c r="G19">
        <v>11</v>
      </c>
      <c r="H19">
        <v>34</v>
      </c>
      <c r="I19">
        <v>41</v>
      </c>
      <c r="J19">
        <v>1</v>
      </c>
      <c r="K19">
        <v>0</v>
      </c>
      <c r="L19" s="2">
        <f t="shared" si="0"/>
        <v>45292</v>
      </c>
      <c r="M19" s="2">
        <f t="shared" ca="1" si="1"/>
        <v>45315</v>
      </c>
      <c r="N19" s="2" t="str">
        <f t="shared" ca="1" si="2"/>
        <v>N/A</v>
      </c>
      <c r="O19" s="3">
        <f t="shared" ca="1" si="3"/>
        <v>23</v>
      </c>
      <c r="P19" s="3" t="str">
        <f t="shared" ca="1" si="5"/>
        <v>N/A</v>
      </c>
      <c r="Q19" s="1" t="str">
        <f>IF(K19=1,"Joined",IF(H19&gt;=70,"Dropped at Offer",IF(H19&gt;=50,"Dropped at Interview","Dropped at Screening")))</f>
        <v>Dropped at Screening</v>
      </c>
      <c r="R19" s="1" t="str">
        <f t="shared" ca="1" si="4"/>
        <v>Jan-2024</v>
      </c>
    </row>
    <row r="20" spans="1:26" ht="15" thickBot="1">
      <c r="A20">
        <v>43</v>
      </c>
      <c r="B20">
        <v>1</v>
      </c>
      <c r="C20">
        <v>2</v>
      </c>
      <c r="D20">
        <v>14</v>
      </c>
      <c r="E20">
        <v>1</v>
      </c>
      <c r="F20">
        <v>40.451142227406699</v>
      </c>
      <c r="G20">
        <v>34</v>
      </c>
      <c r="H20">
        <v>63</v>
      </c>
      <c r="I20">
        <v>10</v>
      </c>
      <c r="J20">
        <v>2</v>
      </c>
      <c r="K20">
        <v>0</v>
      </c>
      <c r="L20" s="2">
        <f t="shared" si="0"/>
        <v>45292</v>
      </c>
      <c r="M20" s="2">
        <f t="shared" ca="1" si="1"/>
        <v>45324</v>
      </c>
      <c r="N20" s="2" t="str">
        <f t="shared" ca="1" si="2"/>
        <v>N/A</v>
      </c>
      <c r="O20" s="3">
        <f t="shared" ca="1" si="3"/>
        <v>32</v>
      </c>
      <c r="P20" s="3" t="str">
        <f t="shared" ca="1" si="5"/>
        <v>N/A</v>
      </c>
      <c r="Q20" s="1" t="str">
        <f>IF(K20=1,"Joined",IF(H20&gt;=70,"Dropped at Offer",IF(H20&gt;=50,"Dropped at Interview","Dropped at Screening")))</f>
        <v>Dropped at Interview</v>
      </c>
      <c r="R20" s="1" t="str">
        <f t="shared" ca="1" si="4"/>
        <v>Feb-2024</v>
      </c>
      <c r="V20" s="7" t="s">
        <v>47</v>
      </c>
      <c r="W20" s="7" t="s">
        <v>48</v>
      </c>
    </row>
    <row r="21" spans="1:26" ht="15" thickBot="1">
      <c r="A21">
        <v>22</v>
      </c>
      <c r="B21">
        <v>1</v>
      </c>
      <c r="C21">
        <v>1</v>
      </c>
      <c r="D21">
        <v>9</v>
      </c>
      <c r="E21">
        <v>3</v>
      </c>
      <c r="F21">
        <v>6.9553267938358099</v>
      </c>
      <c r="G21">
        <v>62</v>
      </c>
      <c r="H21">
        <v>57</v>
      </c>
      <c r="I21">
        <v>26</v>
      </c>
      <c r="J21">
        <v>2</v>
      </c>
      <c r="K21">
        <v>0</v>
      </c>
      <c r="L21" s="2">
        <f t="shared" si="0"/>
        <v>45292</v>
      </c>
      <c r="M21" s="2">
        <f t="shared" ca="1" si="1"/>
        <v>45316</v>
      </c>
      <c r="N21" s="2" t="str">
        <f t="shared" ca="1" si="2"/>
        <v>N/A</v>
      </c>
      <c r="O21" s="3">
        <f t="shared" ca="1" si="3"/>
        <v>24</v>
      </c>
      <c r="P21" s="3" t="str">
        <f t="shared" ca="1" si="5"/>
        <v>N/A</v>
      </c>
      <c r="Q21" s="1" t="str">
        <f>IF(K21=1,"Joined",IF(H21&gt;=70,"Dropped at Offer",IF(H21&gt;=50,"Dropped at Interview","Dropped at Screening")))</f>
        <v>Dropped at Interview</v>
      </c>
      <c r="R21" s="1" t="str">
        <f t="shared" ca="1" si="4"/>
        <v>Jan-2024</v>
      </c>
      <c r="V21" s="9" t="s">
        <v>49</v>
      </c>
      <c r="W21" s="9">
        <f>COUNTIF(K2:K1501,1)/1500*100</f>
        <v>31</v>
      </c>
    </row>
    <row r="22" spans="1:26" ht="15" thickBot="1">
      <c r="A22">
        <v>41</v>
      </c>
      <c r="B22">
        <v>1</v>
      </c>
      <c r="C22">
        <v>3</v>
      </c>
      <c r="D22">
        <v>8</v>
      </c>
      <c r="E22">
        <v>2</v>
      </c>
      <c r="F22">
        <v>8.0273563997771404</v>
      </c>
      <c r="G22">
        <v>67</v>
      </c>
      <c r="H22">
        <v>94</v>
      </c>
      <c r="I22">
        <v>23</v>
      </c>
      <c r="J22">
        <v>2</v>
      </c>
      <c r="K22">
        <v>0</v>
      </c>
      <c r="L22" s="2">
        <f t="shared" si="0"/>
        <v>45292</v>
      </c>
      <c r="M22" s="2">
        <f t="shared" ca="1" si="1"/>
        <v>45307</v>
      </c>
      <c r="N22" s="2" t="str">
        <f t="shared" ca="1" si="2"/>
        <v>N/A</v>
      </c>
      <c r="O22" s="3">
        <f t="shared" ca="1" si="3"/>
        <v>15</v>
      </c>
      <c r="P22" s="3" t="str">
        <f t="shared" ca="1" si="5"/>
        <v>N/A</v>
      </c>
      <c r="Q22" s="1" t="str">
        <f>IF(K22=1,"Joined",IF(H22&gt;=70,"Dropped at Offer",IF(H22&gt;=50,"Dropped at Interview","Dropped at Screening")))</f>
        <v>Dropped at Offer</v>
      </c>
      <c r="R22" s="1" t="str">
        <f t="shared" ca="1" si="4"/>
        <v>Jan-2024</v>
      </c>
      <c r="V22" s="9" t="s">
        <v>50</v>
      </c>
      <c r="W22" s="12">
        <f ca="1">AVERAGE(O2:O1501)</f>
        <v>29.333333333333332</v>
      </c>
    </row>
    <row r="23" spans="1:26" ht="16.05" customHeight="1" thickBot="1">
      <c r="A23">
        <v>40</v>
      </c>
      <c r="B23">
        <v>1</v>
      </c>
      <c r="C23">
        <v>2</v>
      </c>
      <c r="D23">
        <v>8</v>
      </c>
      <c r="E23">
        <v>1</v>
      </c>
      <c r="F23">
        <v>15.323686887229099</v>
      </c>
      <c r="G23">
        <v>99</v>
      </c>
      <c r="H23">
        <v>58</v>
      </c>
      <c r="I23">
        <v>98</v>
      </c>
      <c r="J23">
        <v>2</v>
      </c>
      <c r="K23">
        <v>1</v>
      </c>
      <c r="L23" s="2">
        <f t="shared" si="0"/>
        <v>45292</v>
      </c>
      <c r="M23" s="2">
        <f t="shared" ca="1" si="1"/>
        <v>45318</v>
      </c>
      <c r="N23" s="2">
        <f t="shared" ca="1" si="2"/>
        <v>45336</v>
      </c>
      <c r="O23" s="3">
        <f t="shared" ca="1" si="3"/>
        <v>26</v>
      </c>
      <c r="P23" s="3">
        <f t="shared" ca="1" si="5"/>
        <v>18</v>
      </c>
      <c r="Q23" s="1" t="str">
        <f>IF(K23=1,"Joined",IF(H23&gt;=70,"Dropped at Offer",IF(H23&gt;=50,"Dropped at Interview","Dropped at Screening")))</f>
        <v>Joined</v>
      </c>
      <c r="R23" s="1" t="str">
        <f t="shared" ca="1" si="4"/>
        <v>Jan-2024</v>
      </c>
      <c r="V23" s="9" t="s">
        <v>51</v>
      </c>
      <c r="W23" s="9">
        <f>AVERAGEIF(K2:K1501,1,G2:G1501)</f>
        <v>56.8</v>
      </c>
      <c r="Y23" s="7"/>
      <c r="Z23" s="7"/>
    </row>
    <row r="24" spans="1:26" ht="15" thickBot="1">
      <c r="A24">
        <v>21</v>
      </c>
      <c r="B24">
        <v>0</v>
      </c>
      <c r="C24">
        <v>2</v>
      </c>
      <c r="D24">
        <v>7</v>
      </c>
      <c r="E24">
        <v>4</v>
      </c>
      <c r="F24">
        <v>26.903858259878</v>
      </c>
      <c r="G24">
        <v>91</v>
      </c>
      <c r="H24">
        <v>0</v>
      </c>
      <c r="I24">
        <v>38</v>
      </c>
      <c r="J24">
        <v>3</v>
      </c>
      <c r="K24">
        <v>0</v>
      </c>
      <c r="L24" s="2">
        <f t="shared" si="0"/>
        <v>45292</v>
      </c>
      <c r="M24" s="2">
        <f t="shared" ca="1" si="1"/>
        <v>45310</v>
      </c>
      <c r="N24" s="2" t="str">
        <f t="shared" ca="1" si="2"/>
        <v>N/A</v>
      </c>
      <c r="O24" s="3">
        <f t="shared" ca="1" si="3"/>
        <v>18</v>
      </c>
      <c r="P24" s="3" t="str">
        <f t="shared" ca="1" si="5"/>
        <v>N/A</v>
      </c>
      <c r="Q24" s="1" t="str">
        <f>IF(K24=1,"Joined",IF(H24&gt;=70,"Dropped at Offer",IF(H24&gt;=50,"Dropped at Interview","Dropped at Screening")))</f>
        <v>Dropped at Screening</v>
      </c>
      <c r="R24" s="1" t="str">
        <f t="shared" ca="1" si="4"/>
        <v>Jan-2024</v>
      </c>
      <c r="Y24" s="8"/>
      <c r="Z24" s="9"/>
    </row>
    <row r="25" spans="1:26" ht="15" thickBot="1">
      <c r="A25">
        <v>43</v>
      </c>
      <c r="B25">
        <v>0</v>
      </c>
      <c r="C25">
        <v>1</v>
      </c>
      <c r="D25">
        <v>9</v>
      </c>
      <c r="E25">
        <v>3</v>
      </c>
      <c r="F25">
        <v>38.400803834970098</v>
      </c>
      <c r="G25">
        <v>56</v>
      </c>
      <c r="H25">
        <v>2</v>
      </c>
      <c r="I25">
        <v>71</v>
      </c>
      <c r="J25">
        <v>2</v>
      </c>
      <c r="K25">
        <v>0</v>
      </c>
      <c r="L25" s="2">
        <f t="shared" si="0"/>
        <v>45292</v>
      </c>
      <c r="M25" s="2">
        <f t="shared" ca="1" si="1"/>
        <v>45324</v>
      </c>
      <c r="N25" s="2" t="str">
        <f t="shared" ca="1" si="2"/>
        <v>N/A</v>
      </c>
      <c r="O25" s="3">
        <f t="shared" ca="1" si="3"/>
        <v>32</v>
      </c>
      <c r="P25" s="3" t="str">
        <f t="shared" ca="1" si="5"/>
        <v>N/A</v>
      </c>
      <c r="Q25" s="1" t="str">
        <f>IF(K25=1,"Joined",IF(H25&gt;=70,"Dropped at Offer",IF(H25&gt;=50,"Dropped at Interview","Dropped at Screening")))</f>
        <v>Dropped at Screening</v>
      </c>
      <c r="R25" s="1" t="str">
        <f t="shared" ca="1" si="4"/>
        <v>Feb-2024</v>
      </c>
      <c r="Y25" s="8"/>
      <c r="Z25" s="9"/>
    </row>
    <row r="26" spans="1:26" ht="15" thickBot="1">
      <c r="A26">
        <v>31</v>
      </c>
      <c r="B26">
        <v>1</v>
      </c>
      <c r="C26">
        <v>1</v>
      </c>
      <c r="D26">
        <v>13</v>
      </c>
      <c r="E26">
        <v>3</v>
      </c>
      <c r="F26">
        <v>42.826544538045098</v>
      </c>
      <c r="G26">
        <v>12</v>
      </c>
      <c r="H26">
        <v>66</v>
      </c>
      <c r="I26">
        <v>17</v>
      </c>
      <c r="J26">
        <v>2</v>
      </c>
      <c r="K26">
        <v>0</v>
      </c>
      <c r="L26" s="2">
        <f t="shared" si="0"/>
        <v>45292</v>
      </c>
      <c r="M26" s="2">
        <f t="shared" ca="1" si="1"/>
        <v>45325</v>
      </c>
      <c r="N26" s="2" t="str">
        <f t="shared" ca="1" si="2"/>
        <v>N/A</v>
      </c>
      <c r="O26" s="3">
        <f t="shared" ca="1" si="3"/>
        <v>33</v>
      </c>
      <c r="P26" s="3" t="str">
        <f t="shared" ca="1" si="5"/>
        <v>N/A</v>
      </c>
      <c r="Q26" s="1" t="str">
        <f>IF(K26=1,"Joined",IF(H26&gt;=70,"Dropped at Offer",IF(H26&gt;=50,"Dropped at Interview","Dropped at Screening")))</f>
        <v>Dropped at Interview</v>
      </c>
      <c r="R26" s="1" t="str">
        <f t="shared" ca="1" si="4"/>
        <v>Feb-2024</v>
      </c>
      <c r="Y26" s="8"/>
      <c r="Z26" s="9"/>
    </row>
    <row r="27" spans="1:26" ht="15" thickBot="1">
      <c r="A27">
        <v>49</v>
      </c>
      <c r="B27">
        <v>1</v>
      </c>
      <c r="C27">
        <v>2</v>
      </c>
      <c r="D27">
        <v>12</v>
      </c>
      <c r="E27">
        <v>4</v>
      </c>
      <c r="F27">
        <v>36.216765797858997</v>
      </c>
      <c r="G27">
        <v>22</v>
      </c>
      <c r="H27">
        <v>36</v>
      </c>
      <c r="I27">
        <v>76</v>
      </c>
      <c r="J27">
        <v>1</v>
      </c>
      <c r="K27">
        <v>1</v>
      </c>
      <c r="L27" s="2">
        <f t="shared" si="0"/>
        <v>45292</v>
      </c>
      <c r="M27" s="2">
        <f t="shared" ca="1" si="1"/>
        <v>45327</v>
      </c>
      <c r="N27" s="2">
        <f t="shared" ca="1" si="2"/>
        <v>45340</v>
      </c>
      <c r="O27" s="3">
        <f t="shared" ca="1" si="3"/>
        <v>35</v>
      </c>
      <c r="P27" s="3">
        <f t="shared" ca="1" si="5"/>
        <v>13</v>
      </c>
      <c r="Q27" s="1" t="str">
        <f>IF(K27=1,"Joined",IF(H27&gt;=70,"Dropped at Offer",IF(H27&gt;=50,"Dropped at Interview","Dropped at Screening")))</f>
        <v>Joined</v>
      </c>
      <c r="R27" s="1" t="str">
        <f t="shared" ca="1" si="4"/>
        <v>Feb-2024</v>
      </c>
      <c r="Y27" s="8"/>
      <c r="Z27" s="9"/>
    </row>
    <row r="28" spans="1:26" ht="15" thickBot="1">
      <c r="A28">
        <v>25</v>
      </c>
      <c r="B28">
        <v>0</v>
      </c>
      <c r="C28">
        <v>2</v>
      </c>
      <c r="D28">
        <v>9</v>
      </c>
      <c r="E28">
        <v>4</v>
      </c>
      <c r="F28">
        <v>47.4298440765319</v>
      </c>
      <c r="G28">
        <v>82</v>
      </c>
      <c r="H28">
        <v>82</v>
      </c>
      <c r="I28">
        <v>44</v>
      </c>
      <c r="J28">
        <v>2</v>
      </c>
      <c r="K28">
        <v>0</v>
      </c>
      <c r="L28" s="2">
        <f t="shared" si="0"/>
        <v>45292</v>
      </c>
      <c r="M28" s="2">
        <f t="shared" ca="1" si="1"/>
        <v>45327</v>
      </c>
      <c r="N28" s="2" t="str">
        <f t="shared" ca="1" si="2"/>
        <v>N/A</v>
      </c>
      <c r="O28" s="3">
        <f t="shared" ca="1" si="3"/>
        <v>35</v>
      </c>
      <c r="P28" s="3" t="str">
        <f t="shared" ca="1" si="5"/>
        <v>N/A</v>
      </c>
      <c r="Q28" s="1" t="str">
        <f>IF(K28=1,"Joined",IF(H28&gt;=70,"Dropped at Offer",IF(H28&gt;=50,"Dropped at Interview","Dropped at Screening")))</f>
        <v>Dropped at Offer</v>
      </c>
      <c r="R28" s="1" t="str">
        <f t="shared" ca="1" si="4"/>
        <v>Feb-2024</v>
      </c>
      <c r="Y28" s="8"/>
      <c r="Z28" s="9"/>
    </row>
    <row r="29" spans="1:26" ht="15" thickBot="1">
      <c r="A29">
        <v>21</v>
      </c>
      <c r="B29">
        <v>1</v>
      </c>
      <c r="C29">
        <v>2</v>
      </c>
      <c r="D29">
        <v>0</v>
      </c>
      <c r="E29">
        <v>4</v>
      </c>
      <c r="F29">
        <v>37.937175480796498</v>
      </c>
      <c r="G29">
        <v>100</v>
      </c>
      <c r="H29">
        <v>28</v>
      </c>
      <c r="I29">
        <v>87</v>
      </c>
      <c r="J29">
        <v>3</v>
      </c>
      <c r="K29">
        <v>0</v>
      </c>
      <c r="L29" s="2">
        <f t="shared" si="0"/>
        <v>45292</v>
      </c>
      <c r="M29" s="2">
        <f t="shared" ca="1" si="1"/>
        <v>45323</v>
      </c>
      <c r="N29" s="2" t="str">
        <f t="shared" ca="1" si="2"/>
        <v>N/A</v>
      </c>
      <c r="O29" s="3">
        <f t="shared" ca="1" si="3"/>
        <v>31</v>
      </c>
      <c r="P29" s="3" t="str">
        <f t="shared" ca="1" si="5"/>
        <v>N/A</v>
      </c>
      <c r="Q29" s="1" t="str">
        <f>IF(K29=1,"Joined",IF(H29&gt;=70,"Dropped at Offer",IF(H29&gt;=50,"Dropped at Interview","Dropped at Screening")))</f>
        <v>Dropped at Screening</v>
      </c>
      <c r="R29" s="1" t="str">
        <f t="shared" ca="1" si="4"/>
        <v>Feb-2024</v>
      </c>
      <c r="Y29" s="8"/>
      <c r="Z29" s="9"/>
    </row>
    <row r="30" spans="1:26" ht="15" thickBot="1">
      <c r="A30">
        <v>47</v>
      </c>
      <c r="B30">
        <v>1</v>
      </c>
      <c r="C30">
        <v>3</v>
      </c>
      <c r="D30">
        <v>1</v>
      </c>
      <c r="E30">
        <v>2</v>
      </c>
      <c r="F30">
        <v>16.313394350230698</v>
      </c>
      <c r="G30">
        <v>38</v>
      </c>
      <c r="H30">
        <v>88</v>
      </c>
      <c r="I30">
        <v>86</v>
      </c>
      <c r="J30">
        <v>2</v>
      </c>
      <c r="K30">
        <v>0</v>
      </c>
      <c r="L30" s="2">
        <f t="shared" si="0"/>
        <v>45292</v>
      </c>
      <c r="M30" s="2">
        <f t="shared" ca="1" si="1"/>
        <v>45322</v>
      </c>
      <c r="N30" s="2" t="str">
        <f t="shared" ca="1" si="2"/>
        <v>N/A</v>
      </c>
      <c r="O30" s="3">
        <f t="shared" ca="1" si="3"/>
        <v>30</v>
      </c>
      <c r="P30" s="3" t="str">
        <f t="shared" ca="1" si="5"/>
        <v>N/A</v>
      </c>
      <c r="Q30" s="1" t="str">
        <f>IF(K30=1,"Joined",IF(H30&gt;=70,"Dropped at Offer",IF(H30&gt;=50,"Dropped at Interview","Dropped at Screening")))</f>
        <v>Dropped at Offer</v>
      </c>
      <c r="R30" s="1" t="str">
        <f t="shared" ca="1" si="4"/>
        <v>Jan-2024</v>
      </c>
      <c r="Y30" s="8"/>
      <c r="Z30" s="9"/>
    </row>
    <row r="31" spans="1:26" ht="15" thickBot="1">
      <c r="A31">
        <v>40</v>
      </c>
      <c r="B31">
        <v>0</v>
      </c>
      <c r="C31">
        <v>2</v>
      </c>
      <c r="D31">
        <v>5</v>
      </c>
      <c r="E31">
        <v>5</v>
      </c>
      <c r="F31">
        <v>14.254064216928599</v>
      </c>
      <c r="G31">
        <v>87</v>
      </c>
      <c r="H31">
        <v>32</v>
      </c>
      <c r="I31">
        <v>11</v>
      </c>
      <c r="J31">
        <v>2</v>
      </c>
      <c r="K31">
        <v>0</v>
      </c>
      <c r="L31" s="2">
        <f t="shared" si="0"/>
        <v>45292</v>
      </c>
      <c r="M31" s="2">
        <f t="shared" ca="1" si="1"/>
        <v>45337</v>
      </c>
      <c r="N31" s="2" t="str">
        <f t="shared" ca="1" si="2"/>
        <v>N/A</v>
      </c>
      <c r="O31" s="3">
        <f t="shared" ca="1" si="3"/>
        <v>45</v>
      </c>
      <c r="P31" s="3" t="str">
        <f t="shared" ca="1" si="5"/>
        <v>N/A</v>
      </c>
      <c r="Q31" s="1" t="str">
        <f>IF(K31=1,"Joined",IF(H31&gt;=70,"Dropped at Offer",IF(H31&gt;=50,"Dropped at Interview","Dropped at Screening")))</f>
        <v>Dropped at Screening</v>
      </c>
      <c r="R31" s="1" t="str">
        <f t="shared" ca="1" si="4"/>
        <v>Feb-2024</v>
      </c>
      <c r="Y31" s="8"/>
      <c r="Z31" s="9"/>
    </row>
    <row r="32" spans="1:26" ht="15" thickBot="1">
      <c r="A32">
        <v>20</v>
      </c>
      <c r="B32">
        <v>1</v>
      </c>
      <c r="C32">
        <v>1</v>
      </c>
      <c r="D32">
        <v>9</v>
      </c>
      <c r="E32">
        <v>3</v>
      </c>
      <c r="F32">
        <v>35.8096225150544</v>
      </c>
      <c r="G32">
        <v>79</v>
      </c>
      <c r="H32">
        <v>99</v>
      </c>
      <c r="I32">
        <v>48</v>
      </c>
      <c r="J32">
        <v>2</v>
      </c>
      <c r="K32">
        <v>0</v>
      </c>
      <c r="L32" s="2">
        <f t="shared" si="0"/>
        <v>45292</v>
      </c>
      <c r="M32" s="2">
        <f t="shared" ca="1" si="1"/>
        <v>45328</v>
      </c>
      <c r="N32" s="2" t="str">
        <f t="shared" ca="1" si="2"/>
        <v>N/A</v>
      </c>
      <c r="O32" s="3">
        <f t="shared" ca="1" si="3"/>
        <v>36</v>
      </c>
      <c r="P32" s="3" t="str">
        <f t="shared" ca="1" si="5"/>
        <v>N/A</v>
      </c>
      <c r="Q32" s="1" t="str">
        <f>IF(K32=1,"Joined",IF(H32&gt;=70,"Dropped at Offer",IF(H32&gt;=50,"Dropped at Interview","Dropped at Screening")))</f>
        <v>Dropped at Offer</v>
      </c>
      <c r="R32" s="1" t="str">
        <f t="shared" ca="1" si="4"/>
        <v>Feb-2024</v>
      </c>
      <c r="Y32" s="8"/>
      <c r="Z32" s="9"/>
    </row>
    <row r="33" spans="1:26" ht="15" thickBot="1">
      <c r="A33">
        <v>31</v>
      </c>
      <c r="B33">
        <v>1</v>
      </c>
      <c r="C33">
        <v>2</v>
      </c>
      <c r="D33">
        <v>4</v>
      </c>
      <c r="E33">
        <v>5</v>
      </c>
      <c r="F33">
        <v>10.6435284344807</v>
      </c>
      <c r="G33">
        <v>96</v>
      </c>
      <c r="H33">
        <v>60</v>
      </c>
      <c r="I33">
        <v>93</v>
      </c>
      <c r="J33">
        <v>2</v>
      </c>
      <c r="K33">
        <v>0</v>
      </c>
      <c r="L33" s="2">
        <f t="shared" si="0"/>
        <v>45292</v>
      </c>
      <c r="M33" s="2">
        <f t="shared" ca="1" si="1"/>
        <v>45316</v>
      </c>
      <c r="N33" s="2" t="str">
        <f t="shared" ca="1" si="2"/>
        <v>N/A</v>
      </c>
      <c r="O33" s="3">
        <f t="shared" ca="1" si="3"/>
        <v>24</v>
      </c>
      <c r="P33" s="3" t="str">
        <f t="shared" ca="1" si="5"/>
        <v>N/A</v>
      </c>
      <c r="Q33" s="1" t="str">
        <f>IF(K33=1,"Joined",IF(H33&gt;=70,"Dropped at Offer",IF(H33&gt;=50,"Dropped at Interview","Dropped at Screening")))</f>
        <v>Dropped at Interview</v>
      </c>
      <c r="R33" s="1" t="str">
        <f t="shared" ca="1" si="4"/>
        <v>Jan-2024</v>
      </c>
      <c r="Y33" s="8"/>
      <c r="Z33" s="9"/>
    </row>
    <row r="34" spans="1:26">
      <c r="A34">
        <v>45</v>
      </c>
      <c r="B34">
        <v>1</v>
      </c>
      <c r="C34">
        <v>4</v>
      </c>
      <c r="D34">
        <v>11</v>
      </c>
      <c r="E34">
        <v>5</v>
      </c>
      <c r="F34">
        <v>5.6357405405134902</v>
      </c>
      <c r="G34">
        <v>11</v>
      </c>
      <c r="H34">
        <v>92</v>
      </c>
      <c r="I34">
        <v>30</v>
      </c>
      <c r="J34">
        <v>1</v>
      </c>
      <c r="K34">
        <v>1</v>
      </c>
      <c r="L34" s="2">
        <f t="shared" si="0"/>
        <v>45292</v>
      </c>
      <c r="M34" s="2">
        <f t="shared" ca="1" si="1"/>
        <v>45320</v>
      </c>
      <c r="N34" s="2">
        <f t="shared" ca="1" si="2"/>
        <v>45327</v>
      </c>
      <c r="O34" s="3">
        <f t="shared" ca="1" si="3"/>
        <v>28</v>
      </c>
      <c r="P34" s="3">
        <f t="shared" ca="1" si="5"/>
        <v>7</v>
      </c>
      <c r="Q34" s="1" t="str">
        <f>IF(K34=1,"Joined",IF(H34&gt;=70,"Dropped at Offer",IF(H34&gt;=50,"Dropped at Interview","Dropped at Screening")))</f>
        <v>Joined</v>
      </c>
      <c r="R34" s="1" t="str">
        <f t="shared" ca="1" si="4"/>
        <v>Jan-2024</v>
      </c>
    </row>
    <row r="35" spans="1:26">
      <c r="A35">
        <v>41</v>
      </c>
      <c r="B35">
        <v>0</v>
      </c>
      <c r="C35">
        <v>3</v>
      </c>
      <c r="D35">
        <v>13</v>
      </c>
      <c r="E35">
        <v>4</v>
      </c>
      <c r="F35">
        <v>27.611143742809599</v>
      </c>
      <c r="G35">
        <v>33</v>
      </c>
      <c r="H35">
        <v>89</v>
      </c>
      <c r="I35">
        <v>91</v>
      </c>
      <c r="J35">
        <v>3</v>
      </c>
      <c r="K35">
        <v>1</v>
      </c>
      <c r="L35" s="2">
        <f t="shared" si="0"/>
        <v>45292</v>
      </c>
      <c r="M35" s="2">
        <f t="shared" ca="1" si="1"/>
        <v>45336</v>
      </c>
      <c r="N35" s="2">
        <f t="shared" ca="1" si="2"/>
        <v>45354</v>
      </c>
      <c r="O35" s="3">
        <f t="shared" ca="1" si="3"/>
        <v>44</v>
      </c>
      <c r="P35" s="3">
        <f t="shared" ca="1" si="5"/>
        <v>18</v>
      </c>
      <c r="Q35" s="1" t="str">
        <f>IF(K35=1,"Joined",IF(H35&gt;=70,"Dropped at Offer",IF(H35&gt;=50,"Dropped at Interview","Dropped at Screening")))</f>
        <v>Joined</v>
      </c>
      <c r="R35" s="1" t="str">
        <f t="shared" ca="1" si="4"/>
        <v>Feb-2024</v>
      </c>
    </row>
    <row r="36" spans="1:26">
      <c r="A36">
        <v>48</v>
      </c>
      <c r="B36">
        <v>0</v>
      </c>
      <c r="C36">
        <v>2</v>
      </c>
      <c r="D36">
        <v>8</v>
      </c>
      <c r="E36">
        <v>2</v>
      </c>
      <c r="F36">
        <v>42.082078488947701</v>
      </c>
      <c r="G36">
        <v>70</v>
      </c>
      <c r="H36">
        <v>3</v>
      </c>
      <c r="I36">
        <v>21</v>
      </c>
      <c r="J36">
        <v>1</v>
      </c>
      <c r="K36">
        <v>0</v>
      </c>
      <c r="L36" s="2">
        <f t="shared" si="0"/>
        <v>45292</v>
      </c>
      <c r="M36" s="2">
        <f t="shared" ca="1" si="1"/>
        <v>45329</v>
      </c>
      <c r="N36" s="2" t="str">
        <f t="shared" ca="1" si="2"/>
        <v>N/A</v>
      </c>
      <c r="O36" s="3">
        <f t="shared" ca="1" si="3"/>
        <v>37</v>
      </c>
      <c r="P36" s="3" t="str">
        <f t="shared" ca="1" si="5"/>
        <v>N/A</v>
      </c>
      <c r="Q36" s="1" t="str">
        <f>IF(K36=1,"Joined",IF(H36&gt;=70,"Dropped at Offer",IF(H36&gt;=50,"Dropped at Interview","Dropped at Screening")))</f>
        <v>Dropped at Screening</v>
      </c>
      <c r="R36" s="1" t="str">
        <f t="shared" ca="1" si="4"/>
        <v>Feb-2024</v>
      </c>
    </row>
    <row r="37" spans="1:26">
      <c r="A37">
        <v>31</v>
      </c>
      <c r="B37">
        <v>0</v>
      </c>
      <c r="C37">
        <v>2</v>
      </c>
      <c r="D37">
        <v>4</v>
      </c>
      <c r="E37">
        <v>1</v>
      </c>
      <c r="F37">
        <v>6.0689921234931701</v>
      </c>
      <c r="G37">
        <v>74</v>
      </c>
      <c r="H37">
        <v>13</v>
      </c>
      <c r="I37">
        <v>43</v>
      </c>
      <c r="J37">
        <v>2</v>
      </c>
      <c r="K37">
        <v>0</v>
      </c>
      <c r="L37" s="2">
        <f t="shared" si="0"/>
        <v>45292</v>
      </c>
      <c r="M37" s="2">
        <f t="shared" ca="1" si="1"/>
        <v>45332</v>
      </c>
      <c r="N37" s="2" t="str">
        <f t="shared" ca="1" si="2"/>
        <v>N/A</v>
      </c>
      <c r="O37" s="3">
        <f t="shared" ca="1" si="3"/>
        <v>40</v>
      </c>
      <c r="P37" s="3" t="str">
        <f t="shared" ca="1" si="5"/>
        <v>N/A</v>
      </c>
      <c r="Q37" s="1" t="str">
        <f>IF(K37=1,"Joined",IF(H37&gt;=70,"Dropped at Offer",IF(H37&gt;=50,"Dropped at Interview","Dropped at Screening")))</f>
        <v>Dropped at Screening</v>
      </c>
      <c r="R37" s="1" t="str">
        <f t="shared" ca="1" si="4"/>
        <v>Feb-2024</v>
      </c>
    </row>
    <row r="38" spans="1:26">
      <c r="A38">
        <v>44</v>
      </c>
      <c r="B38">
        <v>1</v>
      </c>
      <c r="C38">
        <v>2</v>
      </c>
      <c r="D38">
        <v>1</v>
      </c>
      <c r="E38">
        <v>2</v>
      </c>
      <c r="F38">
        <v>40.594566189786399</v>
      </c>
      <c r="G38">
        <v>30</v>
      </c>
      <c r="H38">
        <v>90</v>
      </c>
      <c r="I38">
        <v>91</v>
      </c>
      <c r="J38">
        <v>2</v>
      </c>
      <c r="K38">
        <v>0</v>
      </c>
      <c r="L38" s="2">
        <f t="shared" si="0"/>
        <v>45292</v>
      </c>
      <c r="M38" s="2">
        <f t="shared" ca="1" si="1"/>
        <v>45324</v>
      </c>
      <c r="N38" s="2" t="str">
        <f t="shared" ca="1" si="2"/>
        <v>N/A</v>
      </c>
      <c r="O38" s="3">
        <f t="shared" ca="1" si="3"/>
        <v>32</v>
      </c>
      <c r="P38" s="3" t="str">
        <f t="shared" ca="1" si="5"/>
        <v>N/A</v>
      </c>
      <c r="Q38" s="1" t="str">
        <f>IF(K38=1,"Joined",IF(H38&gt;=70,"Dropped at Offer",IF(H38&gt;=50,"Dropped at Interview","Dropped at Screening")))</f>
        <v>Dropped at Offer</v>
      </c>
      <c r="R38" s="1" t="str">
        <f t="shared" ca="1" si="4"/>
        <v>Feb-2024</v>
      </c>
    </row>
    <row r="39" spans="1:26">
      <c r="A39">
        <v>36</v>
      </c>
      <c r="B39">
        <v>1</v>
      </c>
      <c r="C39">
        <v>3</v>
      </c>
      <c r="D39">
        <v>9</v>
      </c>
      <c r="E39">
        <v>5</v>
      </c>
      <c r="F39">
        <v>41.578600217577403</v>
      </c>
      <c r="G39">
        <v>92</v>
      </c>
      <c r="H39">
        <v>32</v>
      </c>
      <c r="I39">
        <v>63</v>
      </c>
      <c r="J39">
        <v>2</v>
      </c>
      <c r="K39">
        <v>1</v>
      </c>
      <c r="L39" s="2">
        <f t="shared" si="0"/>
        <v>45292</v>
      </c>
      <c r="M39" s="2">
        <f t="shared" ca="1" si="1"/>
        <v>45314</v>
      </c>
      <c r="N39" s="2">
        <f t="shared" ca="1" si="2"/>
        <v>45330</v>
      </c>
      <c r="O39" s="3">
        <f t="shared" ca="1" si="3"/>
        <v>22</v>
      </c>
      <c r="P39" s="3">
        <f t="shared" ca="1" si="5"/>
        <v>16</v>
      </c>
      <c r="Q39" s="1" t="str">
        <f>IF(K39=1,"Joined",IF(H39&gt;=70,"Dropped at Offer",IF(H39&gt;=50,"Dropped at Interview","Dropped at Screening")))</f>
        <v>Joined</v>
      </c>
      <c r="R39" s="1" t="str">
        <f t="shared" ca="1" si="4"/>
        <v>Jan-2024</v>
      </c>
    </row>
    <row r="40" spans="1:26">
      <c r="A40">
        <v>46</v>
      </c>
      <c r="B40">
        <v>0</v>
      </c>
      <c r="C40">
        <v>3</v>
      </c>
      <c r="D40">
        <v>3</v>
      </c>
      <c r="E40">
        <v>2</v>
      </c>
      <c r="F40">
        <v>25.113700004077099</v>
      </c>
      <c r="G40">
        <v>61</v>
      </c>
      <c r="H40">
        <v>21</v>
      </c>
      <c r="I40">
        <v>76</v>
      </c>
      <c r="J40">
        <v>1</v>
      </c>
      <c r="K40">
        <v>1</v>
      </c>
      <c r="L40" s="2">
        <f t="shared" si="0"/>
        <v>45292</v>
      </c>
      <c r="M40" s="2">
        <f t="shared" ca="1" si="1"/>
        <v>45337</v>
      </c>
      <c r="N40" s="2">
        <f t="shared" ca="1" si="2"/>
        <v>45353</v>
      </c>
      <c r="O40" s="3">
        <f t="shared" ca="1" si="3"/>
        <v>45</v>
      </c>
      <c r="P40" s="3">
        <f t="shared" ca="1" si="5"/>
        <v>16</v>
      </c>
      <c r="Q40" s="1" t="str">
        <f>IF(K40=1,"Joined",IF(H40&gt;=70,"Dropped at Offer",IF(H40&gt;=50,"Dropped at Interview","Dropped at Screening")))</f>
        <v>Joined</v>
      </c>
      <c r="R40" s="1" t="str">
        <f t="shared" ca="1" si="4"/>
        <v>Feb-2024</v>
      </c>
    </row>
    <row r="41" spans="1:26">
      <c r="A41">
        <v>46</v>
      </c>
      <c r="B41">
        <v>1</v>
      </c>
      <c r="C41">
        <v>2</v>
      </c>
      <c r="D41">
        <v>8</v>
      </c>
      <c r="E41">
        <v>4</v>
      </c>
      <c r="F41">
        <v>3.86551550052434</v>
      </c>
      <c r="G41">
        <v>12</v>
      </c>
      <c r="H41">
        <v>47</v>
      </c>
      <c r="I41">
        <v>24</v>
      </c>
      <c r="J41">
        <v>2</v>
      </c>
      <c r="K41">
        <v>0</v>
      </c>
      <c r="L41" s="2">
        <f t="shared" si="0"/>
        <v>45292</v>
      </c>
      <c r="M41" s="2">
        <f t="shared" ca="1" si="1"/>
        <v>45330</v>
      </c>
      <c r="N41" s="2" t="str">
        <f t="shared" ca="1" si="2"/>
        <v>N/A</v>
      </c>
      <c r="O41" s="3">
        <f t="shared" ca="1" si="3"/>
        <v>38</v>
      </c>
      <c r="P41" s="3" t="str">
        <f t="shared" ca="1" si="5"/>
        <v>N/A</v>
      </c>
      <c r="Q41" s="1" t="str">
        <f>IF(K41=1,"Joined",IF(H41&gt;=70,"Dropped at Offer",IF(H41&gt;=50,"Dropped at Interview","Dropped at Screening")))</f>
        <v>Dropped at Screening</v>
      </c>
      <c r="R41" s="1" t="str">
        <f t="shared" ca="1" si="4"/>
        <v>Feb-2024</v>
      </c>
    </row>
    <row r="42" spans="1:26">
      <c r="A42">
        <v>50</v>
      </c>
      <c r="B42">
        <v>1</v>
      </c>
      <c r="C42">
        <v>3</v>
      </c>
      <c r="D42">
        <v>0</v>
      </c>
      <c r="E42">
        <v>1</v>
      </c>
      <c r="F42">
        <v>9.7294925623593205</v>
      </c>
      <c r="G42">
        <v>30</v>
      </c>
      <c r="H42">
        <v>2</v>
      </c>
      <c r="I42">
        <v>50</v>
      </c>
      <c r="J42">
        <v>1</v>
      </c>
      <c r="K42">
        <v>0</v>
      </c>
      <c r="L42" s="2">
        <f t="shared" si="0"/>
        <v>45292</v>
      </c>
      <c r="M42" s="2">
        <f t="shared" ca="1" si="1"/>
        <v>45330</v>
      </c>
      <c r="N42" s="2" t="str">
        <f t="shared" ca="1" si="2"/>
        <v>N/A</v>
      </c>
      <c r="O42" s="3">
        <f t="shared" ca="1" si="3"/>
        <v>38</v>
      </c>
      <c r="P42" s="3" t="str">
        <f t="shared" ca="1" si="5"/>
        <v>N/A</v>
      </c>
      <c r="Q42" s="1" t="str">
        <f>IF(K42=1,"Joined",IF(H42&gt;=70,"Dropped at Offer",IF(H42&gt;=50,"Dropped at Interview","Dropped at Screening")))</f>
        <v>Dropped at Screening</v>
      </c>
      <c r="R42" s="1" t="str">
        <f t="shared" ca="1" si="4"/>
        <v>Feb-2024</v>
      </c>
    </row>
    <row r="43" spans="1:26">
      <c r="A43">
        <v>29</v>
      </c>
      <c r="B43">
        <v>1</v>
      </c>
      <c r="C43">
        <v>3</v>
      </c>
      <c r="D43">
        <v>10</v>
      </c>
      <c r="E43">
        <v>4</v>
      </c>
      <c r="F43">
        <v>36.371313758096598</v>
      </c>
      <c r="G43">
        <v>1</v>
      </c>
      <c r="H43">
        <v>86</v>
      </c>
      <c r="I43">
        <v>6</v>
      </c>
      <c r="J43">
        <v>1</v>
      </c>
      <c r="K43">
        <v>1</v>
      </c>
      <c r="L43" s="2">
        <f t="shared" si="0"/>
        <v>45292</v>
      </c>
      <c r="M43" s="2">
        <f t="shared" ca="1" si="1"/>
        <v>45330</v>
      </c>
      <c r="N43" s="2">
        <f t="shared" ca="1" si="2"/>
        <v>45351</v>
      </c>
      <c r="O43" s="3">
        <f t="shared" ca="1" si="3"/>
        <v>38</v>
      </c>
      <c r="P43" s="3">
        <f t="shared" ca="1" si="5"/>
        <v>21</v>
      </c>
      <c r="Q43" s="1" t="str">
        <f>IF(K43=1,"Joined",IF(H43&gt;=70,"Dropped at Offer",IF(H43&gt;=50,"Dropped at Interview","Dropped at Screening")))</f>
        <v>Joined</v>
      </c>
      <c r="R43" s="1" t="str">
        <f t="shared" ca="1" si="4"/>
        <v>Feb-2024</v>
      </c>
    </row>
    <row r="44" spans="1:26">
      <c r="A44">
        <v>47</v>
      </c>
      <c r="B44">
        <v>1</v>
      </c>
      <c r="C44">
        <v>1</v>
      </c>
      <c r="D44">
        <v>0</v>
      </c>
      <c r="E44">
        <v>1</v>
      </c>
      <c r="F44">
        <v>36.588897249547401</v>
      </c>
      <c r="G44">
        <v>14</v>
      </c>
      <c r="H44">
        <v>84</v>
      </c>
      <c r="I44">
        <v>5</v>
      </c>
      <c r="J44">
        <v>2</v>
      </c>
      <c r="K44">
        <v>0</v>
      </c>
      <c r="L44" s="2">
        <f t="shared" si="0"/>
        <v>45292</v>
      </c>
      <c r="M44" s="2">
        <f t="shared" ca="1" si="1"/>
        <v>45315</v>
      </c>
      <c r="N44" s="2" t="str">
        <f t="shared" ca="1" si="2"/>
        <v>N/A</v>
      </c>
      <c r="O44" s="3">
        <f t="shared" ca="1" si="3"/>
        <v>23</v>
      </c>
      <c r="P44" s="3" t="str">
        <f t="shared" ca="1" si="5"/>
        <v>N/A</v>
      </c>
      <c r="Q44" s="1" t="str">
        <f>IF(K44=1,"Joined",IF(H44&gt;=70,"Dropped at Offer",IF(H44&gt;=50,"Dropped at Interview","Dropped at Screening")))</f>
        <v>Dropped at Offer</v>
      </c>
      <c r="R44" s="1" t="str">
        <f t="shared" ca="1" si="4"/>
        <v>Jan-2024</v>
      </c>
    </row>
    <row r="45" spans="1:26">
      <c r="A45">
        <v>47</v>
      </c>
      <c r="B45">
        <v>1</v>
      </c>
      <c r="C45">
        <v>2</v>
      </c>
      <c r="D45">
        <v>11</v>
      </c>
      <c r="E45">
        <v>5</v>
      </c>
      <c r="F45">
        <v>45.917763758383202</v>
      </c>
      <c r="G45">
        <v>56</v>
      </c>
      <c r="H45">
        <v>22</v>
      </c>
      <c r="I45">
        <v>23</v>
      </c>
      <c r="J45">
        <v>2</v>
      </c>
      <c r="K45">
        <v>0</v>
      </c>
      <c r="L45" s="2">
        <f t="shared" si="0"/>
        <v>45292</v>
      </c>
      <c r="M45" s="2">
        <f t="shared" ca="1" si="1"/>
        <v>45313</v>
      </c>
      <c r="N45" s="2" t="str">
        <f t="shared" ca="1" si="2"/>
        <v>N/A</v>
      </c>
      <c r="O45" s="3">
        <f t="shared" ca="1" si="3"/>
        <v>21</v>
      </c>
      <c r="P45" s="3" t="str">
        <f t="shared" ca="1" si="5"/>
        <v>N/A</v>
      </c>
      <c r="Q45" s="1" t="str">
        <f>IF(K45=1,"Joined",IF(H45&gt;=70,"Dropped at Offer",IF(H45&gt;=50,"Dropped at Interview","Dropped at Screening")))</f>
        <v>Dropped at Screening</v>
      </c>
      <c r="R45" s="1" t="str">
        <f t="shared" ca="1" si="4"/>
        <v>Jan-2024</v>
      </c>
    </row>
    <row r="46" spans="1:26">
      <c r="A46">
        <v>35</v>
      </c>
      <c r="B46">
        <v>0</v>
      </c>
      <c r="C46">
        <v>1</v>
      </c>
      <c r="D46">
        <v>6</v>
      </c>
      <c r="E46">
        <v>1</v>
      </c>
      <c r="F46">
        <v>30.1343073277291</v>
      </c>
      <c r="G46">
        <v>74</v>
      </c>
      <c r="H46">
        <v>67</v>
      </c>
      <c r="I46">
        <v>18</v>
      </c>
      <c r="J46">
        <v>1</v>
      </c>
      <c r="K46">
        <v>1</v>
      </c>
      <c r="L46" s="2">
        <f t="shared" si="0"/>
        <v>45292</v>
      </c>
      <c r="M46" s="2">
        <f t="shared" ca="1" si="1"/>
        <v>45314</v>
      </c>
      <c r="N46" s="2">
        <f t="shared" ca="1" si="2"/>
        <v>45328</v>
      </c>
      <c r="O46" s="3">
        <f t="shared" ca="1" si="3"/>
        <v>22</v>
      </c>
      <c r="P46" s="3">
        <f t="shared" ca="1" si="5"/>
        <v>14</v>
      </c>
      <c r="Q46" s="1" t="str">
        <f>IF(K46=1,"Joined",IF(H46&gt;=70,"Dropped at Offer",IF(H46&gt;=50,"Dropped at Interview","Dropped at Screening")))</f>
        <v>Joined</v>
      </c>
      <c r="R46" s="1" t="str">
        <f t="shared" ca="1" si="4"/>
        <v>Jan-2024</v>
      </c>
    </row>
    <row r="47" spans="1:26">
      <c r="A47">
        <v>34</v>
      </c>
      <c r="B47">
        <v>1</v>
      </c>
      <c r="C47">
        <v>2</v>
      </c>
      <c r="D47">
        <v>10</v>
      </c>
      <c r="E47">
        <v>1</v>
      </c>
      <c r="F47">
        <v>7.2053683856888604</v>
      </c>
      <c r="G47">
        <v>33</v>
      </c>
      <c r="H47">
        <v>20</v>
      </c>
      <c r="I47">
        <v>82</v>
      </c>
      <c r="J47">
        <v>1</v>
      </c>
      <c r="K47">
        <v>1</v>
      </c>
      <c r="L47" s="2">
        <f t="shared" si="0"/>
        <v>45292</v>
      </c>
      <c r="M47" s="2">
        <f t="shared" ca="1" si="1"/>
        <v>45313</v>
      </c>
      <c r="N47" s="2">
        <f t="shared" ca="1" si="2"/>
        <v>45325</v>
      </c>
      <c r="O47" s="3">
        <f t="shared" ca="1" si="3"/>
        <v>21</v>
      </c>
      <c r="P47" s="3">
        <f t="shared" ca="1" si="5"/>
        <v>12</v>
      </c>
      <c r="Q47" s="1" t="str">
        <f>IF(K47=1,"Joined",IF(H47&gt;=70,"Dropped at Offer",IF(H47&gt;=50,"Dropped at Interview","Dropped at Screening")))</f>
        <v>Joined</v>
      </c>
      <c r="R47" s="1" t="str">
        <f t="shared" ca="1" si="4"/>
        <v>Jan-2024</v>
      </c>
    </row>
    <row r="48" spans="1:26">
      <c r="A48">
        <v>49</v>
      </c>
      <c r="B48">
        <v>0</v>
      </c>
      <c r="C48">
        <v>3</v>
      </c>
      <c r="D48">
        <v>2</v>
      </c>
      <c r="E48">
        <v>1</v>
      </c>
      <c r="F48">
        <v>7.0707452752486004</v>
      </c>
      <c r="G48">
        <v>67</v>
      </c>
      <c r="H48">
        <v>100</v>
      </c>
      <c r="I48">
        <v>99</v>
      </c>
      <c r="J48">
        <v>3</v>
      </c>
      <c r="K48">
        <v>0</v>
      </c>
      <c r="L48" s="2">
        <f t="shared" si="0"/>
        <v>45292</v>
      </c>
      <c r="M48" s="2">
        <f t="shared" ca="1" si="1"/>
        <v>45309</v>
      </c>
      <c r="N48" s="2" t="str">
        <f t="shared" ca="1" si="2"/>
        <v>N/A</v>
      </c>
      <c r="O48" s="3">
        <f t="shared" ca="1" si="3"/>
        <v>17</v>
      </c>
      <c r="P48" s="3" t="str">
        <f t="shared" ca="1" si="5"/>
        <v>N/A</v>
      </c>
      <c r="Q48" s="1" t="str">
        <f>IF(K48=1,"Joined",IF(H48&gt;=70,"Dropped at Offer",IF(H48&gt;=50,"Dropped at Interview","Dropped at Screening")))</f>
        <v>Dropped at Offer</v>
      </c>
      <c r="R48" s="1" t="str">
        <f t="shared" ca="1" si="4"/>
        <v>Jan-2024</v>
      </c>
    </row>
    <row r="49" spans="1:18">
      <c r="A49">
        <v>49</v>
      </c>
      <c r="B49">
        <v>1</v>
      </c>
      <c r="C49">
        <v>2</v>
      </c>
      <c r="D49">
        <v>9</v>
      </c>
      <c r="E49">
        <v>2</v>
      </c>
      <c r="F49">
        <v>37.056617867841098</v>
      </c>
      <c r="G49">
        <v>74</v>
      </c>
      <c r="H49">
        <v>42</v>
      </c>
      <c r="I49">
        <v>8</v>
      </c>
      <c r="J49">
        <v>3</v>
      </c>
      <c r="K49">
        <v>0</v>
      </c>
      <c r="L49" s="2">
        <f t="shared" si="0"/>
        <v>45292</v>
      </c>
      <c r="M49" s="2">
        <f t="shared" ca="1" si="1"/>
        <v>45306</v>
      </c>
      <c r="N49" s="2" t="str">
        <f t="shared" ca="1" si="2"/>
        <v>N/A</v>
      </c>
      <c r="O49" s="3">
        <f t="shared" ca="1" si="3"/>
        <v>14</v>
      </c>
      <c r="P49" s="3" t="str">
        <f t="shared" ca="1" si="5"/>
        <v>N/A</v>
      </c>
      <c r="Q49" s="1" t="str">
        <f>IF(K49=1,"Joined",IF(H49&gt;=70,"Dropped at Offer",IF(H49&gt;=50,"Dropped at Interview","Dropped at Screening")))</f>
        <v>Dropped at Screening</v>
      </c>
      <c r="R49" s="1" t="str">
        <f t="shared" ca="1" si="4"/>
        <v>Jan-2024</v>
      </c>
    </row>
    <row r="50" spans="1:18">
      <c r="A50">
        <v>34</v>
      </c>
      <c r="B50">
        <v>0</v>
      </c>
      <c r="C50">
        <v>2</v>
      </c>
      <c r="D50">
        <v>1</v>
      </c>
      <c r="E50">
        <v>2</v>
      </c>
      <c r="F50">
        <v>10.189233255394999</v>
      </c>
      <c r="G50">
        <v>28</v>
      </c>
      <c r="H50">
        <v>94</v>
      </c>
      <c r="I50">
        <v>35</v>
      </c>
      <c r="J50">
        <v>1</v>
      </c>
      <c r="K50">
        <v>0</v>
      </c>
      <c r="L50" s="2">
        <f t="shared" si="0"/>
        <v>45292</v>
      </c>
      <c r="M50" s="2">
        <f t="shared" ca="1" si="1"/>
        <v>45315</v>
      </c>
      <c r="N50" s="2" t="str">
        <f t="shared" ca="1" si="2"/>
        <v>N/A</v>
      </c>
      <c r="O50" s="3">
        <f t="shared" ca="1" si="3"/>
        <v>23</v>
      </c>
      <c r="P50" s="3" t="str">
        <f t="shared" ca="1" si="5"/>
        <v>N/A</v>
      </c>
      <c r="Q50" s="1" t="str">
        <f>IF(K50=1,"Joined",IF(H50&gt;=70,"Dropped at Offer",IF(H50&gt;=50,"Dropped at Interview","Dropped at Screening")))</f>
        <v>Dropped at Offer</v>
      </c>
      <c r="R50" s="1" t="str">
        <f t="shared" ca="1" si="4"/>
        <v>Jan-2024</v>
      </c>
    </row>
    <row r="51" spans="1:18">
      <c r="A51">
        <v>49</v>
      </c>
      <c r="B51">
        <v>1</v>
      </c>
      <c r="C51">
        <v>1</v>
      </c>
      <c r="D51">
        <v>8</v>
      </c>
      <c r="E51">
        <v>5</v>
      </c>
      <c r="F51">
        <v>17.419274980830199</v>
      </c>
      <c r="G51">
        <v>65</v>
      </c>
      <c r="H51">
        <v>84</v>
      </c>
      <c r="I51">
        <v>39</v>
      </c>
      <c r="J51">
        <v>2</v>
      </c>
      <c r="K51">
        <v>0</v>
      </c>
      <c r="L51" s="2">
        <f t="shared" si="0"/>
        <v>45292</v>
      </c>
      <c r="M51" s="2">
        <f t="shared" ca="1" si="1"/>
        <v>45333</v>
      </c>
      <c r="N51" s="2" t="str">
        <f t="shared" ca="1" si="2"/>
        <v>N/A</v>
      </c>
      <c r="O51" s="3">
        <f t="shared" ca="1" si="3"/>
        <v>41</v>
      </c>
      <c r="P51" s="3" t="str">
        <f t="shared" ca="1" si="5"/>
        <v>N/A</v>
      </c>
      <c r="Q51" s="1" t="str">
        <f>IF(K51=1,"Joined",IF(H51&gt;=70,"Dropped at Offer",IF(H51&gt;=50,"Dropped at Interview","Dropped at Screening")))</f>
        <v>Dropped at Offer</v>
      </c>
      <c r="R51" s="1" t="str">
        <f t="shared" ca="1" si="4"/>
        <v>Feb-2024</v>
      </c>
    </row>
    <row r="52" spans="1:18">
      <c r="A52">
        <v>38</v>
      </c>
      <c r="B52">
        <v>0</v>
      </c>
      <c r="C52">
        <v>2</v>
      </c>
      <c r="D52">
        <v>2</v>
      </c>
      <c r="E52">
        <v>1</v>
      </c>
      <c r="F52">
        <v>25.360600346095602</v>
      </c>
      <c r="G52">
        <v>15</v>
      </c>
      <c r="H52">
        <v>25</v>
      </c>
      <c r="I52">
        <v>92</v>
      </c>
      <c r="J52">
        <v>2</v>
      </c>
      <c r="K52">
        <v>0</v>
      </c>
      <c r="L52" s="2">
        <f t="shared" si="0"/>
        <v>45292</v>
      </c>
      <c r="M52" s="2">
        <f t="shared" ca="1" si="1"/>
        <v>45311</v>
      </c>
      <c r="N52" s="2" t="str">
        <f t="shared" ca="1" si="2"/>
        <v>N/A</v>
      </c>
      <c r="O52" s="3">
        <f t="shared" ca="1" si="3"/>
        <v>19</v>
      </c>
      <c r="P52" s="3" t="str">
        <f t="shared" ca="1" si="5"/>
        <v>N/A</v>
      </c>
      <c r="Q52" s="1" t="str">
        <f>IF(K52=1,"Joined",IF(H52&gt;=70,"Dropped at Offer",IF(H52&gt;=50,"Dropped at Interview","Dropped at Screening")))</f>
        <v>Dropped at Screening</v>
      </c>
      <c r="R52" s="1" t="str">
        <f t="shared" ca="1" si="4"/>
        <v>Jan-2024</v>
      </c>
    </row>
    <row r="53" spans="1:18">
      <c r="A53">
        <v>31</v>
      </c>
      <c r="B53">
        <v>1</v>
      </c>
      <c r="C53">
        <v>2</v>
      </c>
      <c r="D53">
        <v>15</v>
      </c>
      <c r="E53">
        <v>3</v>
      </c>
      <c r="F53">
        <v>2.2382438788075598</v>
      </c>
      <c r="G53">
        <v>38</v>
      </c>
      <c r="H53">
        <v>40</v>
      </c>
      <c r="I53">
        <v>23</v>
      </c>
      <c r="J53">
        <v>2</v>
      </c>
      <c r="K53">
        <v>0</v>
      </c>
      <c r="L53" s="2">
        <f t="shared" si="0"/>
        <v>45292</v>
      </c>
      <c r="M53" s="2">
        <f t="shared" ca="1" si="1"/>
        <v>45324</v>
      </c>
      <c r="N53" s="2" t="str">
        <f t="shared" ca="1" si="2"/>
        <v>N/A</v>
      </c>
      <c r="O53" s="3">
        <f t="shared" ca="1" si="3"/>
        <v>32</v>
      </c>
      <c r="P53" s="3" t="str">
        <f t="shared" ca="1" si="5"/>
        <v>N/A</v>
      </c>
      <c r="Q53" s="1" t="str">
        <f>IF(K53=1,"Joined",IF(H53&gt;=70,"Dropped at Offer",IF(H53&gt;=50,"Dropped at Interview","Dropped at Screening")))</f>
        <v>Dropped at Screening</v>
      </c>
      <c r="R53" s="1" t="str">
        <f t="shared" ca="1" si="4"/>
        <v>Feb-2024</v>
      </c>
    </row>
    <row r="54" spans="1:18">
      <c r="A54">
        <v>42</v>
      </c>
      <c r="B54">
        <v>0</v>
      </c>
      <c r="C54">
        <v>2</v>
      </c>
      <c r="D54">
        <v>1</v>
      </c>
      <c r="E54">
        <v>5</v>
      </c>
      <c r="F54">
        <v>13.4409513509965</v>
      </c>
      <c r="G54">
        <v>76</v>
      </c>
      <c r="H54">
        <v>98</v>
      </c>
      <c r="I54">
        <v>47</v>
      </c>
      <c r="J54">
        <v>3</v>
      </c>
      <c r="K54">
        <v>0</v>
      </c>
      <c r="L54" s="2">
        <f t="shared" si="0"/>
        <v>45292</v>
      </c>
      <c r="M54" s="2">
        <f t="shared" ca="1" si="1"/>
        <v>45319</v>
      </c>
      <c r="N54" s="2" t="str">
        <f t="shared" ca="1" si="2"/>
        <v>N/A</v>
      </c>
      <c r="O54" s="3">
        <f t="shared" ca="1" si="3"/>
        <v>27</v>
      </c>
      <c r="P54" s="3" t="str">
        <f t="shared" ca="1" si="5"/>
        <v>N/A</v>
      </c>
      <c r="Q54" s="1" t="str">
        <f>IF(K54=1,"Joined",IF(H54&gt;=70,"Dropped at Offer",IF(H54&gt;=50,"Dropped at Interview","Dropped at Screening")))</f>
        <v>Dropped at Offer</v>
      </c>
      <c r="R54" s="1" t="str">
        <f t="shared" ca="1" si="4"/>
        <v>Jan-2024</v>
      </c>
    </row>
    <row r="55" spans="1:18">
      <c r="A55">
        <v>39</v>
      </c>
      <c r="B55">
        <v>1</v>
      </c>
      <c r="C55">
        <v>2</v>
      </c>
      <c r="D55">
        <v>11</v>
      </c>
      <c r="E55">
        <v>1</v>
      </c>
      <c r="F55">
        <v>21.394480425364002</v>
      </c>
      <c r="G55">
        <v>36</v>
      </c>
      <c r="H55">
        <v>37</v>
      </c>
      <c r="I55">
        <v>62</v>
      </c>
      <c r="J55">
        <v>1</v>
      </c>
      <c r="K55">
        <v>1</v>
      </c>
      <c r="L55" s="2">
        <f t="shared" si="0"/>
        <v>45292</v>
      </c>
      <c r="M55" s="2">
        <f t="shared" ca="1" si="1"/>
        <v>45328</v>
      </c>
      <c r="N55" s="2">
        <f t="shared" ca="1" si="2"/>
        <v>45338</v>
      </c>
      <c r="O55" s="3">
        <f t="shared" ca="1" si="3"/>
        <v>36</v>
      </c>
      <c r="P55" s="3">
        <f t="shared" ca="1" si="5"/>
        <v>10</v>
      </c>
      <c r="Q55" s="1" t="str">
        <f>IF(K55=1,"Joined",IF(H55&gt;=70,"Dropped at Offer",IF(H55&gt;=50,"Dropped at Interview","Dropped at Screening")))</f>
        <v>Joined</v>
      </c>
      <c r="R55" s="1" t="str">
        <f t="shared" ca="1" si="4"/>
        <v>Feb-2024</v>
      </c>
    </row>
    <row r="56" spans="1:18">
      <c r="A56">
        <v>44</v>
      </c>
      <c r="B56">
        <v>0</v>
      </c>
      <c r="C56">
        <v>2</v>
      </c>
      <c r="D56">
        <v>7</v>
      </c>
      <c r="E56">
        <v>1</v>
      </c>
      <c r="F56">
        <v>14.9818159246603</v>
      </c>
      <c r="G56">
        <v>80</v>
      </c>
      <c r="H56">
        <v>87</v>
      </c>
      <c r="I56">
        <v>68</v>
      </c>
      <c r="J56">
        <v>2</v>
      </c>
      <c r="K56">
        <v>1</v>
      </c>
      <c r="L56" s="2">
        <f t="shared" si="0"/>
        <v>45292</v>
      </c>
      <c r="M56" s="2">
        <f t="shared" ca="1" si="1"/>
        <v>45330</v>
      </c>
      <c r="N56" s="2">
        <f t="shared" ca="1" si="2"/>
        <v>45338</v>
      </c>
      <c r="O56" s="3">
        <f t="shared" ca="1" si="3"/>
        <v>38</v>
      </c>
      <c r="P56" s="3">
        <f t="shared" ca="1" si="5"/>
        <v>8</v>
      </c>
      <c r="Q56" s="1" t="str">
        <f>IF(K56=1,"Joined",IF(H56&gt;=70,"Dropped at Offer",IF(H56&gt;=50,"Dropped at Interview","Dropped at Screening")))</f>
        <v>Joined</v>
      </c>
      <c r="R56" s="1" t="str">
        <f t="shared" ca="1" si="4"/>
        <v>Feb-2024</v>
      </c>
    </row>
    <row r="57" spans="1:18">
      <c r="A57">
        <v>22</v>
      </c>
      <c r="B57">
        <v>1</v>
      </c>
      <c r="C57">
        <v>2</v>
      </c>
      <c r="D57">
        <v>9</v>
      </c>
      <c r="E57">
        <v>2</v>
      </c>
      <c r="F57">
        <v>7.8185163733782899</v>
      </c>
      <c r="G57">
        <v>20</v>
      </c>
      <c r="H57">
        <v>10</v>
      </c>
      <c r="I57">
        <v>52</v>
      </c>
      <c r="J57">
        <v>2</v>
      </c>
      <c r="K57">
        <v>0</v>
      </c>
      <c r="L57" s="2">
        <f t="shared" si="0"/>
        <v>45292</v>
      </c>
      <c r="M57" s="2">
        <f t="shared" ca="1" si="1"/>
        <v>45317</v>
      </c>
      <c r="N57" s="2" t="str">
        <f t="shared" ca="1" si="2"/>
        <v>N/A</v>
      </c>
      <c r="O57" s="3">
        <f t="shared" ca="1" si="3"/>
        <v>25</v>
      </c>
      <c r="P57" s="3" t="str">
        <f t="shared" ca="1" si="5"/>
        <v>N/A</v>
      </c>
      <c r="Q57" s="1" t="str">
        <f>IF(K57=1,"Joined",IF(H57&gt;=70,"Dropped at Offer",IF(H57&gt;=50,"Dropped at Interview","Dropped at Screening")))</f>
        <v>Dropped at Screening</v>
      </c>
      <c r="R57" s="1" t="str">
        <f t="shared" ca="1" si="4"/>
        <v>Jan-2024</v>
      </c>
    </row>
    <row r="58" spans="1:18">
      <c r="A58">
        <v>24</v>
      </c>
      <c r="B58">
        <v>0</v>
      </c>
      <c r="C58">
        <v>1</v>
      </c>
      <c r="D58">
        <v>5</v>
      </c>
      <c r="E58">
        <v>5</v>
      </c>
      <c r="F58">
        <v>37.4006128898098</v>
      </c>
      <c r="G58">
        <v>43</v>
      </c>
      <c r="H58">
        <v>28</v>
      </c>
      <c r="I58">
        <v>53</v>
      </c>
      <c r="J58">
        <v>2</v>
      </c>
      <c r="K58">
        <v>0</v>
      </c>
      <c r="L58" s="2">
        <f t="shared" si="0"/>
        <v>45292</v>
      </c>
      <c r="M58" s="2">
        <f t="shared" ca="1" si="1"/>
        <v>45335</v>
      </c>
      <c r="N58" s="2" t="str">
        <f t="shared" ca="1" si="2"/>
        <v>N/A</v>
      </c>
      <c r="O58" s="3">
        <f t="shared" ca="1" si="3"/>
        <v>43</v>
      </c>
      <c r="P58" s="3" t="str">
        <f t="shared" ca="1" si="5"/>
        <v>N/A</v>
      </c>
      <c r="Q58" s="1" t="str">
        <f>IF(K58=1,"Joined",IF(H58&gt;=70,"Dropped at Offer",IF(H58&gt;=50,"Dropped at Interview","Dropped at Screening")))</f>
        <v>Dropped at Screening</v>
      </c>
      <c r="R58" s="1" t="str">
        <f t="shared" ca="1" si="4"/>
        <v>Feb-2024</v>
      </c>
    </row>
    <row r="59" spans="1:18">
      <c r="A59">
        <v>38</v>
      </c>
      <c r="B59">
        <v>0</v>
      </c>
      <c r="C59">
        <v>1</v>
      </c>
      <c r="D59">
        <v>5</v>
      </c>
      <c r="E59">
        <v>1</v>
      </c>
      <c r="F59">
        <v>41.657382758399201</v>
      </c>
      <c r="G59">
        <v>18</v>
      </c>
      <c r="H59">
        <v>59</v>
      </c>
      <c r="I59">
        <v>41</v>
      </c>
      <c r="J59">
        <v>2</v>
      </c>
      <c r="K59">
        <v>0</v>
      </c>
      <c r="L59" s="2">
        <f t="shared" si="0"/>
        <v>45292</v>
      </c>
      <c r="M59" s="2">
        <f t="shared" ca="1" si="1"/>
        <v>45311</v>
      </c>
      <c r="N59" s="2" t="str">
        <f t="shared" ca="1" si="2"/>
        <v>N/A</v>
      </c>
      <c r="O59" s="3">
        <f t="shared" ca="1" si="3"/>
        <v>19</v>
      </c>
      <c r="P59" s="3" t="str">
        <f t="shared" ca="1" si="5"/>
        <v>N/A</v>
      </c>
      <c r="Q59" s="1" t="str">
        <f>IF(K59=1,"Joined",IF(H59&gt;=70,"Dropped at Offer",IF(H59&gt;=50,"Dropped at Interview","Dropped at Screening")))</f>
        <v>Dropped at Interview</v>
      </c>
      <c r="R59" s="1" t="str">
        <f t="shared" ca="1" si="4"/>
        <v>Jan-2024</v>
      </c>
    </row>
    <row r="60" spans="1:18">
      <c r="A60">
        <v>26</v>
      </c>
      <c r="B60">
        <v>1</v>
      </c>
      <c r="C60">
        <v>2</v>
      </c>
      <c r="D60">
        <v>9</v>
      </c>
      <c r="E60">
        <v>1</v>
      </c>
      <c r="F60">
        <v>13.873948807186199</v>
      </c>
      <c r="G60">
        <v>70</v>
      </c>
      <c r="H60">
        <v>66</v>
      </c>
      <c r="I60">
        <v>44</v>
      </c>
      <c r="J60">
        <v>3</v>
      </c>
      <c r="K60">
        <v>0</v>
      </c>
      <c r="L60" s="2">
        <f t="shared" si="0"/>
        <v>45292</v>
      </c>
      <c r="M60" s="2">
        <f t="shared" ca="1" si="1"/>
        <v>45326</v>
      </c>
      <c r="N60" s="2" t="str">
        <f t="shared" ca="1" si="2"/>
        <v>N/A</v>
      </c>
      <c r="O60" s="3">
        <f t="shared" ca="1" si="3"/>
        <v>34</v>
      </c>
      <c r="P60" s="3" t="str">
        <f t="shared" ca="1" si="5"/>
        <v>N/A</v>
      </c>
      <c r="Q60" s="1" t="str">
        <f>IF(K60=1,"Joined",IF(H60&gt;=70,"Dropped at Offer",IF(H60&gt;=50,"Dropped at Interview","Dropped at Screening")))</f>
        <v>Dropped at Interview</v>
      </c>
      <c r="R60" s="1" t="str">
        <f t="shared" ca="1" si="4"/>
        <v>Feb-2024</v>
      </c>
    </row>
    <row r="61" spans="1:18">
      <c r="A61">
        <v>40</v>
      </c>
      <c r="B61">
        <v>1</v>
      </c>
      <c r="C61">
        <v>2</v>
      </c>
      <c r="D61">
        <v>10</v>
      </c>
      <c r="E61">
        <v>5</v>
      </c>
      <c r="F61">
        <v>39.720974730315099</v>
      </c>
      <c r="G61">
        <v>7</v>
      </c>
      <c r="H61">
        <v>64</v>
      </c>
      <c r="I61">
        <v>89</v>
      </c>
      <c r="J61">
        <v>1</v>
      </c>
      <c r="K61">
        <v>1</v>
      </c>
      <c r="L61" s="2">
        <f t="shared" si="0"/>
        <v>45292</v>
      </c>
      <c r="M61" s="2">
        <f t="shared" ca="1" si="1"/>
        <v>45324</v>
      </c>
      <c r="N61" s="2">
        <f t="shared" ca="1" si="2"/>
        <v>45344</v>
      </c>
      <c r="O61" s="3">
        <f t="shared" ca="1" si="3"/>
        <v>32</v>
      </c>
      <c r="P61" s="3">
        <f t="shared" ca="1" si="5"/>
        <v>20</v>
      </c>
      <c r="Q61" s="1" t="str">
        <f>IF(K61=1,"Joined",IF(H61&gt;=70,"Dropped at Offer",IF(H61&gt;=50,"Dropped at Interview","Dropped at Screening")))</f>
        <v>Joined</v>
      </c>
      <c r="R61" s="1" t="str">
        <f t="shared" ca="1" si="4"/>
        <v>Feb-2024</v>
      </c>
    </row>
    <row r="62" spans="1:18">
      <c r="A62">
        <v>28</v>
      </c>
      <c r="B62">
        <v>0</v>
      </c>
      <c r="C62">
        <v>2</v>
      </c>
      <c r="D62">
        <v>6</v>
      </c>
      <c r="E62">
        <v>3</v>
      </c>
      <c r="F62">
        <v>20.277678220065599</v>
      </c>
      <c r="G62">
        <v>76</v>
      </c>
      <c r="H62">
        <v>60</v>
      </c>
      <c r="I62">
        <v>13</v>
      </c>
      <c r="J62">
        <v>1</v>
      </c>
      <c r="K62">
        <v>1</v>
      </c>
      <c r="L62" s="2">
        <f t="shared" si="0"/>
        <v>45292</v>
      </c>
      <c r="M62" s="2">
        <f t="shared" ca="1" si="1"/>
        <v>45308</v>
      </c>
      <c r="N62" s="2">
        <f t="shared" ca="1" si="2"/>
        <v>45330</v>
      </c>
      <c r="O62" s="3">
        <f t="shared" ca="1" si="3"/>
        <v>16</v>
      </c>
      <c r="P62" s="3">
        <f t="shared" ca="1" si="5"/>
        <v>22</v>
      </c>
      <c r="Q62" s="1" t="str">
        <f>IF(K62=1,"Joined",IF(H62&gt;=70,"Dropped at Offer",IF(H62&gt;=50,"Dropped at Interview","Dropped at Screening")))</f>
        <v>Joined</v>
      </c>
      <c r="R62" s="1" t="str">
        <f t="shared" ca="1" si="4"/>
        <v>Jan-2024</v>
      </c>
    </row>
    <row r="63" spans="1:18">
      <c r="A63">
        <v>26</v>
      </c>
      <c r="B63">
        <v>1</v>
      </c>
      <c r="C63">
        <v>2</v>
      </c>
      <c r="D63">
        <v>6</v>
      </c>
      <c r="E63">
        <v>5</v>
      </c>
      <c r="F63">
        <v>26.334289542700098</v>
      </c>
      <c r="G63">
        <v>100</v>
      </c>
      <c r="H63">
        <v>18</v>
      </c>
      <c r="I63">
        <v>28</v>
      </c>
      <c r="J63">
        <v>1</v>
      </c>
      <c r="K63">
        <v>1</v>
      </c>
      <c r="L63" s="2">
        <f t="shared" si="0"/>
        <v>45292</v>
      </c>
      <c r="M63" s="2">
        <f t="shared" ca="1" si="1"/>
        <v>45324</v>
      </c>
      <c r="N63" s="2">
        <f t="shared" ca="1" si="2"/>
        <v>45346</v>
      </c>
      <c r="O63" s="3">
        <f t="shared" ca="1" si="3"/>
        <v>32</v>
      </c>
      <c r="P63" s="3">
        <f t="shared" ca="1" si="5"/>
        <v>22</v>
      </c>
      <c r="Q63" s="1" t="str">
        <f>IF(K63=1,"Joined",IF(H63&gt;=70,"Dropped at Offer",IF(H63&gt;=50,"Dropped at Interview","Dropped at Screening")))</f>
        <v>Joined</v>
      </c>
      <c r="R63" s="1" t="str">
        <f t="shared" ca="1" si="4"/>
        <v>Feb-2024</v>
      </c>
    </row>
    <row r="64" spans="1:18">
      <c r="A64">
        <v>37</v>
      </c>
      <c r="B64">
        <v>0</v>
      </c>
      <c r="C64">
        <v>2</v>
      </c>
      <c r="D64">
        <v>10</v>
      </c>
      <c r="E64">
        <v>5</v>
      </c>
      <c r="F64">
        <v>43.800053744657603</v>
      </c>
      <c r="G64">
        <v>65</v>
      </c>
      <c r="H64">
        <v>45</v>
      </c>
      <c r="I64">
        <v>5</v>
      </c>
      <c r="J64">
        <v>3</v>
      </c>
      <c r="K64">
        <v>0</v>
      </c>
      <c r="L64" s="2">
        <f t="shared" si="0"/>
        <v>45292</v>
      </c>
      <c r="M64" s="2">
        <f t="shared" ca="1" si="1"/>
        <v>45310</v>
      </c>
      <c r="N64" s="2" t="str">
        <f t="shared" ca="1" si="2"/>
        <v>N/A</v>
      </c>
      <c r="O64" s="3">
        <f t="shared" ca="1" si="3"/>
        <v>18</v>
      </c>
      <c r="P64" s="3" t="str">
        <f t="shared" ca="1" si="5"/>
        <v>N/A</v>
      </c>
      <c r="Q64" s="1" t="str">
        <f>IF(K64=1,"Joined",IF(H64&gt;=70,"Dropped at Offer",IF(H64&gt;=50,"Dropped at Interview","Dropped at Screening")))</f>
        <v>Dropped at Screening</v>
      </c>
      <c r="R64" s="1" t="str">
        <f t="shared" ca="1" si="4"/>
        <v>Jan-2024</v>
      </c>
    </row>
    <row r="65" spans="1:18">
      <c r="A65">
        <v>23</v>
      </c>
      <c r="B65">
        <v>0</v>
      </c>
      <c r="C65">
        <v>3</v>
      </c>
      <c r="D65">
        <v>12</v>
      </c>
      <c r="E65">
        <v>3</v>
      </c>
      <c r="F65">
        <v>38.497684090120302</v>
      </c>
      <c r="G65">
        <v>40</v>
      </c>
      <c r="H65">
        <v>48</v>
      </c>
      <c r="I65">
        <v>6</v>
      </c>
      <c r="J65">
        <v>2</v>
      </c>
      <c r="K65">
        <v>0</v>
      </c>
      <c r="L65" s="2">
        <f t="shared" si="0"/>
        <v>45292</v>
      </c>
      <c r="M65" s="2">
        <f t="shared" ca="1" si="1"/>
        <v>45335</v>
      </c>
      <c r="N65" s="2" t="str">
        <f t="shared" ca="1" si="2"/>
        <v>N/A</v>
      </c>
      <c r="O65" s="3">
        <f t="shared" ca="1" si="3"/>
        <v>43</v>
      </c>
      <c r="P65" s="3" t="str">
        <f t="shared" ca="1" si="5"/>
        <v>N/A</v>
      </c>
      <c r="Q65" s="1" t="str">
        <f>IF(K65=1,"Joined",IF(H65&gt;=70,"Dropped at Offer",IF(H65&gt;=50,"Dropped at Interview","Dropped at Screening")))</f>
        <v>Dropped at Screening</v>
      </c>
      <c r="R65" s="1" t="str">
        <f t="shared" ca="1" si="4"/>
        <v>Feb-2024</v>
      </c>
    </row>
    <row r="66" spans="1:18">
      <c r="A66">
        <v>44</v>
      </c>
      <c r="B66">
        <v>0</v>
      </c>
      <c r="C66">
        <v>1</v>
      </c>
      <c r="D66">
        <v>14</v>
      </c>
      <c r="E66">
        <v>5</v>
      </c>
      <c r="F66">
        <v>41.255842565808798</v>
      </c>
      <c r="G66">
        <v>74</v>
      </c>
      <c r="H66">
        <v>21</v>
      </c>
      <c r="I66">
        <v>36</v>
      </c>
      <c r="J66">
        <v>2</v>
      </c>
      <c r="K66">
        <v>0</v>
      </c>
      <c r="L66" s="2">
        <f t="shared" ref="L66:L129" si="6">DATE(2024,1,1)</f>
        <v>45292</v>
      </c>
      <c r="M66" s="2">
        <f t="shared" ref="M66:M129" ca="1" si="7">L66+RANDBETWEEN(14,45)</f>
        <v>45324</v>
      </c>
      <c r="N66" s="2" t="str">
        <f t="shared" ref="N66:N129" ca="1" si="8">IF(K66=1, M66+RANDBETWEEN(7,30), "N/A")</f>
        <v>N/A</v>
      </c>
      <c r="O66" s="3">
        <f t="shared" ref="O66:O129" ca="1" si="9">IF(AND(M66&lt;&gt;"",L66&lt;&gt;""), M66-L66, "N/A")</f>
        <v>32</v>
      </c>
      <c r="P66" s="3" t="str">
        <f t="shared" ref="P66:Q129" ca="1" si="10">IF(AND(K66=1, N66&lt;&gt;"", M66&lt;&gt;""), N66 - M66, "N/A")</f>
        <v>N/A</v>
      </c>
      <c r="Q66" s="1" t="str">
        <f>IF(K66=1,"Joined",IF(H66&gt;=70,"Dropped at Offer",IF(H66&gt;=50,"Dropped at Interview","Dropped at Screening")))</f>
        <v>Dropped at Screening</v>
      </c>
      <c r="R66" s="1" t="str">
        <f t="shared" ref="R66:R129" ca="1" si="11">TEXT(M66,"MMM-YYYY")</f>
        <v>Feb-2024</v>
      </c>
    </row>
    <row r="67" spans="1:18">
      <c r="A67">
        <v>47</v>
      </c>
      <c r="B67">
        <v>1</v>
      </c>
      <c r="C67">
        <v>2</v>
      </c>
      <c r="D67">
        <v>5</v>
      </c>
      <c r="E67">
        <v>1</v>
      </c>
      <c r="F67">
        <v>7.8422583293178398</v>
      </c>
      <c r="G67">
        <v>87</v>
      </c>
      <c r="H67">
        <v>77</v>
      </c>
      <c r="I67">
        <v>52</v>
      </c>
      <c r="J67">
        <v>1</v>
      </c>
      <c r="K67">
        <v>1</v>
      </c>
      <c r="L67" s="2">
        <f t="shared" si="6"/>
        <v>45292</v>
      </c>
      <c r="M67" s="2">
        <f t="shared" ca="1" si="7"/>
        <v>45308</v>
      </c>
      <c r="N67" s="2">
        <f t="shared" ca="1" si="8"/>
        <v>45336</v>
      </c>
      <c r="O67" s="3">
        <f t="shared" ca="1" si="9"/>
        <v>16</v>
      </c>
      <c r="P67" s="3">
        <f t="shared" ca="1" si="10"/>
        <v>28</v>
      </c>
      <c r="Q67" s="1" t="str">
        <f>IF(K67=1,"Joined",IF(H67&gt;=70,"Dropped at Offer",IF(H67&gt;=50,"Dropped at Interview","Dropped at Screening")))</f>
        <v>Joined</v>
      </c>
      <c r="R67" s="1" t="str">
        <f t="shared" ca="1" si="11"/>
        <v>Jan-2024</v>
      </c>
    </row>
    <row r="68" spans="1:18">
      <c r="A68">
        <v>33</v>
      </c>
      <c r="B68">
        <v>0</v>
      </c>
      <c r="C68">
        <v>3</v>
      </c>
      <c r="D68">
        <v>3</v>
      </c>
      <c r="E68">
        <v>5</v>
      </c>
      <c r="F68">
        <v>4.4859712916864698</v>
      </c>
      <c r="G68">
        <v>69</v>
      </c>
      <c r="H68">
        <v>56</v>
      </c>
      <c r="I68">
        <v>17</v>
      </c>
      <c r="J68">
        <v>3</v>
      </c>
      <c r="K68">
        <v>0</v>
      </c>
      <c r="L68" s="2">
        <f t="shared" si="6"/>
        <v>45292</v>
      </c>
      <c r="M68" s="2">
        <f t="shared" ca="1" si="7"/>
        <v>45327</v>
      </c>
      <c r="N68" s="2" t="str">
        <f t="shared" ca="1" si="8"/>
        <v>N/A</v>
      </c>
      <c r="O68" s="3">
        <f t="shared" ca="1" si="9"/>
        <v>35</v>
      </c>
      <c r="P68" s="3" t="str">
        <f t="shared" ca="1" si="10"/>
        <v>N/A</v>
      </c>
      <c r="Q68" s="1" t="str">
        <f>IF(K68=1,"Joined",IF(H68&gt;=70,"Dropped at Offer",IF(H68&gt;=50,"Dropped at Interview","Dropped at Screening")))</f>
        <v>Dropped at Interview</v>
      </c>
      <c r="R68" s="1" t="str">
        <f t="shared" ca="1" si="11"/>
        <v>Feb-2024</v>
      </c>
    </row>
    <row r="69" spans="1:18">
      <c r="A69">
        <v>37</v>
      </c>
      <c r="B69">
        <v>0</v>
      </c>
      <c r="C69">
        <v>2</v>
      </c>
      <c r="D69">
        <v>10</v>
      </c>
      <c r="E69">
        <v>3</v>
      </c>
      <c r="F69">
        <v>45.670236454399301</v>
      </c>
      <c r="G69">
        <v>60</v>
      </c>
      <c r="H69">
        <v>13</v>
      </c>
      <c r="I69">
        <v>86</v>
      </c>
      <c r="J69">
        <v>3</v>
      </c>
      <c r="K69">
        <v>0</v>
      </c>
      <c r="L69" s="2">
        <f t="shared" si="6"/>
        <v>45292</v>
      </c>
      <c r="M69" s="2">
        <f t="shared" ca="1" si="7"/>
        <v>45323</v>
      </c>
      <c r="N69" s="2" t="str">
        <f t="shared" ca="1" si="8"/>
        <v>N/A</v>
      </c>
      <c r="O69" s="3">
        <f t="shared" ca="1" si="9"/>
        <v>31</v>
      </c>
      <c r="P69" s="3" t="str">
        <f t="shared" ca="1" si="10"/>
        <v>N/A</v>
      </c>
      <c r="Q69" s="1" t="str">
        <f>IF(K69=1,"Joined",IF(H69&gt;=70,"Dropped at Offer",IF(H69&gt;=50,"Dropped at Interview","Dropped at Screening")))</f>
        <v>Dropped at Screening</v>
      </c>
      <c r="R69" s="1" t="str">
        <f t="shared" ca="1" si="11"/>
        <v>Feb-2024</v>
      </c>
    </row>
    <row r="70" spans="1:18">
      <c r="A70">
        <v>45</v>
      </c>
      <c r="B70">
        <v>1</v>
      </c>
      <c r="C70">
        <v>2</v>
      </c>
      <c r="D70">
        <v>8</v>
      </c>
      <c r="E70">
        <v>4</v>
      </c>
      <c r="F70">
        <v>20.391713478554699</v>
      </c>
      <c r="G70">
        <v>25</v>
      </c>
      <c r="H70">
        <v>43</v>
      </c>
      <c r="I70">
        <v>37</v>
      </c>
      <c r="J70">
        <v>2</v>
      </c>
      <c r="K70">
        <v>0</v>
      </c>
      <c r="L70" s="2">
        <f t="shared" si="6"/>
        <v>45292</v>
      </c>
      <c r="M70" s="2">
        <f t="shared" ca="1" si="7"/>
        <v>45321</v>
      </c>
      <c r="N70" s="2" t="str">
        <f t="shared" ca="1" si="8"/>
        <v>N/A</v>
      </c>
      <c r="O70" s="3">
        <f t="shared" ca="1" si="9"/>
        <v>29</v>
      </c>
      <c r="P70" s="3" t="str">
        <f t="shared" ca="1" si="10"/>
        <v>N/A</v>
      </c>
      <c r="Q70" s="1" t="str">
        <f>IF(K70=1,"Joined",IF(H70&gt;=70,"Dropped at Offer",IF(H70&gt;=50,"Dropped at Interview","Dropped at Screening")))</f>
        <v>Dropped at Screening</v>
      </c>
      <c r="R70" s="1" t="str">
        <f t="shared" ca="1" si="11"/>
        <v>Jan-2024</v>
      </c>
    </row>
    <row r="71" spans="1:18">
      <c r="A71">
        <v>28</v>
      </c>
      <c r="B71">
        <v>1</v>
      </c>
      <c r="C71">
        <v>4</v>
      </c>
      <c r="D71">
        <v>5</v>
      </c>
      <c r="E71">
        <v>5</v>
      </c>
      <c r="F71">
        <v>15.393983903483999</v>
      </c>
      <c r="G71">
        <v>70</v>
      </c>
      <c r="H71">
        <v>15</v>
      </c>
      <c r="I71">
        <v>58</v>
      </c>
      <c r="J71">
        <v>2</v>
      </c>
      <c r="K71">
        <v>0</v>
      </c>
      <c r="L71" s="2">
        <f t="shared" si="6"/>
        <v>45292</v>
      </c>
      <c r="M71" s="2">
        <f t="shared" ca="1" si="7"/>
        <v>45334</v>
      </c>
      <c r="N71" s="2" t="str">
        <f t="shared" ca="1" si="8"/>
        <v>N/A</v>
      </c>
      <c r="O71" s="3">
        <f t="shared" ca="1" si="9"/>
        <v>42</v>
      </c>
      <c r="P71" s="3" t="str">
        <f t="shared" ca="1" si="10"/>
        <v>N/A</v>
      </c>
      <c r="Q71" s="1" t="str">
        <f>IF(K71=1,"Joined",IF(H71&gt;=70,"Dropped at Offer",IF(H71&gt;=50,"Dropped at Interview","Dropped at Screening")))</f>
        <v>Dropped at Screening</v>
      </c>
      <c r="R71" s="1" t="str">
        <f t="shared" ca="1" si="11"/>
        <v>Feb-2024</v>
      </c>
    </row>
    <row r="72" spans="1:18">
      <c r="A72">
        <v>45</v>
      </c>
      <c r="B72">
        <v>1</v>
      </c>
      <c r="C72">
        <v>3</v>
      </c>
      <c r="D72">
        <v>3</v>
      </c>
      <c r="E72">
        <v>2</v>
      </c>
      <c r="F72">
        <v>37.234812713091202</v>
      </c>
      <c r="G72">
        <v>82</v>
      </c>
      <c r="H72">
        <v>96</v>
      </c>
      <c r="I72">
        <v>0</v>
      </c>
      <c r="J72">
        <v>1</v>
      </c>
      <c r="K72">
        <v>1</v>
      </c>
      <c r="L72" s="2">
        <f t="shared" si="6"/>
        <v>45292</v>
      </c>
      <c r="M72" s="2">
        <f t="shared" ca="1" si="7"/>
        <v>45312</v>
      </c>
      <c r="N72" s="2">
        <f t="shared" ca="1" si="8"/>
        <v>45334</v>
      </c>
      <c r="O72" s="3">
        <f t="shared" ca="1" si="9"/>
        <v>20</v>
      </c>
      <c r="P72" s="3">
        <f t="shared" ca="1" si="10"/>
        <v>22</v>
      </c>
      <c r="Q72" s="1" t="str">
        <f>IF(K72=1,"Joined",IF(H72&gt;=70,"Dropped at Offer",IF(H72&gt;=50,"Dropped at Interview","Dropped at Screening")))</f>
        <v>Joined</v>
      </c>
      <c r="R72" s="1" t="str">
        <f t="shared" ca="1" si="11"/>
        <v>Jan-2024</v>
      </c>
    </row>
    <row r="73" spans="1:18">
      <c r="A73">
        <v>40</v>
      </c>
      <c r="B73">
        <v>1</v>
      </c>
      <c r="C73">
        <v>2</v>
      </c>
      <c r="D73">
        <v>11</v>
      </c>
      <c r="E73">
        <v>1</v>
      </c>
      <c r="F73">
        <v>42.820779828992798</v>
      </c>
      <c r="G73">
        <v>69</v>
      </c>
      <c r="H73">
        <v>76</v>
      </c>
      <c r="I73">
        <v>67</v>
      </c>
      <c r="J73">
        <v>2</v>
      </c>
      <c r="K73">
        <v>0</v>
      </c>
      <c r="L73" s="2">
        <f t="shared" si="6"/>
        <v>45292</v>
      </c>
      <c r="M73" s="2">
        <f t="shared" ca="1" si="7"/>
        <v>45308</v>
      </c>
      <c r="N73" s="2" t="str">
        <f t="shared" ca="1" si="8"/>
        <v>N/A</v>
      </c>
      <c r="O73" s="3">
        <f t="shared" ca="1" si="9"/>
        <v>16</v>
      </c>
      <c r="P73" s="3" t="str">
        <f t="shared" ca="1" si="10"/>
        <v>N/A</v>
      </c>
      <c r="Q73" s="1" t="str">
        <f>IF(K73=1,"Joined",IF(H73&gt;=70,"Dropped at Offer",IF(H73&gt;=50,"Dropped at Interview","Dropped at Screening")))</f>
        <v>Dropped at Offer</v>
      </c>
      <c r="R73" s="1" t="str">
        <f t="shared" ca="1" si="11"/>
        <v>Jan-2024</v>
      </c>
    </row>
    <row r="74" spans="1:18">
      <c r="A74">
        <v>21</v>
      </c>
      <c r="B74">
        <v>0</v>
      </c>
      <c r="C74">
        <v>2</v>
      </c>
      <c r="D74">
        <v>2</v>
      </c>
      <c r="E74">
        <v>1</v>
      </c>
      <c r="F74">
        <v>44.124481094914998</v>
      </c>
      <c r="G74">
        <v>28</v>
      </c>
      <c r="H74">
        <v>11</v>
      </c>
      <c r="I74">
        <v>43</v>
      </c>
      <c r="J74">
        <v>2</v>
      </c>
      <c r="K74">
        <v>0</v>
      </c>
      <c r="L74" s="2">
        <f t="shared" si="6"/>
        <v>45292</v>
      </c>
      <c r="M74" s="2">
        <f t="shared" ca="1" si="7"/>
        <v>45332</v>
      </c>
      <c r="N74" s="2" t="str">
        <f t="shared" ca="1" si="8"/>
        <v>N/A</v>
      </c>
      <c r="O74" s="3">
        <f t="shared" ca="1" si="9"/>
        <v>40</v>
      </c>
      <c r="P74" s="3" t="str">
        <f t="shared" ca="1" si="10"/>
        <v>N/A</v>
      </c>
      <c r="Q74" s="1" t="str">
        <f>IF(K74=1,"Joined",IF(H74&gt;=70,"Dropped at Offer",IF(H74&gt;=50,"Dropped at Interview","Dropped at Screening")))</f>
        <v>Dropped at Screening</v>
      </c>
      <c r="R74" s="1" t="str">
        <f t="shared" ca="1" si="11"/>
        <v>Feb-2024</v>
      </c>
    </row>
    <row r="75" spans="1:18">
      <c r="A75">
        <v>39</v>
      </c>
      <c r="B75">
        <v>0</v>
      </c>
      <c r="C75">
        <v>2</v>
      </c>
      <c r="D75">
        <v>3</v>
      </c>
      <c r="E75">
        <v>2</v>
      </c>
      <c r="F75">
        <v>16.799857056261299</v>
      </c>
      <c r="G75">
        <v>65</v>
      </c>
      <c r="H75">
        <v>54</v>
      </c>
      <c r="I75">
        <v>46</v>
      </c>
      <c r="J75">
        <v>1</v>
      </c>
      <c r="K75">
        <v>0</v>
      </c>
      <c r="L75" s="2">
        <f t="shared" si="6"/>
        <v>45292</v>
      </c>
      <c r="M75" s="2">
        <f t="shared" ca="1" si="7"/>
        <v>45306</v>
      </c>
      <c r="N75" s="2" t="str">
        <f t="shared" ca="1" si="8"/>
        <v>N/A</v>
      </c>
      <c r="O75" s="3">
        <f t="shared" ca="1" si="9"/>
        <v>14</v>
      </c>
      <c r="P75" s="3" t="str">
        <f t="shared" ca="1" si="10"/>
        <v>N/A</v>
      </c>
      <c r="Q75" s="1" t="str">
        <f>IF(K75=1,"Joined",IF(H75&gt;=70,"Dropped at Offer",IF(H75&gt;=50,"Dropped at Interview","Dropped at Screening")))</f>
        <v>Dropped at Interview</v>
      </c>
      <c r="R75" s="1" t="str">
        <f t="shared" ca="1" si="11"/>
        <v>Jan-2024</v>
      </c>
    </row>
    <row r="76" spans="1:18">
      <c r="A76">
        <v>47</v>
      </c>
      <c r="B76">
        <v>0</v>
      </c>
      <c r="C76">
        <v>2</v>
      </c>
      <c r="D76">
        <v>2</v>
      </c>
      <c r="E76">
        <v>2</v>
      </c>
      <c r="F76">
        <v>43.610619560083698</v>
      </c>
      <c r="G76">
        <v>18</v>
      </c>
      <c r="H76">
        <v>50</v>
      </c>
      <c r="I76">
        <v>34</v>
      </c>
      <c r="J76">
        <v>2</v>
      </c>
      <c r="K76">
        <v>0</v>
      </c>
      <c r="L76" s="2">
        <f t="shared" si="6"/>
        <v>45292</v>
      </c>
      <c r="M76" s="2">
        <f t="shared" ca="1" si="7"/>
        <v>45320</v>
      </c>
      <c r="N76" s="2" t="str">
        <f t="shared" ca="1" si="8"/>
        <v>N/A</v>
      </c>
      <c r="O76" s="3">
        <f t="shared" ca="1" si="9"/>
        <v>28</v>
      </c>
      <c r="P76" s="3" t="str">
        <f t="shared" ca="1" si="10"/>
        <v>N/A</v>
      </c>
      <c r="Q76" s="1" t="str">
        <f>IF(K76=1,"Joined",IF(H76&gt;=70,"Dropped at Offer",IF(H76&gt;=50,"Dropped at Interview","Dropped at Screening")))</f>
        <v>Dropped at Interview</v>
      </c>
      <c r="R76" s="1" t="str">
        <f t="shared" ca="1" si="11"/>
        <v>Jan-2024</v>
      </c>
    </row>
    <row r="77" spans="1:18">
      <c r="A77">
        <v>34</v>
      </c>
      <c r="B77">
        <v>0</v>
      </c>
      <c r="C77">
        <v>2</v>
      </c>
      <c r="D77">
        <v>14</v>
      </c>
      <c r="E77">
        <v>5</v>
      </c>
      <c r="F77">
        <v>3.0466972187172598</v>
      </c>
      <c r="G77">
        <v>67</v>
      </c>
      <c r="H77">
        <v>38</v>
      </c>
      <c r="I77">
        <v>86</v>
      </c>
      <c r="J77">
        <v>1</v>
      </c>
      <c r="K77">
        <v>1</v>
      </c>
      <c r="L77" s="2">
        <f t="shared" si="6"/>
        <v>45292</v>
      </c>
      <c r="M77" s="2">
        <f t="shared" ca="1" si="7"/>
        <v>45324</v>
      </c>
      <c r="N77" s="2">
        <f t="shared" ca="1" si="8"/>
        <v>45349</v>
      </c>
      <c r="O77" s="3">
        <f t="shared" ca="1" si="9"/>
        <v>32</v>
      </c>
      <c r="P77" s="3">
        <f t="shared" ca="1" si="10"/>
        <v>25</v>
      </c>
      <c r="Q77" s="1" t="str">
        <f>IF(K77=1,"Joined",IF(H77&gt;=70,"Dropped at Offer",IF(H77&gt;=50,"Dropped at Interview","Dropped at Screening")))</f>
        <v>Joined</v>
      </c>
      <c r="R77" s="1" t="str">
        <f t="shared" ca="1" si="11"/>
        <v>Feb-2024</v>
      </c>
    </row>
    <row r="78" spans="1:18">
      <c r="A78">
        <v>47</v>
      </c>
      <c r="B78">
        <v>1</v>
      </c>
      <c r="C78">
        <v>2</v>
      </c>
      <c r="D78">
        <v>1</v>
      </c>
      <c r="E78">
        <v>2</v>
      </c>
      <c r="F78">
        <v>3.4830745729859398</v>
      </c>
      <c r="G78">
        <v>57</v>
      </c>
      <c r="H78">
        <v>32</v>
      </c>
      <c r="I78">
        <v>90</v>
      </c>
      <c r="J78">
        <v>2</v>
      </c>
      <c r="K78">
        <v>0</v>
      </c>
      <c r="L78" s="2">
        <f t="shared" si="6"/>
        <v>45292</v>
      </c>
      <c r="M78" s="2">
        <f t="shared" ca="1" si="7"/>
        <v>45308</v>
      </c>
      <c r="N78" s="2" t="str">
        <f t="shared" ca="1" si="8"/>
        <v>N/A</v>
      </c>
      <c r="O78" s="3">
        <f t="shared" ca="1" si="9"/>
        <v>16</v>
      </c>
      <c r="P78" s="3" t="str">
        <f t="shared" ca="1" si="10"/>
        <v>N/A</v>
      </c>
      <c r="Q78" s="1" t="str">
        <f>IF(K78=1,"Joined",IF(H78&gt;=70,"Dropped at Offer",IF(H78&gt;=50,"Dropped at Interview","Dropped at Screening")))</f>
        <v>Dropped at Screening</v>
      </c>
      <c r="R78" s="1" t="str">
        <f t="shared" ca="1" si="11"/>
        <v>Jan-2024</v>
      </c>
    </row>
    <row r="79" spans="1:18">
      <c r="A79">
        <v>26</v>
      </c>
      <c r="B79">
        <v>0</v>
      </c>
      <c r="C79">
        <v>2</v>
      </c>
      <c r="D79">
        <v>13</v>
      </c>
      <c r="E79">
        <v>4</v>
      </c>
      <c r="F79">
        <v>32.175959758707698</v>
      </c>
      <c r="G79">
        <v>69</v>
      </c>
      <c r="H79">
        <v>32</v>
      </c>
      <c r="I79">
        <v>59</v>
      </c>
      <c r="J79">
        <v>2</v>
      </c>
      <c r="K79">
        <v>0</v>
      </c>
      <c r="L79" s="2">
        <f t="shared" si="6"/>
        <v>45292</v>
      </c>
      <c r="M79" s="2">
        <f t="shared" ca="1" si="7"/>
        <v>45320</v>
      </c>
      <c r="N79" s="2" t="str">
        <f t="shared" ca="1" si="8"/>
        <v>N/A</v>
      </c>
      <c r="O79" s="3">
        <f t="shared" ca="1" si="9"/>
        <v>28</v>
      </c>
      <c r="P79" s="3" t="str">
        <f t="shared" ca="1" si="10"/>
        <v>N/A</v>
      </c>
      <c r="Q79" s="1" t="str">
        <f>IF(K79=1,"Joined",IF(H79&gt;=70,"Dropped at Offer",IF(H79&gt;=50,"Dropped at Interview","Dropped at Screening")))</f>
        <v>Dropped at Screening</v>
      </c>
      <c r="R79" s="1" t="str">
        <f t="shared" ca="1" si="11"/>
        <v>Jan-2024</v>
      </c>
    </row>
    <row r="80" spans="1:18">
      <c r="A80">
        <v>31</v>
      </c>
      <c r="B80">
        <v>0</v>
      </c>
      <c r="C80">
        <v>2</v>
      </c>
      <c r="D80">
        <v>4</v>
      </c>
      <c r="E80">
        <v>3</v>
      </c>
      <c r="F80">
        <v>4.1553184557773104</v>
      </c>
      <c r="G80">
        <v>56</v>
      </c>
      <c r="H80">
        <v>28</v>
      </c>
      <c r="I80">
        <v>89</v>
      </c>
      <c r="J80">
        <v>1</v>
      </c>
      <c r="K80">
        <v>0</v>
      </c>
      <c r="L80" s="2">
        <f t="shared" si="6"/>
        <v>45292</v>
      </c>
      <c r="M80" s="2">
        <f t="shared" ca="1" si="7"/>
        <v>45333</v>
      </c>
      <c r="N80" s="2" t="str">
        <f t="shared" ca="1" si="8"/>
        <v>N/A</v>
      </c>
      <c r="O80" s="3">
        <f t="shared" ca="1" si="9"/>
        <v>41</v>
      </c>
      <c r="P80" s="3" t="str">
        <f t="shared" ca="1" si="10"/>
        <v>N/A</v>
      </c>
      <c r="Q80" s="1" t="str">
        <f>IF(K80=1,"Joined",IF(H80&gt;=70,"Dropped at Offer",IF(H80&gt;=50,"Dropped at Interview","Dropped at Screening")))</f>
        <v>Dropped at Screening</v>
      </c>
      <c r="R80" s="1" t="str">
        <f t="shared" ca="1" si="11"/>
        <v>Feb-2024</v>
      </c>
    </row>
    <row r="81" spans="1:18">
      <c r="A81">
        <v>48</v>
      </c>
      <c r="B81">
        <v>1</v>
      </c>
      <c r="C81">
        <v>3</v>
      </c>
      <c r="D81">
        <v>1</v>
      </c>
      <c r="E81">
        <v>2</v>
      </c>
      <c r="F81">
        <v>17.230458425508001</v>
      </c>
      <c r="G81">
        <v>36</v>
      </c>
      <c r="H81">
        <v>68</v>
      </c>
      <c r="I81">
        <v>51</v>
      </c>
      <c r="J81">
        <v>2</v>
      </c>
      <c r="K81">
        <v>0</v>
      </c>
      <c r="L81" s="2">
        <f t="shared" si="6"/>
        <v>45292</v>
      </c>
      <c r="M81" s="2">
        <f t="shared" ca="1" si="7"/>
        <v>45334</v>
      </c>
      <c r="N81" s="2" t="str">
        <f t="shared" ca="1" si="8"/>
        <v>N/A</v>
      </c>
      <c r="O81" s="3">
        <f t="shared" ca="1" si="9"/>
        <v>42</v>
      </c>
      <c r="P81" s="3" t="str">
        <f t="shared" ca="1" si="10"/>
        <v>N/A</v>
      </c>
      <c r="Q81" s="1" t="str">
        <f>IF(K81=1,"Joined",IF(H81&gt;=70,"Dropped at Offer",IF(H81&gt;=50,"Dropped at Interview","Dropped at Screening")))</f>
        <v>Dropped at Interview</v>
      </c>
      <c r="R81" s="1" t="str">
        <f t="shared" ca="1" si="11"/>
        <v>Feb-2024</v>
      </c>
    </row>
    <row r="82" spans="1:18">
      <c r="A82">
        <v>27</v>
      </c>
      <c r="B82">
        <v>0</v>
      </c>
      <c r="C82">
        <v>2</v>
      </c>
      <c r="D82">
        <v>5</v>
      </c>
      <c r="E82">
        <v>2</v>
      </c>
      <c r="F82">
        <v>34.637799312346203</v>
      </c>
      <c r="G82">
        <v>60</v>
      </c>
      <c r="H82">
        <v>69</v>
      </c>
      <c r="I82">
        <v>7</v>
      </c>
      <c r="J82">
        <v>2</v>
      </c>
      <c r="K82">
        <v>0</v>
      </c>
      <c r="L82" s="2">
        <f t="shared" si="6"/>
        <v>45292</v>
      </c>
      <c r="M82" s="2">
        <f t="shared" ca="1" si="7"/>
        <v>45323</v>
      </c>
      <c r="N82" s="2" t="str">
        <f t="shared" ca="1" si="8"/>
        <v>N/A</v>
      </c>
      <c r="O82" s="3">
        <f t="shared" ca="1" si="9"/>
        <v>31</v>
      </c>
      <c r="P82" s="3" t="str">
        <f t="shared" ca="1" si="10"/>
        <v>N/A</v>
      </c>
      <c r="Q82" s="1" t="str">
        <f>IF(K82=1,"Joined",IF(H82&gt;=70,"Dropped at Offer",IF(H82&gt;=50,"Dropped at Interview","Dropped at Screening")))</f>
        <v>Dropped at Interview</v>
      </c>
      <c r="R82" s="1" t="str">
        <f t="shared" ca="1" si="11"/>
        <v>Feb-2024</v>
      </c>
    </row>
    <row r="83" spans="1:18">
      <c r="A83">
        <v>34</v>
      </c>
      <c r="B83">
        <v>0</v>
      </c>
      <c r="C83">
        <v>1</v>
      </c>
      <c r="D83">
        <v>2</v>
      </c>
      <c r="E83">
        <v>4</v>
      </c>
      <c r="F83">
        <v>17.8633448027113</v>
      </c>
      <c r="G83">
        <v>91</v>
      </c>
      <c r="H83">
        <v>30</v>
      </c>
      <c r="I83">
        <v>79</v>
      </c>
      <c r="J83">
        <v>1</v>
      </c>
      <c r="K83">
        <v>1</v>
      </c>
      <c r="L83" s="2">
        <f t="shared" si="6"/>
        <v>45292</v>
      </c>
      <c r="M83" s="2">
        <f t="shared" ca="1" si="7"/>
        <v>45324</v>
      </c>
      <c r="N83" s="2">
        <f t="shared" ca="1" si="8"/>
        <v>45353</v>
      </c>
      <c r="O83" s="3">
        <f t="shared" ca="1" si="9"/>
        <v>32</v>
      </c>
      <c r="P83" s="3">
        <f t="shared" ca="1" si="10"/>
        <v>29</v>
      </c>
      <c r="Q83" s="1" t="str">
        <f>IF(K83=1,"Joined",IF(H83&gt;=70,"Dropped at Offer",IF(H83&gt;=50,"Dropped at Interview","Dropped at Screening")))</f>
        <v>Joined</v>
      </c>
      <c r="R83" s="1" t="str">
        <f t="shared" ca="1" si="11"/>
        <v>Feb-2024</v>
      </c>
    </row>
    <row r="84" spans="1:18">
      <c r="A84">
        <v>22</v>
      </c>
      <c r="B84">
        <v>0</v>
      </c>
      <c r="C84">
        <v>2</v>
      </c>
      <c r="D84">
        <v>5</v>
      </c>
      <c r="E84">
        <v>1</v>
      </c>
      <c r="F84">
        <v>9.9799890720047895</v>
      </c>
      <c r="G84">
        <v>29</v>
      </c>
      <c r="H84">
        <v>79</v>
      </c>
      <c r="I84">
        <v>40</v>
      </c>
      <c r="J84">
        <v>3</v>
      </c>
      <c r="K84">
        <v>0</v>
      </c>
      <c r="L84" s="2">
        <f t="shared" si="6"/>
        <v>45292</v>
      </c>
      <c r="M84" s="2">
        <f t="shared" ca="1" si="7"/>
        <v>45323</v>
      </c>
      <c r="N84" s="2" t="str">
        <f t="shared" ca="1" si="8"/>
        <v>N/A</v>
      </c>
      <c r="O84" s="3">
        <f t="shared" ca="1" si="9"/>
        <v>31</v>
      </c>
      <c r="P84" s="3" t="str">
        <f t="shared" ca="1" si="10"/>
        <v>N/A</v>
      </c>
      <c r="Q84" s="1" t="str">
        <f>IF(K84=1,"Joined",IF(H84&gt;=70,"Dropped at Offer",IF(H84&gt;=50,"Dropped at Interview","Dropped at Screening")))</f>
        <v>Dropped at Offer</v>
      </c>
      <c r="R84" s="1" t="str">
        <f t="shared" ca="1" si="11"/>
        <v>Feb-2024</v>
      </c>
    </row>
    <row r="85" spans="1:18">
      <c r="A85">
        <v>33</v>
      </c>
      <c r="B85">
        <v>0</v>
      </c>
      <c r="C85">
        <v>2</v>
      </c>
      <c r="D85">
        <v>14</v>
      </c>
      <c r="E85">
        <v>1</v>
      </c>
      <c r="F85">
        <v>15.067531092692001</v>
      </c>
      <c r="G85">
        <v>70</v>
      </c>
      <c r="H85">
        <v>30</v>
      </c>
      <c r="I85">
        <v>2</v>
      </c>
      <c r="J85">
        <v>1</v>
      </c>
      <c r="K85">
        <v>0</v>
      </c>
      <c r="L85" s="2">
        <f t="shared" si="6"/>
        <v>45292</v>
      </c>
      <c r="M85" s="2">
        <f t="shared" ca="1" si="7"/>
        <v>45316</v>
      </c>
      <c r="N85" s="2" t="str">
        <f t="shared" ca="1" si="8"/>
        <v>N/A</v>
      </c>
      <c r="O85" s="3">
        <f t="shared" ca="1" si="9"/>
        <v>24</v>
      </c>
      <c r="P85" s="3" t="str">
        <f t="shared" ca="1" si="10"/>
        <v>N/A</v>
      </c>
      <c r="Q85" s="1" t="str">
        <f>IF(K85=1,"Joined",IF(H85&gt;=70,"Dropped at Offer",IF(H85&gt;=50,"Dropped at Interview","Dropped at Screening")))</f>
        <v>Dropped at Screening</v>
      </c>
      <c r="R85" s="1" t="str">
        <f t="shared" ca="1" si="11"/>
        <v>Jan-2024</v>
      </c>
    </row>
    <row r="86" spans="1:18">
      <c r="A86">
        <v>36</v>
      </c>
      <c r="B86">
        <v>0</v>
      </c>
      <c r="C86">
        <v>2</v>
      </c>
      <c r="D86">
        <v>10</v>
      </c>
      <c r="E86">
        <v>5</v>
      </c>
      <c r="F86">
        <v>23.878766612521499</v>
      </c>
      <c r="G86">
        <v>72</v>
      </c>
      <c r="H86">
        <v>88</v>
      </c>
      <c r="I86">
        <v>95</v>
      </c>
      <c r="J86">
        <v>2</v>
      </c>
      <c r="K86">
        <v>1</v>
      </c>
      <c r="L86" s="2">
        <f t="shared" si="6"/>
        <v>45292</v>
      </c>
      <c r="M86" s="2">
        <f t="shared" ca="1" si="7"/>
        <v>45306</v>
      </c>
      <c r="N86" s="2">
        <f t="shared" ca="1" si="8"/>
        <v>45333</v>
      </c>
      <c r="O86" s="3">
        <f t="shared" ca="1" si="9"/>
        <v>14</v>
      </c>
      <c r="P86" s="3">
        <f t="shared" ca="1" si="10"/>
        <v>27</v>
      </c>
      <c r="Q86" s="1" t="str">
        <f>IF(K86=1,"Joined",IF(H86&gt;=70,"Dropped at Offer",IF(H86&gt;=50,"Dropped at Interview","Dropped at Screening")))</f>
        <v>Joined</v>
      </c>
      <c r="R86" s="1" t="str">
        <f t="shared" ca="1" si="11"/>
        <v>Jan-2024</v>
      </c>
    </row>
    <row r="87" spans="1:18">
      <c r="A87">
        <v>23</v>
      </c>
      <c r="B87">
        <v>0</v>
      </c>
      <c r="C87">
        <v>2</v>
      </c>
      <c r="D87">
        <v>9</v>
      </c>
      <c r="E87">
        <v>4</v>
      </c>
      <c r="F87">
        <v>24.7692927677741</v>
      </c>
      <c r="G87">
        <v>24</v>
      </c>
      <c r="H87">
        <v>45</v>
      </c>
      <c r="I87">
        <v>68</v>
      </c>
      <c r="J87">
        <v>1</v>
      </c>
      <c r="K87">
        <v>1</v>
      </c>
      <c r="L87" s="2">
        <f t="shared" si="6"/>
        <v>45292</v>
      </c>
      <c r="M87" s="2">
        <f t="shared" ca="1" si="7"/>
        <v>45334</v>
      </c>
      <c r="N87" s="2">
        <f t="shared" ca="1" si="8"/>
        <v>45341</v>
      </c>
      <c r="O87" s="3">
        <f t="shared" ca="1" si="9"/>
        <v>42</v>
      </c>
      <c r="P87" s="3">
        <f t="shared" ca="1" si="10"/>
        <v>7</v>
      </c>
      <c r="Q87" s="1" t="str">
        <f>IF(K87=1,"Joined",IF(H87&gt;=70,"Dropped at Offer",IF(H87&gt;=50,"Dropped at Interview","Dropped at Screening")))</f>
        <v>Joined</v>
      </c>
      <c r="R87" s="1" t="str">
        <f t="shared" ca="1" si="11"/>
        <v>Feb-2024</v>
      </c>
    </row>
    <row r="88" spans="1:18">
      <c r="A88">
        <v>37</v>
      </c>
      <c r="B88">
        <v>1</v>
      </c>
      <c r="C88">
        <v>2</v>
      </c>
      <c r="D88">
        <v>8</v>
      </c>
      <c r="E88">
        <v>3</v>
      </c>
      <c r="F88">
        <v>40.150011567360004</v>
      </c>
      <c r="G88">
        <v>96</v>
      </c>
      <c r="H88">
        <v>96</v>
      </c>
      <c r="I88">
        <v>83</v>
      </c>
      <c r="J88">
        <v>1</v>
      </c>
      <c r="K88">
        <v>1</v>
      </c>
      <c r="L88" s="2">
        <f t="shared" si="6"/>
        <v>45292</v>
      </c>
      <c r="M88" s="2">
        <f t="shared" ca="1" si="7"/>
        <v>45311</v>
      </c>
      <c r="N88" s="2">
        <f t="shared" ca="1" si="8"/>
        <v>45325</v>
      </c>
      <c r="O88" s="3">
        <f t="shared" ca="1" si="9"/>
        <v>19</v>
      </c>
      <c r="P88" s="3">
        <f t="shared" ca="1" si="10"/>
        <v>14</v>
      </c>
      <c r="Q88" s="1" t="str">
        <f>IF(K88=1,"Joined",IF(H88&gt;=70,"Dropped at Offer",IF(H88&gt;=50,"Dropped at Interview","Dropped at Screening")))</f>
        <v>Joined</v>
      </c>
      <c r="R88" s="1" t="str">
        <f t="shared" ca="1" si="11"/>
        <v>Jan-2024</v>
      </c>
    </row>
    <row r="89" spans="1:18">
      <c r="A89">
        <v>27</v>
      </c>
      <c r="B89">
        <v>1</v>
      </c>
      <c r="C89">
        <v>2</v>
      </c>
      <c r="D89">
        <v>0</v>
      </c>
      <c r="E89">
        <v>3</v>
      </c>
      <c r="F89">
        <v>38.507661471575602</v>
      </c>
      <c r="G89">
        <v>64</v>
      </c>
      <c r="H89">
        <v>76</v>
      </c>
      <c r="I89">
        <v>13</v>
      </c>
      <c r="J89">
        <v>1</v>
      </c>
      <c r="K89">
        <v>0</v>
      </c>
      <c r="L89" s="2">
        <f t="shared" si="6"/>
        <v>45292</v>
      </c>
      <c r="M89" s="2">
        <f t="shared" ca="1" si="7"/>
        <v>45311</v>
      </c>
      <c r="N89" s="2" t="str">
        <f t="shared" ca="1" si="8"/>
        <v>N/A</v>
      </c>
      <c r="O89" s="3">
        <f t="shared" ca="1" si="9"/>
        <v>19</v>
      </c>
      <c r="P89" s="3" t="str">
        <f t="shared" ca="1" si="10"/>
        <v>N/A</v>
      </c>
      <c r="Q89" s="1" t="str">
        <f>IF(K89=1,"Joined",IF(H89&gt;=70,"Dropped at Offer",IF(H89&gt;=50,"Dropped at Interview","Dropped at Screening")))</f>
        <v>Dropped at Offer</v>
      </c>
      <c r="R89" s="1" t="str">
        <f t="shared" ca="1" si="11"/>
        <v>Jan-2024</v>
      </c>
    </row>
    <row r="90" spans="1:18">
      <c r="A90">
        <v>23</v>
      </c>
      <c r="B90">
        <v>0</v>
      </c>
      <c r="C90">
        <v>1</v>
      </c>
      <c r="D90">
        <v>15</v>
      </c>
      <c r="E90">
        <v>4</v>
      </c>
      <c r="F90">
        <v>23.8408902278067</v>
      </c>
      <c r="G90">
        <v>5</v>
      </c>
      <c r="H90">
        <v>51</v>
      </c>
      <c r="I90">
        <v>95</v>
      </c>
      <c r="J90">
        <v>1</v>
      </c>
      <c r="K90">
        <v>1</v>
      </c>
      <c r="L90" s="2">
        <f t="shared" si="6"/>
        <v>45292</v>
      </c>
      <c r="M90" s="2">
        <f t="shared" ca="1" si="7"/>
        <v>45335</v>
      </c>
      <c r="N90" s="2">
        <f t="shared" ca="1" si="8"/>
        <v>45363</v>
      </c>
      <c r="O90" s="3">
        <f t="shared" ca="1" si="9"/>
        <v>43</v>
      </c>
      <c r="P90" s="3">
        <f t="shared" ca="1" si="10"/>
        <v>28</v>
      </c>
      <c r="Q90" s="1" t="str">
        <f>IF(K90=1,"Joined",IF(H90&gt;=70,"Dropped at Offer",IF(H90&gt;=50,"Dropped at Interview","Dropped at Screening")))</f>
        <v>Joined</v>
      </c>
      <c r="R90" s="1" t="str">
        <f t="shared" ca="1" si="11"/>
        <v>Feb-2024</v>
      </c>
    </row>
    <row r="91" spans="1:18">
      <c r="A91">
        <v>21</v>
      </c>
      <c r="B91">
        <v>0</v>
      </c>
      <c r="C91">
        <v>1</v>
      </c>
      <c r="D91">
        <v>15</v>
      </c>
      <c r="E91">
        <v>3</v>
      </c>
      <c r="F91">
        <v>43.283367454938499</v>
      </c>
      <c r="G91">
        <v>17</v>
      </c>
      <c r="H91">
        <v>9</v>
      </c>
      <c r="I91">
        <v>25</v>
      </c>
      <c r="J91">
        <v>2</v>
      </c>
      <c r="K91">
        <v>0</v>
      </c>
      <c r="L91" s="2">
        <f t="shared" si="6"/>
        <v>45292</v>
      </c>
      <c r="M91" s="2">
        <f t="shared" ca="1" si="7"/>
        <v>45307</v>
      </c>
      <c r="N91" s="2" t="str">
        <f t="shared" ca="1" si="8"/>
        <v>N/A</v>
      </c>
      <c r="O91" s="3">
        <f t="shared" ca="1" si="9"/>
        <v>15</v>
      </c>
      <c r="P91" s="3" t="str">
        <f t="shared" ca="1" si="10"/>
        <v>N/A</v>
      </c>
      <c r="Q91" s="1" t="str">
        <f>IF(K91=1,"Joined",IF(H91&gt;=70,"Dropped at Offer",IF(H91&gt;=50,"Dropped at Interview","Dropped at Screening")))</f>
        <v>Dropped at Screening</v>
      </c>
      <c r="R91" s="1" t="str">
        <f t="shared" ca="1" si="11"/>
        <v>Jan-2024</v>
      </c>
    </row>
    <row r="92" spans="1:18">
      <c r="A92">
        <v>49</v>
      </c>
      <c r="B92">
        <v>1</v>
      </c>
      <c r="C92">
        <v>2</v>
      </c>
      <c r="D92">
        <v>5</v>
      </c>
      <c r="E92">
        <v>1</v>
      </c>
      <c r="F92">
        <v>6.7118569295697901</v>
      </c>
      <c r="G92">
        <v>9</v>
      </c>
      <c r="H92">
        <v>87</v>
      </c>
      <c r="I92">
        <v>69</v>
      </c>
      <c r="J92">
        <v>1</v>
      </c>
      <c r="K92">
        <v>1</v>
      </c>
      <c r="L92" s="2">
        <f t="shared" si="6"/>
        <v>45292</v>
      </c>
      <c r="M92" s="2">
        <f t="shared" ca="1" si="7"/>
        <v>45312</v>
      </c>
      <c r="N92" s="2">
        <f t="shared" ca="1" si="8"/>
        <v>45341</v>
      </c>
      <c r="O92" s="3">
        <f t="shared" ca="1" si="9"/>
        <v>20</v>
      </c>
      <c r="P92" s="3">
        <f t="shared" ca="1" si="10"/>
        <v>29</v>
      </c>
      <c r="Q92" s="1" t="str">
        <f>IF(K92=1,"Joined",IF(H92&gt;=70,"Dropped at Offer",IF(H92&gt;=50,"Dropped at Interview","Dropped at Screening")))</f>
        <v>Joined</v>
      </c>
      <c r="R92" s="1" t="str">
        <f t="shared" ca="1" si="11"/>
        <v>Jan-2024</v>
      </c>
    </row>
    <row r="93" spans="1:18">
      <c r="A93">
        <v>25</v>
      </c>
      <c r="B93">
        <v>0</v>
      </c>
      <c r="C93">
        <v>2</v>
      </c>
      <c r="D93">
        <v>8</v>
      </c>
      <c r="E93">
        <v>3</v>
      </c>
      <c r="F93">
        <v>13.767667511445</v>
      </c>
      <c r="G93">
        <v>91</v>
      </c>
      <c r="H93">
        <v>73</v>
      </c>
      <c r="I93">
        <v>57</v>
      </c>
      <c r="J93">
        <v>2</v>
      </c>
      <c r="K93">
        <v>0</v>
      </c>
      <c r="L93" s="2">
        <f t="shared" si="6"/>
        <v>45292</v>
      </c>
      <c r="M93" s="2">
        <f t="shared" ca="1" si="7"/>
        <v>45309</v>
      </c>
      <c r="N93" s="2" t="str">
        <f t="shared" ca="1" si="8"/>
        <v>N/A</v>
      </c>
      <c r="O93" s="3">
        <f t="shared" ca="1" si="9"/>
        <v>17</v>
      </c>
      <c r="P93" s="3" t="str">
        <f t="shared" ca="1" si="10"/>
        <v>N/A</v>
      </c>
      <c r="Q93" s="1" t="str">
        <f>IF(K93=1,"Joined",IF(H93&gt;=70,"Dropped at Offer",IF(H93&gt;=50,"Dropped at Interview","Dropped at Screening")))</f>
        <v>Dropped at Offer</v>
      </c>
      <c r="R93" s="1" t="str">
        <f t="shared" ca="1" si="11"/>
        <v>Jan-2024</v>
      </c>
    </row>
    <row r="94" spans="1:18">
      <c r="A94">
        <v>41</v>
      </c>
      <c r="B94">
        <v>0</v>
      </c>
      <c r="C94">
        <v>4</v>
      </c>
      <c r="D94">
        <v>10</v>
      </c>
      <c r="E94">
        <v>3</v>
      </c>
      <c r="F94">
        <v>42.398823175112497</v>
      </c>
      <c r="G94">
        <v>10</v>
      </c>
      <c r="H94">
        <v>40</v>
      </c>
      <c r="I94">
        <v>99</v>
      </c>
      <c r="J94">
        <v>1</v>
      </c>
      <c r="K94">
        <v>1</v>
      </c>
      <c r="L94" s="2">
        <f t="shared" si="6"/>
        <v>45292</v>
      </c>
      <c r="M94" s="2">
        <f t="shared" ca="1" si="7"/>
        <v>45318</v>
      </c>
      <c r="N94" s="2">
        <f t="shared" ca="1" si="8"/>
        <v>45327</v>
      </c>
      <c r="O94" s="3">
        <f t="shared" ca="1" si="9"/>
        <v>26</v>
      </c>
      <c r="P94" s="3">
        <f t="shared" ca="1" si="10"/>
        <v>9</v>
      </c>
      <c r="Q94" s="1" t="str">
        <f>IF(K94=1,"Joined",IF(H94&gt;=70,"Dropped at Offer",IF(H94&gt;=50,"Dropped at Interview","Dropped at Screening")))</f>
        <v>Joined</v>
      </c>
      <c r="R94" s="1" t="str">
        <f t="shared" ca="1" si="11"/>
        <v>Jan-2024</v>
      </c>
    </row>
    <row r="95" spans="1:18">
      <c r="A95">
        <v>29</v>
      </c>
      <c r="B95">
        <v>0</v>
      </c>
      <c r="C95">
        <v>2</v>
      </c>
      <c r="D95">
        <v>3</v>
      </c>
      <c r="E95">
        <v>4</v>
      </c>
      <c r="F95">
        <v>19.8997019313076</v>
      </c>
      <c r="G95">
        <v>96</v>
      </c>
      <c r="H95">
        <v>94</v>
      </c>
      <c r="I95">
        <v>39</v>
      </c>
      <c r="J95">
        <v>1</v>
      </c>
      <c r="K95">
        <v>1</v>
      </c>
      <c r="L95" s="2">
        <f t="shared" si="6"/>
        <v>45292</v>
      </c>
      <c r="M95" s="2">
        <f t="shared" ca="1" si="7"/>
        <v>45318</v>
      </c>
      <c r="N95" s="2">
        <f t="shared" ca="1" si="8"/>
        <v>45347</v>
      </c>
      <c r="O95" s="3">
        <f t="shared" ca="1" si="9"/>
        <v>26</v>
      </c>
      <c r="P95" s="3">
        <f t="shared" ca="1" si="10"/>
        <v>29</v>
      </c>
      <c r="Q95" s="1" t="str">
        <f>IF(K95=1,"Joined",IF(H95&gt;=70,"Dropped at Offer",IF(H95&gt;=50,"Dropped at Interview","Dropped at Screening")))</f>
        <v>Joined</v>
      </c>
      <c r="R95" s="1" t="str">
        <f t="shared" ca="1" si="11"/>
        <v>Jan-2024</v>
      </c>
    </row>
    <row r="96" spans="1:18">
      <c r="A96">
        <v>23</v>
      </c>
      <c r="B96">
        <v>1</v>
      </c>
      <c r="C96">
        <v>2</v>
      </c>
      <c r="D96">
        <v>10</v>
      </c>
      <c r="E96">
        <v>4</v>
      </c>
      <c r="F96">
        <v>50.059077939692102</v>
      </c>
      <c r="G96">
        <v>64</v>
      </c>
      <c r="H96">
        <v>76</v>
      </c>
      <c r="I96">
        <v>50</v>
      </c>
      <c r="J96">
        <v>2</v>
      </c>
      <c r="K96">
        <v>0</v>
      </c>
      <c r="L96" s="2">
        <f t="shared" si="6"/>
        <v>45292</v>
      </c>
      <c r="M96" s="2">
        <f t="shared" ca="1" si="7"/>
        <v>45332</v>
      </c>
      <c r="N96" s="2" t="str">
        <f t="shared" ca="1" si="8"/>
        <v>N/A</v>
      </c>
      <c r="O96" s="3">
        <f t="shared" ca="1" si="9"/>
        <v>40</v>
      </c>
      <c r="P96" s="3" t="str">
        <f t="shared" ca="1" si="10"/>
        <v>N/A</v>
      </c>
      <c r="Q96" s="1" t="str">
        <f>IF(K96=1,"Joined",IF(H96&gt;=70,"Dropped at Offer",IF(H96&gt;=50,"Dropped at Interview","Dropped at Screening")))</f>
        <v>Dropped at Offer</v>
      </c>
      <c r="R96" s="1" t="str">
        <f t="shared" ca="1" si="11"/>
        <v>Feb-2024</v>
      </c>
    </row>
    <row r="97" spans="1:18">
      <c r="A97">
        <v>41</v>
      </c>
      <c r="B97">
        <v>0</v>
      </c>
      <c r="C97">
        <v>2</v>
      </c>
      <c r="D97">
        <v>11</v>
      </c>
      <c r="E97">
        <v>3</v>
      </c>
      <c r="F97">
        <v>24.312664076391702</v>
      </c>
      <c r="G97">
        <v>76</v>
      </c>
      <c r="H97">
        <v>2</v>
      </c>
      <c r="I97">
        <v>4</v>
      </c>
      <c r="J97">
        <v>3</v>
      </c>
      <c r="K97">
        <v>0</v>
      </c>
      <c r="L97" s="2">
        <f t="shared" si="6"/>
        <v>45292</v>
      </c>
      <c r="M97" s="2">
        <f t="shared" ca="1" si="7"/>
        <v>45334</v>
      </c>
      <c r="N97" s="2" t="str">
        <f t="shared" ca="1" si="8"/>
        <v>N/A</v>
      </c>
      <c r="O97" s="3">
        <f t="shared" ca="1" si="9"/>
        <v>42</v>
      </c>
      <c r="P97" s="3" t="str">
        <f t="shared" ca="1" si="10"/>
        <v>N/A</v>
      </c>
      <c r="Q97" s="1" t="str">
        <f>IF(K97=1,"Joined",IF(H97&gt;=70,"Dropped at Offer",IF(H97&gt;=50,"Dropped at Interview","Dropped at Screening")))</f>
        <v>Dropped at Screening</v>
      </c>
      <c r="R97" s="1" t="str">
        <f t="shared" ca="1" si="11"/>
        <v>Feb-2024</v>
      </c>
    </row>
    <row r="98" spans="1:18">
      <c r="A98">
        <v>48</v>
      </c>
      <c r="B98">
        <v>1</v>
      </c>
      <c r="C98">
        <v>1</v>
      </c>
      <c r="D98">
        <v>1</v>
      </c>
      <c r="E98">
        <v>2</v>
      </c>
      <c r="F98">
        <v>40.596781148188199</v>
      </c>
      <c r="G98">
        <v>100</v>
      </c>
      <c r="H98">
        <v>58</v>
      </c>
      <c r="I98">
        <v>76</v>
      </c>
      <c r="J98">
        <v>2</v>
      </c>
      <c r="K98">
        <v>0</v>
      </c>
      <c r="L98" s="2">
        <f t="shared" si="6"/>
        <v>45292</v>
      </c>
      <c r="M98" s="2">
        <f t="shared" ca="1" si="7"/>
        <v>45308</v>
      </c>
      <c r="N98" s="2" t="str">
        <f t="shared" ca="1" si="8"/>
        <v>N/A</v>
      </c>
      <c r="O98" s="3">
        <f t="shared" ca="1" si="9"/>
        <v>16</v>
      </c>
      <c r="P98" s="3" t="str">
        <f t="shared" ca="1" si="10"/>
        <v>N/A</v>
      </c>
      <c r="Q98" s="1" t="str">
        <f>IF(K98=1,"Joined",IF(H98&gt;=70,"Dropped at Offer",IF(H98&gt;=50,"Dropped at Interview","Dropped at Screening")))</f>
        <v>Dropped at Interview</v>
      </c>
      <c r="R98" s="1" t="str">
        <f t="shared" ca="1" si="11"/>
        <v>Jan-2024</v>
      </c>
    </row>
    <row r="99" spans="1:18">
      <c r="A99">
        <v>50</v>
      </c>
      <c r="B99">
        <v>0</v>
      </c>
      <c r="C99">
        <v>4</v>
      </c>
      <c r="D99">
        <v>12</v>
      </c>
      <c r="E99">
        <v>4</v>
      </c>
      <c r="F99">
        <v>21.115352069118501</v>
      </c>
      <c r="G99">
        <v>83</v>
      </c>
      <c r="H99">
        <v>51</v>
      </c>
      <c r="I99">
        <v>31</v>
      </c>
      <c r="J99">
        <v>2</v>
      </c>
      <c r="K99">
        <v>1</v>
      </c>
      <c r="L99" s="2">
        <f t="shared" si="6"/>
        <v>45292</v>
      </c>
      <c r="M99" s="2">
        <f t="shared" ca="1" si="7"/>
        <v>45314</v>
      </c>
      <c r="N99" s="2">
        <f t="shared" ca="1" si="8"/>
        <v>45330</v>
      </c>
      <c r="O99" s="3">
        <f t="shared" ca="1" si="9"/>
        <v>22</v>
      </c>
      <c r="P99" s="3">
        <f t="shared" ca="1" si="10"/>
        <v>16</v>
      </c>
      <c r="Q99" s="1" t="str">
        <f>IF(K99=1,"Joined",IF(H99&gt;=70,"Dropped at Offer",IF(H99&gt;=50,"Dropped at Interview","Dropped at Screening")))</f>
        <v>Joined</v>
      </c>
      <c r="R99" s="1" t="str">
        <f t="shared" ca="1" si="11"/>
        <v>Jan-2024</v>
      </c>
    </row>
    <row r="100" spans="1:18">
      <c r="A100">
        <v>37</v>
      </c>
      <c r="B100">
        <v>1</v>
      </c>
      <c r="C100">
        <v>2</v>
      </c>
      <c r="D100">
        <v>3</v>
      </c>
      <c r="E100">
        <v>5</v>
      </c>
      <c r="F100">
        <v>22.247675953121501</v>
      </c>
      <c r="G100">
        <v>64</v>
      </c>
      <c r="H100">
        <v>33</v>
      </c>
      <c r="I100">
        <v>79</v>
      </c>
      <c r="J100">
        <v>1</v>
      </c>
      <c r="K100">
        <v>0</v>
      </c>
      <c r="L100" s="2">
        <f t="shared" si="6"/>
        <v>45292</v>
      </c>
      <c r="M100" s="2">
        <f t="shared" ca="1" si="7"/>
        <v>45310</v>
      </c>
      <c r="N100" s="2" t="str">
        <f t="shared" ca="1" si="8"/>
        <v>N/A</v>
      </c>
      <c r="O100" s="3">
        <f t="shared" ca="1" si="9"/>
        <v>18</v>
      </c>
      <c r="P100" s="3" t="str">
        <f t="shared" ca="1" si="10"/>
        <v>N/A</v>
      </c>
      <c r="Q100" s="1" t="str">
        <f>IF(K100=1,"Joined",IF(H100&gt;=70,"Dropped at Offer",IF(H100&gt;=50,"Dropped at Interview","Dropped at Screening")))</f>
        <v>Dropped at Screening</v>
      </c>
      <c r="R100" s="1" t="str">
        <f t="shared" ca="1" si="11"/>
        <v>Jan-2024</v>
      </c>
    </row>
    <row r="101" spans="1:18">
      <c r="A101">
        <v>45</v>
      </c>
      <c r="B101">
        <v>1</v>
      </c>
      <c r="C101">
        <v>3</v>
      </c>
      <c r="D101">
        <v>0</v>
      </c>
      <c r="E101">
        <v>5</v>
      </c>
      <c r="F101">
        <v>20.1441573642091</v>
      </c>
      <c r="G101">
        <v>51</v>
      </c>
      <c r="H101">
        <v>48</v>
      </c>
      <c r="I101">
        <v>0</v>
      </c>
      <c r="J101">
        <v>3</v>
      </c>
      <c r="K101">
        <v>0</v>
      </c>
      <c r="L101" s="2">
        <f t="shared" si="6"/>
        <v>45292</v>
      </c>
      <c r="M101" s="2">
        <f t="shared" ca="1" si="7"/>
        <v>45327</v>
      </c>
      <c r="N101" s="2" t="str">
        <f t="shared" ca="1" si="8"/>
        <v>N/A</v>
      </c>
      <c r="O101" s="3">
        <f t="shared" ca="1" si="9"/>
        <v>35</v>
      </c>
      <c r="P101" s="3" t="str">
        <f t="shared" ca="1" si="10"/>
        <v>N/A</v>
      </c>
      <c r="Q101" s="1" t="str">
        <f>IF(K101=1,"Joined",IF(H101&gt;=70,"Dropped at Offer",IF(H101&gt;=50,"Dropped at Interview","Dropped at Screening")))</f>
        <v>Dropped at Screening</v>
      </c>
      <c r="R101" s="1" t="str">
        <f t="shared" ca="1" si="11"/>
        <v>Feb-2024</v>
      </c>
    </row>
    <row r="102" spans="1:18">
      <c r="A102">
        <v>31</v>
      </c>
      <c r="B102">
        <v>0</v>
      </c>
      <c r="C102">
        <v>1</v>
      </c>
      <c r="D102">
        <v>2</v>
      </c>
      <c r="E102">
        <v>1</v>
      </c>
      <c r="F102">
        <v>36.953781025540501</v>
      </c>
      <c r="G102">
        <v>66</v>
      </c>
      <c r="H102">
        <v>27</v>
      </c>
      <c r="I102">
        <v>76</v>
      </c>
      <c r="J102">
        <v>1</v>
      </c>
      <c r="K102">
        <v>0</v>
      </c>
      <c r="L102" s="2">
        <f t="shared" si="6"/>
        <v>45292</v>
      </c>
      <c r="M102" s="2">
        <f t="shared" ca="1" si="7"/>
        <v>45320</v>
      </c>
      <c r="N102" s="2" t="str">
        <f t="shared" ca="1" si="8"/>
        <v>N/A</v>
      </c>
      <c r="O102" s="3">
        <f t="shared" ca="1" si="9"/>
        <v>28</v>
      </c>
      <c r="P102" s="3" t="str">
        <f t="shared" ca="1" si="10"/>
        <v>N/A</v>
      </c>
      <c r="Q102" s="1" t="str">
        <f>IF(K102=1,"Joined",IF(H102&gt;=70,"Dropped at Offer",IF(H102&gt;=50,"Dropped at Interview","Dropped at Screening")))</f>
        <v>Dropped at Screening</v>
      </c>
      <c r="R102" s="1" t="str">
        <f t="shared" ca="1" si="11"/>
        <v>Jan-2024</v>
      </c>
    </row>
    <row r="103" spans="1:18">
      <c r="A103">
        <v>21</v>
      </c>
      <c r="B103">
        <v>1</v>
      </c>
      <c r="C103">
        <v>2</v>
      </c>
      <c r="D103">
        <v>9</v>
      </c>
      <c r="E103">
        <v>3</v>
      </c>
      <c r="F103">
        <v>28.375894202999699</v>
      </c>
      <c r="G103">
        <v>81</v>
      </c>
      <c r="H103">
        <v>82</v>
      </c>
      <c r="I103">
        <v>53</v>
      </c>
      <c r="J103">
        <v>1</v>
      </c>
      <c r="K103">
        <v>1</v>
      </c>
      <c r="L103" s="2">
        <f t="shared" si="6"/>
        <v>45292</v>
      </c>
      <c r="M103" s="2">
        <f t="shared" ca="1" si="7"/>
        <v>45314</v>
      </c>
      <c r="N103" s="2">
        <f t="shared" ca="1" si="8"/>
        <v>45327</v>
      </c>
      <c r="O103" s="3">
        <f t="shared" ca="1" si="9"/>
        <v>22</v>
      </c>
      <c r="P103" s="3">
        <f t="shared" ca="1" si="10"/>
        <v>13</v>
      </c>
      <c r="Q103" s="1" t="str">
        <f>IF(K103=1,"Joined",IF(H103&gt;=70,"Dropped at Offer",IF(H103&gt;=50,"Dropped at Interview","Dropped at Screening")))</f>
        <v>Joined</v>
      </c>
      <c r="R103" s="1" t="str">
        <f t="shared" ca="1" si="11"/>
        <v>Jan-2024</v>
      </c>
    </row>
    <row r="104" spans="1:18">
      <c r="A104">
        <v>29</v>
      </c>
      <c r="B104">
        <v>0</v>
      </c>
      <c r="C104">
        <v>2</v>
      </c>
      <c r="D104">
        <v>8</v>
      </c>
      <c r="E104">
        <v>2</v>
      </c>
      <c r="F104">
        <v>48.188905568418399</v>
      </c>
      <c r="G104">
        <v>77</v>
      </c>
      <c r="H104">
        <v>86</v>
      </c>
      <c r="I104">
        <v>10</v>
      </c>
      <c r="J104">
        <v>2</v>
      </c>
      <c r="K104">
        <v>0</v>
      </c>
      <c r="L104" s="2">
        <f t="shared" si="6"/>
        <v>45292</v>
      </c>
      <c r="M104" s="2">
        <f t="shared" ca="1" si="7"/>
        <v>45334</v>
      </c>
      <c r="N104" s="2" t="str">
        <f t="shared" ca="1" si="8"/>
        <v>N/A</v>
      </c>
      <c r="O104" s="3">
        <f t="shared" ca="1" si="9"/>
        <v>42</v>
      </c>
      <c r="P104" s="3" t="str">
        <f t="shared" ca="1" si="10"/>
        <v>N/A</v>
      </c>
      <c r="Q104" s="1" t="str">
        <f>IF(K104=1,"Joined",IF(H104&gt;=70,"Dropped at Offer",IF(H104&gt;=50,"Dropped at Interview","Dropped at Screening")))</f>
        <v>Dropped at Offer</v>
      </c>
      <c r="R104" s="1" t="str">
        <f t="shared" ca="1" si="11"/>
        <v>Feb-2024</v>
      </c>
    </row>
    <row r="105" spans="1:18">
      <c r="A105">
        <v>49</v>
      </c>
      <c r="B105">
        <v>1</v>
      </c>
      <c r="C105">
        <v>3</v>
      </c>
      <c r="D105">
        <v>9</v>
      </c>
      <c r="E105">
        <v>1</v>
      </c>
      <c r="F105">
        <v>13.544515826705201</v>
      </c>
      <c r="G105">
        <v>30</v>
      </c>
      <c r="H105">
        <v>95</v>
      </c>
      <c r="I105">
        <v>52</v>
      </c>
      <c r="J105">
        <v>2</v>
      </c>
      <c r="K105">
        <v>0</v>
      </c>
      <c r="L105" s="2">
        <f t="shared" si="6"/>
        <v>45292</v>
      </c>
      <c r="M105" s="2">
        <f t="shared" ca="1" si="7"/>
        <v>45310</v>
      </c>
      <c r="N105" s="2" t="str">
        <f t="shared" ca="1" si="8"/>
        <v>N/A</v>
      </c>
      <c r="O105" s="3">
        <f t="shared" ca="1" si="9"/>
        <v>18</v>
      </c>
      <c r="P105" s="3" t="str">
        <f t="shared" ca="1" si="10"/>
        <v>N/A</v>
      </c>
      <c r="Q105" s="1" t="str">
        <f>IF(K105=1,"Joined",IF(H105&gt;=70,"Dropped at Offer",IF(H105&gt;=50,"Dropped at Interview","Dropped at Screening")))</f>
        <v>Dropped at Offer</v>
      </c>
      <c r="R105" s="1" t="str">
        <f t="shared" ca="1" si="11"/>
        <v>Jan-2024</v>
      </c>
    </row>
    <row r="106" spans="1:18">
      <c r="A106">
        <v>23</v>
      </c>
      <c r="B106">
        <v>0</v>
      </c>
      <c r="C106">
        <v>1</v>
      </c>
      <c r="D106">
        <v>4</v>
      </c>
      <c r="E106">
        <v>3</v>
      </c>
      <c r="F106">
        <v>6.02813660417221</v>
      </c>
      <c r="G106">
        <v>90</v>
      </c>
      <c r="H106">
        <v>12</v>
      </c>
      <c r="I106">
        <v>7</v>
      </c>
      <c r="J106">
        <v>3</v>
      </c>
      <c r="K106">
        <v>0</v>
      </c>
      <c r="L106" s="2">
        <f t="shared" si="6"/>
        <v>45292</v>
      </c>
      <c r="M106" s="2">
        <f t="shared" ca="1" si="7"/>
        <v>45306</v>
      </c>
      <c r="N106" s="2" t="str">
        <f t="shared" ca="1" si="8"/>
        <v>N/A</v>
      </c>
      <c r="O106" s="3">
        <f t="shared" ca="1" si="9"/>
        <v>14</v>
      </c>
      <c r="P106" s="3" t="str">
        <f t="shared" ca="1" si="10"/>
        <v>N/A</v>
      </c>
      <c r="Q106" s="1" t="str">
        <f>IF(K106=1,"Joined",IF(H106&gt;=70,"Dropped at Offer",IF(H106&gt;=50,"Dropped at Interview","Dropped at Screening")))</f>
        <v>Dropped at Screening</v>
      </c>
      <c r="R106" s="1" t="str">
        <f t="shared" ca="1" si="11"/>
        <v>Jan-2024</v>
      </c>
    </row>
    <row r="107" spans="1:18">
      <c r="A107">
        <v>33</v>
      </c>
      <c r="B107">
        <v>0</v>
      </c>
      <c r="C107">
        <v>2</v>
      </c>
      <c r="D107">
        <v>14</v>
      </c>
      <c r="E107">
        <v>4</v>
      </c>
      <c r="F107">
        <v>20.663074254960701</v>
      </c>
      <c r="G107">
        <v>16</v>
      </c>
      <c r="H107">
        <v>96</v>
      </c>
      <c r="I107">
        <v>24</v>
      </c>
      <c r="J107">
        <v>1</v>
      </c>
      <c r="K107">
        <v>1</v>
      </c>
      <c r="L107" s="2">
        <f t="shared" si="6"/>
        <v>45292</v>
      </c>
      <c r="M107" s="2">
        <f t="shared" ca="1" si="7"/>
        <v>45312</v>
      </c>
      <c r="N107" s="2">
        <f t="shared" ca="1" si="8"/>
        <v>45328</v>
      </c>
      <c r="O107" s="3">
        <f t="shared" ca="1" si="9"/>
        <v>20</v>
      </c>
      <c r="P107" s="3">
        <f t="shared" ca="1" si="10"/>
        <v>16</v>
      </c>
      <c r="Q107" s="1" t="str">
        <f>IF(K107=1,"Joined",IF(H107&gt;=70,"Dropped at Offer",IF(H107&gt;=50,"Dropped at Interview","Dropped at Screening")))</f>
        <v>Joined</v>
      </c>
      <c r="R107" s="1" t="str">
        <f t="shared" ca="1" si="11"/>
        <v>Jan-2024</v>
      </c>
    </row>
    <row r="108" spans="1:18">
      <c r="A108">
        <v>50</v>
      </c>
      <c r="B108">
        <v>1</v>
      </c>
      <c r="C108">
        <v>4</v>
      </c>
      <c r="D108">
        <v>10</v>
      </c>
      <c r="E108">
        <v>5</v>
      </c>
      <c r="F108">
        <v>31.835635382338801</v>
      </c>
      <c r="G108">
        <v>54</v>
      </c>
      <c r="H108">
        <v>97</v>
      </c>
      <c r="I108">
        <v>39</v>
      </c>
      <c r="J108">
        <v>3</v>
      </c>
      <c r="K108">
        <v>0</v>
      </c>
      <c r="L108" s="2">
        <f t="shared" si="6"/>
        <v>45292</v>
      </c>
      <c r="M108" s="2">
        <f t="shared" ca="1" si="7"/>
        <v>45336</v>
      </c>
      <c r="N108" s="2" t="str">
        <f t="shared" ca="1" si="8"/>
        <v>N/A</v>
      </c>
      <c r="O108" s="3">
        <f t="shared" ca="1" si="9"/>
        <v>44</v>
      </c>
      <c r="P108" s="3" t="str">
        <f t="shared" ca="1" si="10"/>
        <v>N/A</v>
      </c>
      <c r="Q108" s="1" t="str">
        <f>IF(K108=1,"Joined",IF(H108&gt;=70,"Dropped at Offer",IF(H108&gt;=50,"Dropped at Interview","Dropped at Screening")))</f>
        <v>Dropped at Offer</v>
      </c>
      <c r="R108" s="1" t="str">
        <f t="shared" ca="1" si="11"/>
        <v>Feb-2024</v>
      </c>
    </row>
    <row r="109" spans="1:18">
      <c r="A109">
        <v>35</v>
      </c>
      <c r="B109">
        <v>0</v>
      </c>
      <c r="C109">
        <v>2</v>
      </c>
      <c r="D109">
        <v>5</v>
      </c>
      <c r="E109">
        <v>2</v>
      </c>
      <c r="F109">
        <v>44.039946845774701</v>
      </c>
      <c r="G109">
        <v>92</v>
      </c>
      <c r="H109">
        <v>96</v>
      </c>
      <c r="I109">
        <v>31</v>
      </c>
      <c r="J109">
        <v>2</v>
      </c>
      <c r="K109">
        <v>0</v>
      </c>
      <c r="L109" s="2">
        <f t="shared" si="6"/>
        <v>45292</v>
      </c>
      <c r="M109" s="2">
        <f t="shared" ca="1" si="7"/>
        <v>45312</v>
      </c>
      <c r="N109" s="2" t="str">
        <f t="shared" ca="1" si="8"/>
        <v>N/A</v>
      </c>
      <c r="O109" s="3">
        <f t="shared" ca="1" si="9"/>
        <v>20</v>
      </c>
      <c r="P109" s="3" t="str">
        <f t="shared" ca="1" si="10"/>
        <v>N/A</v>
      </c>
      <c r="Q109" s="1" t="str">
        <f>IF(K109=1,"Joined",IF(H109&gt;=70,"Dropped at Offer",IF(H109&gt;=50,"Dropped at Interview","Dropped at Screening")))</f>
        <v>Dropped at Offer</v>
      </c>
      <c r="R109" s="1" t="str">
        <f t="shared" ca="1" si="11"/>
        <v>Jan-2024</v>
      </c>
    </row>
    <row r="110" spans="1:18">
      <c r="A110">
        <v>34</v>
      </c>
      <c r="B110">
        <v>0</v>
      </c>
      <c r="C110">
        <v>2</v>
      </c>
      <c r="D110">
        <v>2</v>
      </c>
      <c r="E110">
        <v>5</v>
      </c>
      <c r="F110">
        <v>18.309844334016301</v>
      </c>
      <c r="G110">
        <v>35</v>
      </c>
      <c r="H110">
        <v>68</v>
      </c>
      <c r="I110">
        <v>87</v>
      </c>
      <c r="J110">
        <v>2</v>
      </c>
      <c r="K110">
        <v>0</v>
      </c>
      <c r="L110" s="2">
        <f t="shared" si="6"/>
        <v>45292</v>
      </c>
      <c r="M110" s="2">
        <f t="shared" ca="1" si="7"/>
        <v>45323</v>
      </c>
      <c r="N110" s="2" t="str">
        <f t="shared" ca="1" si="8"/>
        <v>N/A</v>
      </c>
      <c r="O110" s="3">
        <f t="shared" ca="1" si="9"/>
        <v>31</v>
      </c>
      <c r="P110" s="3" t="str">
        <f t="shared" ca="1" si="10"/>
        <v>N/A</v>
      </c>
      <c r="Q110" s="1" t="str">
        <f>IF(K110=1,"Joined",IF(H110&gt;=70,"Dropped at Offer",IF(H110&gt;=50,"Dropped at Interview","Dropped at Screening")))</f>
        <v>Dropped at Interview</v>
      </c>
      <c r="R110" s="1" t="str">
        <f t="shared" ca="1" si="11"/>
        <v>Feb-2024</v>
      </c>
    </row>
    <row r="111" spans="1:18">
      <c r="A111">
        <v>27</v>
      </c>
      <c r="B111">
        <v>1</v>
      </c>
      <c r="C111">
        <v>1</v>
      </c>
      <c r="D111">
        <v>15</v>
      </c>
      <c r="E111">
        <v>4</v>
      </c>
      <c r="F111">
        <v>33.689337556223002</v>
      </c>
      <c r="G111">
        <v>100</v>
      </c>
      <c r="H111">
        <v>66</v>
      </c>
      <c r="I111">
        <v>27</v>
      </c>
      <c r="J111">
        <v>1</v>
      </c>
      <c r="K111">
        <v>1</v>
      </c>
      <c r="L111" s="2">
        <f t="shared" si="6"/>
        <v>45292</v>
      </c>
      <c r="M111" s="2">
        <f t="shared" ca="1" si="7"/>
        <v>45336</v>
      </c>
      <c r="N111" s="2">
        <f t="shared" ca="1" si="8"/>
        <v>45358</v>
      </c>
      <c r="O111" s="3">
        <f t="shared" ca="1" si="9"/>
        <v>44</v>
      </c>
      <c r="P111" s="3">
        <f t="shared" ca="1" si="10"/>
        <v>22</v>
      </c>
      <c r="Q111" s="1" t="str">
        <f>IF(K111=1,"Joined",IF(H111&gt;=70,"Dropped at Offer",IF(H111&gt;=50,"Dropped at Interview","Dropped at Screening")))</f>
        <v>Joined</v>
      </c>
      <c r="R111" s="1" t="str">
        <f t="shared" ca="1" si="11"/>
        <v>Feb-2024</v>
      </c>
    </row>
    <row r="112" spans="1:18">
      <c r="A112">
        <v>33</v>
      </c>
      <c r="B112">
        <v>0</v>
      </c>
      <c r="C112">
        <v>4</v>
      </c>
      <c r="D112">
        <v>4</v>
      </c>
      <c r="E112">
        <v>3</v>
      </c>
      <c r="F112">
        <v>18.509934051160901</v>
      </c>
      <c r="G112">
        <v>25</v>
      </c>
      <c r="H112">
        <v>60</v>
      </c>
      <c r="I112">
        <v>77</v>
      </c>
      <c r="J112">
        <v>1</v>
      </c>
      <c r="K112">
        <v>1</v>
      </c>
      <c r="L112" s="2">
        <f t="shared" si="6"/>
        <v>45292</v>
      </c>
      <c r="M112" s="2">
        <f t="shared" ca="1" si="7"/>
        <v>45322</v>
      </c>
      <c r="N112" s="2">
        <f t="shared" ca="1" si="8"/>
        <v>45349</v>
      </c>
      <c r="O112" s="3">
        <f t="shared" ca="1" si="9"/>
        <v>30</v>
      </c>
      <c r="P112" s="3">
        <f t="shared" ca="1" si="10"/>
        <v>27</v>
      </c>
      <c r="Q112" s="1" t="str">
        <f>IF(K112=1,"Joined",IF(H112&gt;=70,"Dropped at Offer",IF(H112&gt;=50,"Dropped at Interview","Dropped at Screening")))</f>
        <v>Joined</v>
      </c>
      <c r="R112" s="1" t="str">
        <f t="shared" ca="1" si="11"/>
        <v>Jan-2024</v>
      </c>
    </row>
    <row r="113" spans="1:18">
      <c r="A113">
        <v>42</v>
      </c>
      <c r="B113">
        <v>0</v>
      </c>
      <c r="C113">
        <v>1</v>
      </c>
      <c r="D113">
        <v>10</v>
      </c>
      <c r="E113">
        <v>4</v>
      </c>
      <c r="F113">
        <v>31.860979149722901</v>
      </c>
      <c r="G113">
        <v>52</v>
      </c>
      <c r="H113">
        <v>59</v>
      </c>
      <c r="I113">
        <v>2</v>
      </c>
      <c r="J113">
        <v>3</v>
      </c>
      <c r="K113">
        <v>0</v>
      </c>
      <c r="L113" s="2">
        <f t="shared" si="6"/>
        <v>45292</v>
      </c>
      <c r="M113" s="2">
        <f t="shared" ca="1" si="7"/>
        <v>45321</v>
      </c>
      <c r="N113" s="2" t="str">
        <f t="shared" ca="1" si="8"/>
        <v>N/A</v>
      </c>
      <c r="O113" s="3">
        <f t="shared" ca="1" si="9"/>
        <v>29</v>
      </c>
      <c r="P113" s="3" t="str">
        <f t="shared" ca="1" si="10"/>
        <v>N/A</v>
      </c>
      <c r="Q113" s="1" t="str">
        <f>IF(K113=1,"Joined",IF(H113&gt;=70,"Dropped at Offer",IF(H113&gt;=50,"Dropped at Interview","Dropped at Screening")))</f>
        <v>Dropped at Interview</v>
      </c>
      <c r="R113" s="1" t="str">
        <f t="shared" ca="1" si="11"/>
        <v>Jan-2024</v>
      </c>
    </row>
    <row r="114" spans="1:18">
      <c r="A114">
        <v>47</v>
      </c>
      <c r="B114">
        <v>1</v>
      </c>
      <c r="C114">
        <v>3</v>
      </c>
      <c r="D114">
        <v>7</v>
      </c>
      <c r="E114">
        <v>4</v>
      </c>
      <c r="F114">
        <v>45.240397351532501</v>
      </c>
      <c r="G114">
        <v>16</v>
      </c>
      <c r="H114">
        <v>70</v>
      </c>
      <c r="I114">
        <v>99</v>
      </c>
      <c r="J114">
        <v>2</v>
      </c>
      <c r="K114">
        <v>1</v>
      </c>
      <c r="L114" s="2">
        <f t="shared" si="6"/>
        <v>45292</v>
      </c>
      <c r="M114" s="2">
        <f t="shared" ca="1" si="7"/>
        <v>45329</v>
      </c>
      <c r="N114" s="2">
        <f t="shared" ca="1" si="8"/>
        <v>45352</v>
      </c>
      <c r="O114" s="3">
        <f t="shared" ca="1" si="9"/>
        <v>37</v>
      </c>
      <c r="P114" s="3">
        <f t="shared" ca="1" si="10"/>
        <v>23</v>
      </c>
      <c r="Q114" s="1" t="str">
        <f>IF(K114=1,"Joined",IF(H114&gt;=70,"Dropped at Offer",IF(H114&gt;=50,"Dropped at Interview","Dropped at Screening")))</f>
        <v>Joined</v>
      </c>
      <c r="R114" s="1" t="str">
        <f t="shared" ca="1" si="11"/>
        <v>Feb-2024</v>
      </c>
    </row>
    <row r="115" spans="1:18">
      <c r="A115">
        <v>44</v>
      </c>
      <c r="B115">
        <v>1</v>
      </c>
      <c r="C115">
        <v>3</v>
      </c>
      <c r="D115">
        <v>5</v>
      </c>
      <c r="E115">
        <v>5</v>
      </c>
      <c r="F115">
        <v>12.5678821129704</v>
      </c>
      <c r="G115">
        <v>85</v>
      </c>
      <c r="H115">
        <v>23</v>
      </c>
      <c r="I115">
        <v>90</v>
      </c>
      <c r="J115">
        <v>2</v>
      </c>
      <c r="K115">
        <v>0</v>
      </c>
      <c r="L115" s="2">
        <f t="shared" si="6"/>
        <v>45292</v>
      </c>
      <c r="M115" s="2">
        <f t="shared" ca="1" si="7"/>
        <v>45306</v>
      </c>
      <c r="N115" s="2" t="str">
        <f t="shared" ca="1" si="8"/>
        <v>N/A</v>
      </c>
      <c r="O115" s="3">
        <f t="shared" ca="1" si="9"/>
        <v>14</v>
      </c>
      <c r="P115" s="3" t="str">
        <f t="shared" ca="1" si="10"/>
        <v>N/A</v>
      </c>
      <c r="Q115" s="1" t="str">
        <f>IF(K115=1,"Joined",IF(H115&gt;=70,"Dropped at Offer",IF(H115&gt;=50,"Dropped at Interview","Dropped at Screening")))</f>
        <v>Dropped at Screening</v>
      </c>
      <c r="R115" s="1" t="str">
        <f t="shared" ca="1" si="11"/>
        <v>Jan-2024</v>
      </c>
    </row>
    <row r="116" spans="1:18">
      <c r="A116">
        <v>49</v>
      </c>
      <c r="B116">
        <v>0</v>
      </c>
      <c r="C116">
        <v>2</v>
      </c>
      <c r="D116">
        <v>3</v>
      </c>
      <c r="E116">
        <v>2</v>
      </c>
      <c r="F116">
        <v>21.2120821053519</v>
      </c>
      <c r="G116">
        <v>24</v>
      </c>
      <c r="H116">
        <v>62</v>
      </c>
      <c r="I116">
        <v>83</v>
      </c>
      <c r="J116">
        <v>3</v>
      </c>
      <c r="K116">
        <v>0</v>
      </c>
      <c r="L116" s="2">
        <f t="shared" si="6"/>
        <v>45292</v>
      </c>
      <c r="M116" s="2">
        <f t="shared" ca="1" si="7"/>
        <v>45327</v>
      </c>
      <c r="N116" s="2" t="str">
        <f t="shared" ca="1" si="8"/>
        <v>N/A</v>
      </c>
      <c r="O116" s="3">
        <f t="shared" ca="1" si="9"/>
        <v>35</v>
      </c>
      <c r="P116" s="3" t="str">
        <f t="shared" ca="1" si="10"/>
        <v>N/A</v>
      </c>
      <c r="Q116" s="1" t="str">
        <f>IF(K116=1,"Joined",IF(H116&gt;=70,"Dropped at Offer",IF(H116&gt;=50,"Dropped at Interview","Dropped at Screening")))</f>
        <v>Dropped at Interview</v>
      </c>
      <c r="R116" s="1" t="str">
        <f t="shared" ca="1" si="11"/>
        <v>Feb-2024</v>
      </c>
    </row>
    <row r="117" spans="1:18">
      <c r="A117">
        <v>27</v>
      </c>
      <c r="B117">
        <v>0</v>
      </c>
      <c r="C117">
        <v>2</v>
      </c>
      <c r="D117">
        <v>1</v>
      </c>
      <c r="E117">
        <v>4</v>
      </c>
      <c r="F117">
        <v>50.663259821487301</v>
      </c>
      <c r="G117">
        <v>1</v>
      </c>
      <c r="H117">
        <v>85</v>
      </c>
      <c r="I117">
        <v>78</v>
      </c>
      <c r="J117">
        <v>1</v>
      </c>
      <c r="K117">
        <v>1</v>
      </c>
      <c r="L117" s="2">
        <f t="shared" si="6"/>
        <v>45292</v>
      </c>
      <c r="M117" s="2">
        <f t="shared" ca="1" si="7"/>
        <v>45314</v>
      </c>
      <c r="N117" s="2">
        <f t="shared" ca="1" si="8"/>
        <v>45328</v>
      </c>
      <c r="O117" s="3">
        <f t="shared" ca="1" si="9"/>
        <v>22</v>
      </c>
      <c r="P117" s="3">
        <f t="shared" ca="1" si="10"/>
        <v>14</v>
      </c>
      <c r="Q117" s="1" t="str">
        <f>IF(K117=1,"Joined",IF(H117&gt;=70,"Dropped at Offer",IF(H117&gt;=50,"Dropped at Interview","Dropped at Screening")))</f>
        <v>Joined</v>
      </c>
      <c r="R117" s="1" t="str">
        <f t="shared" ca="1" si="11"/>
        <v>Jan-2024</v>
      </c>
    </row>
    <row r="118" spans="1:18">
      <c r="A118">
        <v>40</v>
      </c>
      <c r="B118">
        <v>1</v>
      </c>
      <c r="C118">
        <v>1</v>
      </c>
      <c r="D118">
        <v>13</v>
      </c>
      <c r="E118">
        <v>5</v>
      </c>
      <c r="F118">
        <v>44.427851412472997</v>
      </c>
      <c r="G118">
        <v>85</v>
      </c>
      <c r="H118">
        <v>60</v>
      </c>
      <c r="I118">
        <v>61</v>
      </c>
      <c r="J118">
        <v>2</v>
      </c>
      <c r="K118">
        <v>1</v>
      </c>
      <c r="L118" s="2">
        <f t="shared" si="6"/>
        <v>45292</v>
      </c>
      <c r="M118" s="2">
        <f t="shared" ca="1" si="7"/>
        <v>45318</v>
      </c>
      <c r="N118" s="2">
        <f t="shared" ca="1" si="8"/>
        <v>45331</v>
      </c>
      <c r="O118" s="3">
        <f t="shared" ca="1" si="9"/>
        <v>26</v>
      </c>
      <c r="P118" s="3">
        <f t="shared" ca="1" si="10"/>
        <v>13</v>
      </c>
      <c r="Q118" s="1" t="str">
        <f>IF(K118=1,"Joined",IF(H118&gt;=70,"Dropped at Offer",IF(H118&gt;=50,"Dropped at Interview","Dropped at Screening")))</f>
        <v>Joined</v>
      </c>
      <c r="R118" s="1" t="str">
        <f t="shared" ca="1" si="11"/>
        <v>Jan-2024</v>
      </c>
    </row>
    <row r="119" spans="1:18">
      <c r="A119">
        <v>35</v>
      </c>
      <c r="B119">
        <v>1</v>
      </c>
      <c r="C119">
        <v>2</v>
      </c>
      <c r="D119">
        <v>8</v>
      </c>
      <c r="E119">
        <v>2</v>
      </c>
      <c r="F119">
        <v>29.231992894809999</v>
      </c>
      <c r="G119">
        <v>4</v>
      </c>
      <c r="H119">
        <v>22</v>
      </c>
      <c r="I119">
        <v>26</v>
      </c>
      <c r="J119">
        <v>2</v>
      </c>
      <c r="K119">
        <v>0</v>
      </c>
      <c r="L119" s="2">
        <f t="shared" si="6"/>
        <v>45292</v>
      </c>
      <c r="M119" s="2">
        <f t="shared" ca="1" si="7"/>
        <v>45327</v>
      </c>
      <c r="N119" s="2" t="str">
        <f t="shared" ca="1" si="8"/>
        <v>N/A</v>
      </c>
      <c r="O119" s="3">
        <f t="shared" ca="1" si="9"/>
        <v>35</v>
      </c>
      <c r="P119" s="3" t="str">
        <f t="shared" ca="1" si="10"/>
        <v>N/A</v>
      </c>
      <c r="Q119" s="1" t="str">
        <f>IF(K119=1,"Joined",IF(H119&gt;=70,"Dropped at Offer",IF(H119&gt;=50,"Dropped at Interview","Dropped at Screening")))</f>
        <v>Dropped at Screening</v>
      </c>
      <c r="R119" s="1" t="str">
        <f t="shared" ca="1" si="11"/>
        <v>Feb-2024</v>
      </c>
    </row>
    <row r="120" spans="1:18">
      <c r="A120">
        <v>32</v>
      </c>
      <c r="B120">
        <v>0</v>
      </c>
      <c r="C120">
        <v>3</v>
      </c>
      <c r="D120">
        <v>12</v>
      </c>
      <c r="E120">
        <v>3</v>
      </c>
      <c r="F120">
        <v>26.831379592713699</v>
      </c>
      <c r="G120">
        <v>3</v>
      </c>
      <c r="H120">
        <v>29</v>
      </c>
      <c r="I120">
        <v>44</v>
      </c>
      <c r="J120">
        <v>1</v>
      </c>
      <c r="K120">
        <v>1</v>
      </c>
      <c r="L120" s="2">
        <f t="shared" si="6"/>
        <v>45292</v>
      </c>
      <c r="M120" s="2">
        <f t="shared" ca="1" si="7"/>
        <v>45307</v>
      </c>
      <c r="N120" s="2">
        <f t="shared" ca="1" si="8"/>
        <v>45326</v>
      </c>
      <c r="O120" s="3">
        <f t="shared" ca="1" si="9"/>
        <v>15</v>
      </c>
      <c r="P120" s="3">
        <f t="shared" ca="1" si="10"/>
        <v>19</v>
      </c>
      <c r="Q120" s="1" t="str">
        <f>IF(K120=1,"Joined",IF(H120&gt;=70,"Dropped at Offer",IF(H120&gt;=50,"Dropped at Interview","Dropped at Screening")))</f>
        <v>Joined</v>
      </c>
      <c r="R120" s="1" t="str">
        <f t="shared" ca="1" si="11"/>
        <v>Jan-2024</v>
      </c>
    </row>
    <row r="121" spans="1:18">
      <c r="A121">
        <v>37</v>
      </c>
      <c r="B121">
        <v>1</v>
      </c>
      <c r="C121">
        <v>3</v>
      </c>
      <c r="D121">
        <v>11</v>
      </c>
      <c r="E121">
        <v>3</v>
      </c>
      <c r="F121">
        <v>15.230019115234001</v>
      </c>
      <c r="G121">
        <v>35</v>
      </c>
      <c r="H121">
        <v>59</v>
      </c>
      <c r="I121">
        <v>91</v>
      </c>
      <c r="J121">
        <v>1</v>
      </c>
      <c r="K121">
        <v>1</v>
      </c>
      <c r="L121" s="2">
        <f t="shared" si="6"/>
        <v>45292</v>
      </c>
      <c r="M121" s="2">
        <f t="shared" ca="1" si="7"/>
        <v>45319</v>
      </c>
      <c r="N121" s="2">
        <f t="shared" ca="1" si="8"/>
        <v>45326</v>
      </c>
      <c r="O121" s="3">
        <f t="shared" ca="1" si="9"/>
        <v>27</v>
      </c>
      <c r="P121" s="3">
        <f t="shared" ca="1" si="10"/>
        <v>7</v>
      </c>
      <c r="Q121" s="1" t="str">
        <f>IF(K121=1,"Joined",IF(H121&gt;=70,"Dropped at Offer",IF(H121&gt;=50,"Dropped at Interview","Dropped at Screening")))</f>
        <v>Joined</v>
      </c>
      <c r="R121" s="1" t="str">
        <f t="shared" ca="1" si="11"/>
        <v>Jan-2024</v>
      </c>
    </row>
    <row r="122" spans="1:18">
      <c r="A122">
        <v>34</v>
      </c>
      <c r="B122">
        <v>0</v>
      </c>
      <c r="C122">
        <v>2</v>
      </c>
      <c r="D122">
        <v>0</v>
      </c>
      <c r="E122">
        <v>1</v>
      </c>
      <c r="F122">
        <v>26.860471384676401</v>
      </c>
      <c r="G122">
        <v>5</v>
      </c>
      <c r="H122">
        <v>17</v>
      </c>
      <c r="I122">
        <v>24</v>
      </c>
      <c r="J122">
        <v>2</v>
      </c>
      <c r="K122">
        <v>0</v>
      </c>
      <c r="L122" s="2">
        <f t="shared" si="6"/>
        <v>45292</v>
      </c>
      <c r="M122" s="2">
        <f t="shared" ca="1" si="7"/>
        <v>45334</v>
      </c>
      <c r="N122" s="2" t="str">
        <f t="shared" ca="1" si="8"/>
        <v>N/A</v>
      </c>
      <c r="O122" s="3">
        <f t="shared" ca="1" si="9"/>
        <v>42</v>
      </c>
      <c r="P122" s="3" t="str">
        <f t="shared" ca="1" si="10"/>
        <v>N/A</v>
      </c>
      <c r="Q122" s="1" t="str">
        <f>IF(K122=1,"Joined",IF(H122&gt;=70,"Dropped at Offer",IF(H122&gt;=50,"Dropped at Interview","Dropped at Screening")))</f>
        <v>Dropped at Screening</v>
      </c>
      <c r="R122" s="1" t="str">
        <f t="shared" ca="1" si="11"/>
        <v>Feb-2024</v>
      </c>
    </row>
    <row r="123" spans="1:18">
      <c r="A123">
        <v>40</v>
      </c>
      <c r="B123">
        <v>0</v>
      </c>
      <c r="C123">
        <v>2</v>
      </c>
      <c r="D123">
        <v>0</v>
      </c>
      <c r="E123">
        <v>5</v>
      </c>
      <c r="F123">
        <v>43.409074913997301</v>
      </c>
      <c r="G123">
        <v>20</v>
      </c>
      <c r="H123">
        <v>95</v>
      </c>
      <c r="I123">
        <v>60</v>
      </c>
      <c r="J123">
        <v>2</v>
      </c>
      <c r="K123">
        <v>0</v>
      </c>
      <c r="L123" s="2">
        <f t="shared" si="6"/>
        <v>45292</v>
      </c>
      <c r="M123" s="2">
        <f t="shared" ca="1" si="7"/>
        <v>45335</v>
      </c>
      <c r="N123" s="2" t="str">
        <f t="shared" ca="1" si="8"/>
        <v>N/A</v>
      </c>
      <c r="O123" s="3">
        <f t="shared" ca="1" si="9"/>
        <v>43</v>
      </c>
      <c r="P123" s="3" t="str">
        <f t="shared" ca="1" si="10"/>
        <v>N/A</v>
      </c>
      <c r="Q123" s="1" t="str">
        <f>IF(K123=1,"Joined",IF(H123&gt;=70,"Dropped at Offer",IF(H123&gt;=50,"Dropped at Interview","Dropped at Screening")))</f>
        <v>Dropped at Offer</v>
      </c>
      <c r="R123" s="1" t="str">
        <f t="shared" ca="1" si="11"/>
        <v>Feb-2024</v>
      </c>
    </row>
    <row r="124" spans="1:18">
      <c r="A124">
        <v>43</v>
      </c>
      <c r="B124">
        <v>0</v>
      </c>
      <c r="C124">
        <v>1</v>
      </c>
      <c r="D124">
        <v>12</v>
      </c>
      <c r="E124">
        <v>2</v>
      </c>
      <c r="F124">
        <v>35.258725663889003</v>
      </c>
      <c r="G124">
        <v>76</v>
      </c>
      <c r="H124">
        <v>55</v>
      </c>
      <c r="I124">
        <v>43</v>
      </c>
      <c r="J124">
        <v>2</v>
      </c>
      <c r="K124">
        <v>0</v>
      </c>
      <c r="L124" s="2">
        <f t="shared" si="6"/>
        <v>45292</v>
      </c>
      <c r="M124" s="2">
        <f t="shared" ca="1" si="7"/>
        <v>45319</v>
      </c>
      <c r="N124" s="2" t="str">
        <f t="shared" ca="1" si="8"/>
        <v>N/A</v>
      </c>
      <c r="O124" s="3">
        <f t="shared" ca="1" si="9"/>
        <v>27</v>
      </c>
      <c r="P124" s="3" t="str">
        <f t="shared" ca="1" si="10"/>
        <v>N/A</v>
      </c>
      <c r="Q124" s="1" t="str">
        <f>IF(K124=1,"Joined",IF(H124&gt;=70,"Dropped at Offer",IF(H124&gt;=50,"Dropped at Interview","Dropped at Screening")))</f>
        <v>Dropped at Interview</v>
      </c>
      <c r="R124" s="1" t="str">
        <f t="shared" ca="1" si="11"/>
        <v>Jan-2024</v>
      </c>
    </row>
    <row r="125" spans="1:18">
      <c r="A125">
        <v>45</v>
      </c>
      <c r="B125">
        <v>0</v>
      </c>
      <c r="C125">
        <v>1</v>
      </c>
      <c r="D125">
        <v>3</v>
      </c>
      <c r="E125">
        <v>4</v>
      </c>
      <c r="F125">
        <v>15.5022014088993</v>
      </c>
      <c r="G125">
        <v>100</v>
      </c>
      <c r="H125">
        <v>52</v>
      </c>
      <c r="I125">
        <v>96</v>
      </c>
      <c r="J125">
        <v>1</v>
      </c>
      <c r="K125">
        <v>1</v>
      </c>
      <c r="L125" s="2">
        <f t="shared" si="6"/>
        <v>45292</v>
      </c>
      <c r="M125" s="2">
        <f t="shared" ca="1" si="7"/>
        <v>45309</v>
      </c>
      <c r="N125" s="2">
        <f t="shared" ca="1" si="8"/>
        <v>45335</v>
      </c>
      <c r="O125" s="3">
        <f t="shared" ca="1" si="9"/>
        <v>17</v>
      </c>
      <c r="P125" s="3">
        <f t="shared" ca="1" si="10"/>
        <v>26</v>
      </c>
      <c r="Q125" s="1" t="str">
        <f>IF(K125=1,"Joined",IF(H125&gt;=70,"Dropped at Offer",IF(H125&gt;=50,"Dropped at Interview","Dropped at Screening")))</f>
        <v>Joined</v>
      </c>
      <c r="R125" s="1" t="str">
        <f t="shared" ca="1" si="11"/>
        <v>Jan-2024</v>
      </c>
    </row>
    <row r="126" spans="1:18">
      <c r="A126">
        <v>44</v>
      </c>
      <c r="B126">
        <v>0</v>
      </c>
      <c r="C126">
        <v>1</v>
      </c>
      <c r="D126">
        <v>6</v>
      </c>
      <c r="E126">
        <v>3</v>
      </c>
      <c r="F126">
        <v>11.0731960526766</v>
      </c>
      <c r="G126">
        <v>88</v>
      </c>
      <c r="H126">
        <v>6</v>
      </c>
      <c r="I126">
        <v>45</v>
      </c>
      <c r="J126">
        <v>3</v>
      </c>
      <c r="K126">
        <v>0</v>
      </c>
      <c r="L126" s="2">
        <f t="shared" si="6"/>
        <v>45292</v>
      </c>
      <c r="M126" s="2">
        <f t="shared" ca="1" si="7"/>
        <v>45324</v>
      </c>
      <c r="N126" s="2" t="str">
        <f t="shared" ca="1" si="8"/>
        <v>N/A</v>
      </c>
      <c r="O126" s="3">
        <f t="shared" ca="1" si="9"/>
        <v>32</v>
      </c>
      <c r="P126" s="3" t="str">
        <f t="shared" ca="1" si="10"/>
        <v>N/A</v>
      </c>
      <c r="Q126" s="1" t="str">
        <f>IF(K126=1,"Joined",IF(H126&gt;=70,"Dropped at Offer",IF(H126&gt;=50,"Dropped at Interview","Dropped at Screening")))</f>
        <v>Dropped at Screening</v>
      </c>
      <c r="R126" s="1" t="str">
        <f t="shared" ca="1" si="11"/>
        <v>Feb-2024</v>
      </c>
    </row>
    <row r="127" spans="1:18">
      <c r="A127">
        <v>47</v>
      </c>
      <c r="B127">
        <v>1</v>
      </c>
      <c r="C127">
        <v>2</v>
      </c>
      <c r="D127">
        <v>0</v>
      </c>
      <c r="E127">
        <v>2</v>
      </c>
      <c r="F127">
        <v>14.2604268498414</v>
      </c>
      <c r="G127">
        <v>25</v>
      </c>
      <c r="H127">
        <v>96</v>
      </c>
      <c r="I127">
        <v>13</v>
      </c>
      <c r="J127">
        <v>1</v>
      </c>
      <c r="K127">
        <v>0</v>
      </c>
      <c r="L127" s="2">
        <f t="shared" si="6"/>
        <v>45292</v>
      </c>
      <c r="M127" s="2">
        <f t="shared" ca="1" si="7"/>
        <v>45317</v>
      </c>
      <c r="N127" s="2" t="str">
        <f t="shared" ca="1" si="8"/>
        <v>N/A</v>
      </c>
      <c r="O127" s="3">
        <f t="shared" ca="1" si="9"/>
        <v>25</v>
      </c>
      <c r="P127" s="3" t="str">
        <f t="shared" ca="1" si="10"/>
        <v>N/A</v>
      </c>
      <c r="Q127" s="1" t="str">
        <f>IF(K127=1,"Joined",IF(H127&gt;=70,"Dropped at Offer",IF(H127&gt;=50,"Dropped at Interview","Dropped at Screening")))</f>
        <v>Dropped at Offer</v>
      </c>
      <c r="R127" s="1" t="str">
        <f t="shared" ca="1" si="11"/>
        <v>Jan-2024</v>
      </c>
    </row>
    <row r="128" spans="1:18">
      <c r="A128">
        <v>47</v>
      </c>
      <c r="B128">
        <v>1</v>
      </c>
      <c r="C128">
        <v>2</v>
      </c>
      <c r="D128">
        <v>8</v>
      </c>
      <c r="E128">
        <v>5</v>
      </c>
      <c r="F128">
        <v>9.4879600696413195</v>
      </c>
      <c r="G128">
        <v>54</v>
      </c>
      <c r="H128">
        <v>68</v>
      </c>
      <c r="I128">
        <v>7</v>
      </c>
      <c r="J128">
        <v>2</v>
      </c>
      <c r="K128">
        <v>0</v>
      </c>
      <c r="L128" s="2">
        <f t="shared" si="6"/>
        <v>45292</v>
      </c>
      <c r="M128" s="2">
        <f t="shared" ca="1" si="7"/>
        <v>45310</v>
      </c>
      <c r="N128" s="2" t="str">
        <f t="shared" ca="1" si="8"/>
        <v>N/A</v>
      </c>
      <c r="O128" s="3">
        <f t="shared" ca="1" si="9"/>
        <v>18</v>
      </c>
      <c r="P128" s="3" t="str">
        <f t="shared" ca="1" si="10"/>
        <v>N/A</v>
      </c>
      <c r="Q128" s="1" t="str">
        <f>IF(K128=1,"Joined",IF(H128&gt;=70,"Dropped at Offer",IF(H128&gt;=50,"Dropped at Interview","Dropped at Screening")))</f>
        <v>Dropped at Interview</v>
      </c>
      <c r="R128" s="1" t="str">
        <f t="shared" ca="1" si="11"/>
        <v>Jan-2024</v>
      </c>
    </row>
    <row r="129" spans="1:18">
      <c r="A129">
        <v>47</v>
      </c>
      <c r="B129">
        <v>1</v>
      </c>
      <c r="C129">
        <v>2</v>
      </c>
      <c r="D129">
        <v>3</v>
      </c>
      <c r="E129">
        <v>1</v>
      </c>
      <c r="F129">
        <v>5.7820348011857901</v>
      </c>
      <c r="G129">
        <v>38</v>
      </c>
      <c r="H129">
        <v>91</v>
      </c>
      <c r="I129">
        <v>47</v>
      </c>
      <c r="J129">
        <v>2</v>
      </c>
      <c r="K129">
        <v>0</v>
      </c>
      <c r="L129" s="2">
        <f t="shared" si="6"/>
        <v>45292</v>
      </c>
      <c r="M129" s="2">
        <f t="shared" ca="1" si="7"/>
        <v>45333</v>
      </c>
      <c r="N129" s="2" t="str">
        <f t="shared" ca="1" si="8"/>
        <v>N/A</v>
      </c>
      <c r="O129" s="3">
        <f t="shared" ca="1" si="9"/>
        <v>41</v>
      </c>
      <c r="P129" s="3" t="str">
        <f t="shared" ca="1" si="10"/>
        <v>N/A</v>
      </c>
      <c r="Q129" s="1" t="str">
        <f>IF(K129=1,"Joined",IF(H129&gt;=70,"Dropped at Offer",IF(H129&gt;=50,"Dropped at Interview","Dropped at Screening")))</f>
        <v>Dropped at Offer</v>
      </c>
      <c r="R129" s="1" t="str">
        <f t="shared" ca="1" si="11"/>
        <v>Feb-2024</v>
      </c>
    </row>
    <row r="130" spans="1:18">
      <c r="A130">
        <v>32</v>
      </c>
      <c r="B130">
        <v>1</v>
      </c>
      <c r="C130">
        <v>2</v>
      </c>
      <c r="D130">
        <v>2</v>
      </c>
      <c r="E130">
        <v>3</v>
      </c>
      <c r="F130">
        <v>21.9568087221027</v>
      </c>
      <c r="G130">
        <v>83</v>
      </c>
      <c r="H130">
        <v>71</v>
      </c>
      <c r="I130">
        <v>13</v>
      </c>
      <c r="J130">
        <v>1</v>
      </c>
      <c r="K130">
        <v>1</v>
      </c>
      <c r="L130" s="2">
        <f t="shared" ref="L130:L193" si="12">DATE(2024,1,1)</f>
        <v>45292</v>
      </c>
      <c r="M130" s="2">
        <f t="shared" ref="M130:M193" ca="1" si="13">L130+RANDBETWEEN(14,45)</f>
        <v>45320</v>
      </c>
      <c r="N130" s="2">
        <f t="shared" ref="N130:N193" ca="1" si="14">IF(K130=1, M130+RANDBETWEEN(7,30), "N/A")</f>
        <v>45329</v>
      </c>
      <c r="O130" s="3">
        <f t="shared" ref="O130:O193" ca="1" si="15">IF(AND(M130&lt;&gt;"",L130&lt;&gt;""), M130-L130, "N/A")</f>
        <v>28</v>
      </c>
      <c r="P130" s="3">
        <f t="shared" ref="P130:Q193" ca="1" si="16">IF(AND(K130=1, N130&lt;&gt;"", M130&lt;&gt;""), N130 - M130, "N/A")</f>
        <v>9</v>
      </c>
      <c r="Q130" s="1" t="str">
        <f>IF(K130=1,"Joined",IF(H130&gt;=70,"Dropped at Offer",IF(H130&gt;=50,"Dropped at Interview","Dropped at Screening")))</f>
        <v>Joined</v>
      </c>
      <c r="R130" s="1" t="str">
        <f t="shared" ref="R130:R193" ca="1" si="17">TEXT(M130,"MMM-YYYY")</f>
        <v>Jan-2024</v>
      </c>
    </row>
    <row r="131" spans="1:18">
      <c r="A131">
        <v>28</v>
      </c>
      <c r="B131">
        <v>0</v>
      </c>
      <c r="C131">
        <v>2</v>
      </c>
      <c r="D131">
        <v>0</v>
      </c>
      <c r="E131">
        <v>2</v>
      </c>
      <c r="F131">
        <v>6.6649802199133799</v>
      </c>
      <c r="G131">
        <v>32</v>
      </c>
      <c r="H131">
        <v>78</v>
      </c>
      <c r="I131">
        <v>64</v>
      </c>
      <c r="J131">
        <v>1</v>
      </c>
      <c r="K131">
        <v>1</v>
      </c>
      <c r="L131" s="2">
        <f t="shared" si="12"/>
        <v>45292</v>
      </c>
      <c r="M131" s="2">
        <f t="shared" ca="1" si="13"/>
        <v>45331</v>
      </c>
      <c r="N131" s="2">
        <f t="shared" ca="1" si="14"/>
        <v>45350</v>
      </c>
      <c r="O131" s="3">
        <f t="shared" ca="1" si="15"/>
        <v>39</v>
      </c>
      <c r="P131" s="3">
        <f t="shared" ca="1" si="16"/>
        <v>19</v>
      </c>
      <c r="Q131" s="1" t="str">
        <f>IF(K131=1,"Joined",IF(H131&gt;=70,"Dropped at Offer",IF(H131&gt;=50,"Dropped at Interview","Dropped at Screening")))</f>
        <v>Joined</v>
      </c>
      <c r="R131" s="1" t="str">
        <f t="shared" ca="1" si="17"/>
        <v>Feb-2024</v>
      </c>
    </row>
    <row r="132" spans="1:18">
      <c r="A132">
        <v>48</v>
      </c>
      <c r="B132">
        <v>0</v>
      </c>
      <c r="C132">
        <v>2</v>
      </c>
      <c r="D132">
        <v>9</v>
      </c>
      <c r="E132">
        <v>2</v>
      </c>
      <c r="F132">
        <v>9.59562788635521</v>
      </c>
      <c r="G132">
        <v>13</v>
      </c>
      <c r="H132">
        <v>51</v>
      </c>
      <c r="I132">
        <v>79</v>
      </c>
      <c r="J132">
        <v>2</v>
      </c>
      <c r="K132">
        <v>0</v>
      </c>
      <c r="L132" s="2">
        <f t="shared" si="12"/>
        <v>45292</v>
      </c>
      <c r="M132" s="2">
        <f t="shared" ca="1" si="13"/>
        <v>45312</v>
      </c>
      <c r="N132" s="2" t="str">
        <f t="shared" ca="1" si="14"/>
        <v>N/A</v>
      </c>
      <c r="O132" s="3">
        <f t="shared" ca="1" si="15"/>
        <v>20</v>
      </c>
      <c r="P132" s="3" t="str">
        <f t="shared" ca="1" si="16"/>
        <v>N/A</v>
      </c>
      <c r="Q132" s="1" t="str">
        <f>IF(K132=1,"Joined",IF(H132&gt;=70,"Dropped at Offer",IF(H132&gt;=50,"Dropped at Interview","Dropped at Screening")))</f>
        <v>Dropped at Interview</v>
      </c>
      <c r="R132" s="1" t="str">
        <f t="shared" ca="1" si="17"/>
        <v>Jan-2024</v>
      </c>
    </row>
    <row r="133" spans="1:18">
      <c r="A133">
        <v>34</v>
      </c>
      <c r="B133">
        <v>0</v>
      </c>
      <c r="C133">
        <v>3</v>
      </c>
      <c r="D133">
        <v>3</v>
      </c>
      <c r="E133">
        <v>2</v>
      </c>
      <c r="F133">
        <v>28.366234216974298</v>
      </c>
      <c r="G133">
        <v>55</v>
      </c>
      <c r="H133">
        <v>3</v>
      </c>
      <c r="I133">
        <v>81</v>
      </c>
      <c r="J133">
        <v>3</v>
      </c>
      <c r="K133">
        <v>0</v>
      </c>
      <c r="L133" s="2">
        <f t="shared" si="12"/>
        <v>45292</v>
      </c>
      <c r="M133" s="2">
        <f t="shared" ca="1" si="13"/>
        <v>45328</v>
      </c>
      <c r="N133" s="2" t="str">
        <f t="shared" ca="1" si="14"/>
        <v>N/A</v>
      </c>
      <c r="O133" s="3">
        <f t="shared" ca="1" si="15"/>
        <v>36</v>
      </c>
      <c r="P133" s="3" t="str">
        <f t="shared" ca="1" si="16"/>
        <v>N/A</v>
      </c>
      <c r="Q133" s="1" t="str">
        <f>IF(K133=1,"Joined",IF(H133&gt;=70,"Dropped at Offer",IF(H133&gt;=50,"Dropped at Interview","Dropped at Screening")))</f>
        <v>Dropped at Screening</v>
      </c>
      <c r="R133" s="1" t="str">
        <f t="shared" ca="1" si="17"/>
        <v>Feb-2024</v>
      </c>
    </row>
    <row r="134" spans="1:18">
      <c r="A134">
        <v>32</v>
      </c>
      <c r="B134">
        <v>0</v>
      </c>
      <c r="C134">
        <v>2</v>
      </c>
      <c r="D134">
        <v>8</v>
      </c>
      <c r="E134">
        <v>5</v>
      </c>
      <c r="F134">
        <v>9.2299636849787294</v>
      </c>
      <c r="G134">
        <v>99</v>
      </c>
      <c r="H134">
        <v>33</v>
      </c>
      <c r="I134">
        <v>6</v>
      </c>
      <c r="J134">
        <v>1</v>
      </c>
      <c r="K134">
        <v>1</v>
      </c>
      <c r="L134" s="2">
        <f t="shared" si="12"/>
        <v>45292</v>
      </c>
      <c r="M134" s="2">
        <f t="shared" ca="1" si="13"/>
        <v>45327</v>
      </c>
      <c r="N134" s="2">
        <f t="shared" ca="1" si="14"/>
        <v>45345</v>
      </c>
      <c r="O134" s="3">
        <f t="shared" ca="1" si="15"/>
        <v>35</v>
      </c>
      <c r="P134" s="3">
        <f t="shared" ca="1" si="16"/>
        <v>18</v>
      </c>
      <c r="Q134" s="1" t="str">
        <f>IF(K134=1,"Joined",IF(H134&gt;=70,"Dropped at Offer",IF(H134&gt;=50,"Dropped at Interview","Dropped at Screening")))</f>
        <v>Joined</v>
      </c>
      <c r="R134" s="1" t="str">
        <f t="shared" ca="1" si="17"/>
        <v>Feb-2024</v>
      </c>
    </row>
    <row r="135" spans="1:18">
      <c r="A135">
        <v>20</v>
      </c>
      <c r="B135">
        <v>1</v>
      </c>
      <c r="C135">
        <v>4</v>
      </c>
      <c r="D135">
        <v>12</v>
      </c>
      <c r="E135">
        <v>5</v>
      </c>
      <c r="F135">
        <v>4.1939883715451396</v>
      </c>
      <c r="G135">
        <v>80</v>
      </c>
      <c r="H135">
        <v>68</v>
      </c>
      <c r="I135">
        <v>78</v>
      </c>
      <c r="J135">
        <v>2</v>
      </c>
      <c r="K135">
        <v>1</v>
      </c>
      <c r="L135" s="2">
        <f t="shared" si="12"/>
        <v>45292</v>
      </c>
      <c r="M135" s="2">
        <f t="shared" ca="1" si="13"/>
        <v>45326</v>
      </c>
      <c r="N135" s="2">
        <f t="shared" ca="1" si="14"/>
        <v>45334</v>
      </c>
      <c r="O135" s="3">
        <f t="shared" ca="1" si="15"/>
        <v>34</v>
      </c>
      <c r="P135" s="3">
        <f t="shared" ca="1" si="16"/>
        <v>8</v>
      </c>
      <c r="Q135" s="1" t="str">
        <f>IF(K135=1,"Joined",IF(H135&gt;=70,"Dropped at Offer",IF(H135&gt;=50,"Dropped at Interview","Dropped at Screening")))</f>
        <v>Joined</v>
      </c>
      <c r="R135" s="1" t="str">
        <f t="shared" ca="1" si="17"/>
        <v>Feb-2024</v>
      </c>
    </row>
    <row r="136" spans="1:18">
      <c r="A136">
        <v>44</v>
      </c>
      <c r="B136">
        <v>0</v>
      </c>
      <c r="C136">
        <v>3</v>
      </c>
      <c r="D136">
        <v>13</v>
      </c>
      <c r="E136">
        <v>5</v>
      </c>
      <c r="F136">
        <v>16.8694425013942</v>
      </c>
      <c r="G136">
        <v>20</v>
      </c>
      <c r="H136">
        <v>32</v>
      </c>
      <c r="I136">
        <v>87</v>
      </c>
      <c r="J136">
        <v>2</v>
      </c>
      <c r="K136">
        <v>0</v>
      </c>
      <c r="L136" s="2">
        <f t="shared" si="12"/>
        <v>45292</v>
      </c>
      <c r="M136" s="2">
        <f t="shared" ca="1" si="13"/>
        <v>45325</v>
      </c>
      <c r="N136" s="2" t="str">
        <f t="shared" ca="1" si="14"/>
        <v>N/A</v>
      </c>
      <c r="O136" s="3">
        <f t="shared" ca="1" si="15"/>
        <v>33</v>
      </c>
      <c r="P136" s="3" t="str">
        <f t="shared" ca="1" si="16"/>
        <v>N/A</v>
      </c>
      <c r="Q136" s="1" t="str">
        <f>IF(K136=1,"Joined",IF(H136&gt;=70,"Dropped at Offer",IF(H136&gt;=50,"Dropped at Interview","Dropped at Screening")))</f>
        <v>Dropped at Screening</v>
      </c>
      <c r="R136" s="1" t="str">
        <f t="shared" ca="1" si="17"/>
        <v>Feb-2024</v>
      </c>
    </row>
    <row r="137" spans="1:18">
      <c r="A137">
        <v>26</v>
      </c>
      <c r="B137">
        <v>0</v>
      </c>
      <c r="C137">
        <v>1</v>
      </c>
      <c r="D137">
        <v>9</v>
      </c>
      <c r="E137">
        <v>4</v>
      </c>
      <c r="F137">
        <v>12.0159549310983</v>
      </c>
      <c r="G137">
        <v>45</v>
      </c>
      <c r="H137">
        <v>68</v>
      </c>
      <c r="I137">
        <v>48</v>
      </c>
      <c r="J137">
        <v>1</v>
      </c>
      <c r="K137">
        <v>1</v>
      </c>
      <c r="L137" s="2">
        <f t="shared" si="12"/>
        <v>45292</v>
      </c>
      <c r="M137" s="2">
        <f t="shared" ca="1" si="13"/>
        <v>45327</v>
      </c>
      <c r="N137" s="2">
        <f t="shared" ca="1" si="14"/>
        <v>45341</v>
      </c>
      <c r="O137" s="3">
        <f t="shared" ca="1" si="15"/>
        <v>35</v>
      </c>
      <c r="P137" s="3">
        <f t="shared" ca="1" si="16"/>
        <v>14</v>
      </c>
      <c r="Q137" s="1" t="str">
        <f>IF(K137=1,"Joined",IF(H137&gt;=70,"Dropped at Offer",IF(H137&gt;=50,"Dropped at Interview","Dropped at Screening")))</f>
        <v>Joined</v>
      </c>
      <c r="R137" s="1" t="str">
        <f t="shared" ca="1" si="17"/>
        <v>Feb-2024</v>
      </c>
    </row>
    <row r="138" spans="1:18">
      <c r="A138">
        <v>28</v>
      </c>
      <c r="B138">
        <v>1</v>
      </c>
      <c r="C138">
        <v>3</v>
      </c>
      <c r="D138">
        <v>15</v>
      </c>
      <c r="E138">
        <v>2</v>
      </c>
      <c r="F138">
        <v>26.765259399718801</v>
      </c>
      <c r="G138">
        <v>15</v>
      </c>
      <c r="H138">
        <v>37</v>
      </c>
      <c r="I138">
        <v>54</v>
      </c>
      <c r="J138">
        <v>2</v>
      </c>
      <c r="K138">
        <v>0</v>
      </c>
      <c r="L138" s="2">
        <f t="shared" si="12"/>
        <v>45292</v>
      </c>
      <c r="M138" s="2">
        <f t="shared" ca="1" si="13"/>
        <v>45330</v>
      </c>
      <c r="N138" s="2" t="str">
        <f t="shared" ca="1" si="14"/>
        <v>N/A</v>
      </c>
      <c r="O138" s="3">
        <f t="shared" ca="1" si="15"/>
        <v>38</v>
      </c>
      <c r="P138" s="3" t="str">
        <f t="shared" ca="1" si="16"/>
        <v>N/A</v>
      </c>
      <c r="Q138" s="1" t="str">
        <f>IF(K138=1,"Joined",IF(H138&gt;=70,"Dropped at Offer",IF(H138&gt;=50,"Dropped at Interview","Dropped at Screening")))</f>
        <v>Dropped at Screening</v>
      </c>
      <c r="R138" s="1" t="str">
        <f t="shared" ca="1" si="17"/>
        <v>Feb-2024</v>
      </c>
    </row>
    <row r="139" spans="1:18">
      <c r="A139">
        <v>43</v>
      </c>
      <c r="B139">
        <v>1</v>
      </c>
      <c r="C139">
        <v>2</v>
      </c>
      <c r="D139">
        <v>15</v>
      </c>
      <c r="E139">
        <v>3</v>
      </c>
      <c r="F139">
        <v>6.1183542291604596</v>
      </c>
      <c r="G139">
        <v>15</v>
      </c>
      <c r="H139">
        <v>97</v>
      </c>
      <c r="I139">
        <v>12</v>
      </c>
      <c r="J139">
        <v>3</v>
      </c>
      <c r="K139">
        <v>0</v>
      </c>
      <c r="L139" s="2">
        <f t="shared" si="12"/>
        <v>45292</v>
      </c>
      <c r="M139" s="2">
        <f t="shared" ca="1" si="13"/>
        <v>45314</v>
      </c>
      <c r="N139" s="2" t="str">
        <f t="shared" ca="1" si="14"/>
        <v>N/A</v>
      </c>
      <c r="O139" s="3">
        <f t="shared" ca="1" si="15"/>
        <v>22</v>
      </c>
      <c r="P139" s="3" t="str">
        <f t="shared" ca="1" si="16"/>
        <v>N/A</v>
      </c>
      <c r="Q139" s="1" t="str">
        <f>IF(K139=1,"Joined",IF(H139&gt;=70,"Dropped at Offer",IF(H139&gt;=50,"Dropped at Interview","Dropped at Screening")))</f>
        <v>Dropped at Offer</v>
      </c>
      <c r="R139" s="1" t="str">
        <f t="shared" ca="1" si="17"/>
        <v>Jan-2024</v>
      </c>
    </row>
    <row r="140" spans="1:18">
      <c r="A140">
        <v>20</v>
      </c>
      <c r="B140">
        <v>1</v>
      </c>
      <c r="C140">
        <v>2</v>
      </c>
      <c r="D140">
        <v>5</v>
      </c>
      <c r="E140">
        <v>5</v>
      </c>
      <c r="F140">
        <v>38.588539384148902</v>
      </c>
      <c r="G140">
        <v>83</v>
      </c>
      <c r="H140">
        <v>25</v>
      </c>
      <c r="I140">
        <v>72</v>
      </c>
      <c r="J140">
        <v>2</v>
      </c>
      <c r="K140">
        <v>0</v>
      </c>
      <c r="L140" s="2">
        <f t="shared" si="12"/>
        <v>45292</v>
      </c>
      <c r="M140" s="2">
        <f t="shared" ca="1" si="13"/>
        <v>45330</v>
      </c>
      <c r="N140" s="2" t="str">
        <f t="shared" ca="1" si="14"/>
        <v>N/A</v>
      </c>
      <c r="O140" s="3">
        <f t="shared" ca="1" si="15"/>
        <v>38</v>
      </c>
      <c r="P140" s="3" t="str">
        <f t="shared" ca="1" si="16"/>
        <v>N/A</v>
      </c>
      <c r="Q140" s="1" t="str">
        <f>IF(K140=1,"Joined",IF(H140&gt;=70,"Dropped at Offer",IF(H140&gt;=50,"Dropped at Interview","Dropped at Screening")))</f>
        <v>Dropped at Screening</v>
      </c>
      <c r="R140" s="1" t="str">
        <f t="shared" ca="1" si="17"/>
        <v>Feb-2024</v>
      </c>
    </row>
    <row r="141" spans="1:18">
      <c r="A141">
        <v>31</v>
      </c>
      <c r="B141">
        <v>1</v>
      </c>
      <c r="C141">
        <v>2</v>
      </c>
      <c r="D141">
        <v>15</v>
      </c>
      <c r="E141">
        <v>5</v>
      </c>
      <c r="F141">
        <v>46.311675971756898</v>
      </c>
      <c r="G141">
        <v>28</v>
      </c>
      <c r="H141">
        <v>0</v>
      </c>
      <c r="I141">
        <v>55</v>
      </c>
      <c r="J141">
        <v>3</v>
      </c>
      <c r="K141">
        <v>0</v>
      </c>
      <c r="L141" s="2">
        <f t="shared" si="12"/>
        <v>45292</v>
      </c>
      <c r="M141" s="2">
        <f t="shared" ca="1" si="13"/>
        <v>45317</v>
      </c>
      <c r="N141" s="2" t="str">
        <f t="shared" ca="1" si="14"/>
        <v>N/A</v>
      </c>
      <c r="O141" s="3">
        <f t="shared" ca="1" si="15"/>
        <v>25</v>
      </c>
      <c r="P141" s="3" t="str">
        <f t="shared" ca="1" si="16"/>
        <v>N/A</v>
      </c>
      <c r="Q141" s="1" t="str">
        <f>IF(K141=1,"Joined",IF(H141&gt;=70,"Dropped at Offer",IF(H141&gt;=50,"Dropped at Interview","Dropped at Screening")))</f>
        <v>Dropped at Screening</v>
      </c>
      <c r="R141" s="1" t="str">
        <f t="shared" ca="1" si="17"/>
        <v>Jan-2024</v>
      </c>
    </row>
    <row r="142" spans="1:18">
      <c r="A142">
        <v>27</v>
      </c>
      <c r="B142">
        <v>0</v>
      </c>
      <c r="C142">
        <v>2</v>
      </c>
      <c r="D142">
        <v>5</v>
      </c>
      <c r="E142">
        <v>2</v>
      </c>
      <c r="F142">
        <v>38.1717586978097</v>
      </c>
      <c r="G142">
        <v>91</v>
      </c>
      <c r="H142">
        <v>3</v>
      </c>
      <c r="I142">
        <v>55</v>
      </c>
      <c r="J142">
        <v>1</v>
      </c>
      <c r="K142">
        <v>0</v>
      </c>
      <c r="L142" s="2">
        <f t="shared" si="12"/>
        <v>45292</v>
      </c>
      <c r="M142" s="2">
        <f t="shared" ca="1" si="13"/>
        <v>45311</v>
      </c>
      <c r="N142" s="2" t="str">
        <f t="shared" ca="1" si="14"/>
        <v>N/A</v>
      </c>
      <c r="O142" s="3">
        <f t="shared" ca="1" si="15"/>
        <v>19</v>
      </c>
      <c r="P142" s="3" t="str">
        <f t="shared" ca="1" si="16"/>
        <v>N/A</v>
      </c>
      <c r="Q142" s="1" t="str">
        <f>IF(K142=1,"Joined",IF(H142&gt;=70,"Dropped at Offer",IF(H142&gt;=50,"Dropped at Interview","Dropped at Screening")))</f>
        <v>Dropped at Screening</v>
      </c>
      <c r="R142" s="1" t="str">
        <f t="shared" ca="1" si="17"/>
        <v>Jan-2024</v>
      </c>
    </row>
    <row r="143" spans="1:18">
      <c r="A143">
        <v>43</v>
      </c>
      <c r="B143">
        <v>0</v>
      </c>
      <c r="C143">
        <v>2</v>
      </c>
      <c r="D143">
        <v>0</v>
      </c>
      <c r="E143">
        <v>5</v>
      </c>
      <c r="F143">
        <v>27.641351870069698</v>
      </c>
      <c r="G143">
        <v>7</v>
      </c>
      <c r="H143">
        <v>38</v>
      </c>
      <c r="I143">
        <v>14</v>
      </c>
      <c r="J143">
        <v>2</v>
      </c>
      <c r="K143">
        <v>0</v>
      </c>
      <c r="L143" s="2">
        <f t="shared" si="12"/>
        <v>45292</v>
      </c>
      <c r="M143" s="2">
        <f t="shared" ca="1" si="13"/>
        <v>45323</v>
      </c>
      <c r="N143" s="2" t="str">
        <f t="shared" ca="1" si="14"/>
        <v>N/A</v>
      </c>
      <c r="O143" s="3">
        <f t="shared" ca="1" si="15"/>
        <v>31</v>
      </c>
      <c r="P143" s="3" t="str">
        <f t="shared" ca="1" si="16"/>
        <v>N/A</v>
      </c>
      <c r="Q143" s="1" t="str">
        <f>IF(K143=1,"Joined",IF(H143&gt;=70,"Dropped at Offer",IF(H143&gt;=50,"Dropped at Interview","Dropped at Screening")))</f>
        <v>Dropped at Screening</v>
      </c>
      <c r="R143" s="1" t="str">
        <f t="shared" ca="1" si="17"/>
        <v>Feb-2024</v>
      </c>
    </row>
    <row r="144" spans="1:18">
      <c r="A144">
        <v>50</v>
      </c>
      <c r="B144">
        <v>1</v>
      </c>
      <c r="C144">
        <v>2</v>
      </c>
      <c r="D144">
        <v>9</v>
      </c>
      <c r="E144">
        <v>4</v>
      </c>
      <c r="F144">
        <v>44.033391089444201</v>
      </c>
      <c r="G144">
        <v>87</v>
      </c>
      <c r="H144">
        <v>53</v>
      </c>
      <c r="I144">
        <v>56</v>
      </c>
      <c r="J144">
        <v>2</v>
      </c>
      <c r="K144">
        <v>0</v>
      </c>
      <c r="L144" s="2">
        <f t="shared" si="12"/>
        <v>45292</v>
      </c>
      <c r="M144" s="2">
        <f t="shared" ca="1" si="13"/>
        <v>45332</v>
      </c>
      <c r="N144" s="2" t="str">
        <f t="shared" ca="1" si="14"/>
        <v>N/A</v>
      </c>
      <c r="O144" s="3">
        <f t="shared" ca="1" si="15"/>
        <v>40</v>
      </c>
      <c r="P144" s="3" t="str">
        <f t="shared" ca="1" si="16"/>
        <v>N/A</v>
      </c>
      <c r="Q144" s="1" t="str">
        <f>IF(K144=1,"Joined",IF(H144&gt;=70,"Dropped at Offer",IF(H144&gt;=50,"Dropped at Interview","Dropped at Screening")))</f>
        <v>Dropped at Interview</v>
      </c>
      <c r="R144" s="1" t="str">
        <f t="shared" ca="1" si="17"/>
        <v>Feb-2024</v>
      </c>
    </row>
    <row r="145" spans="1:18">
      <c r="A145">
        <v>30</v>
      </c>
      <c r="B145">
        <v>0</v>
      </c>
      <c r="C145">
        <v>2</v>
      </c>
      <c r="D145">
        <v>1</v>
      </c>
      <c r="E145">
        <v>4</v>
      </c>
      <c r="F145">
        <v>35.7459189890753</v>
      </c>
      <c r="G145">
        <v>2</v>
      </c>
      <c r="H145">
        <v>89</v>
      </c>
      <c r="I145">
        <v>57</v>
      </c>
      <c r="J145">
        <v>2</v>
      </c>
      <c r="K145">
        <v>0</v>
      </c>
      <c r="L145" s="2">
        <f t="shared" si="12"/>
        <v>45292</v>
      </c>
      <c r="M145" s="2">
        <f t="shared" ca="1" si="13"/>
        <v>45316</v>
      </c>
      <c r="N145" s="2" t="str">
        <f t="shared" ca="1" si="14"/>
        <v>N/A</v>
      </c>
      <c r="O145" s="3">
        <f t="shared" ca="1" si="15"/>
        <v>24</v>
      </c>
      <c r="P145" s="3" t="str">
        <f t="shared" ca="1" si="16"/>
        <v>N/A</v>
      </c>
      <c r="Q145" s="1" t="str">
        <f>IF(K145=1,"Joined",IF(H145&gt;=70,"Dropped at Offer",IF(H145&gt;=50,"Dropped at Interview","Dropped at Screening")))</f>
        <v>Dropped at Offer</v>
      </c>
      <c r="R145" s="1" t="str">
        <f t="shared" ca="1" si="17"/>
        <v>Jan-2024</v>
      </c>
    </row>
    <row r="146" spans="1:18">
      <c r="A146">
        <v>38</v>
      </c>
      <c r="B146">
        <v>0</v>
      </c>
      <c r="C146">
        <v>2</v>
      </c>
      <c r="D146">
        <v>10</v>
      </c>
      <c r="E146">
        <v>5</v>
      </c>
      <c r="F146">
        <v>1.52755612250949</v>
      </c>
      <c r="G146">
        <v>88</v>
      </c>
      <c r="H146">
        <v>32</v>
      </c>
      <c r="I146">
        <v>34</v>
      </c>
      <c r="J146">
        <v>2</v>
      </c>
      <c r="K146">
        <v>0</v>
      </c>
      <c r="L146" s="2">
        <f t="shared" si="12"/>
        <v>45292</v>
      </c>
      <c r="M146" s="2">
        <f t="shared" ca="1" si="13"/>
        <v>45328</v>
      </c>
      <c r="N146" s="2" t="str">
        <f t="shared" ca="1" si="14"/>
        <v>N/A</v>
      </c>
      <c r="O146" s="3">
        <f t="shared" ca="1" si="15"/>
        <v>36</v>
      </c>
      <c r="P146" s="3" t="str">
        <f t="shared" ca="1" si="16"/>
        <v>N/A</v>
      </c>
      <c r="Q146" s="1" t="str">
        <f>IF(K146=1,"Joined",IF(H146&gt;=70,"Dropped at Offer",IF(H146&gt;=50,"Dropped at Interview","Dropped at Screening")))</f>
        <v>Dropped at Screening</v>
      </c>
      <c r="R146" s="1" t="str">
        <f t="shared" ca="1" si="17"/>
        <v>Feb-2024</v>
      </c>
    </row>
    <row r="147" spans="1:18">
      <c r="A147">
        <v>36</v>
      </c>
      <c r="B147">
        <v>0</v>
      </c>
      <c r="C147">
        <v>2</v>
      </c>
      <c r="D147">
        <v>5</v>
      </c>
      <c r="E147">
        <v>2</v>
      </c>
      <c r="F147">
        <v>20.704507638725101</v>
      </c>
      <c r="G147">
        <v>18</v>
      </c>
      <c r="H147">
        <v>32</v>
      </c>
      <c r="I147">
        <v>87</v>
      </c>
      <c r="J147">
        <v>1</v>
      </c>
      <c r="K147">
        <v>0</v>
      </c>
      <c r="L147" s="2">
        <f t="shared" si="12"/>
        <v>45292</v>
      </c>
      <c r="M147" s="2">
        <f t="shared" ca="1" si="13"/>
        <v>45329</v>
      </c>
      <c r="N147" s="2" t="str">
        <f t="shared" ca="1" si="14"/>
        <v>N/A</v>
      </c>
      <c r="O147" s="3">
        <f t="shared" ca="1" si="15"/>
        <v>37</v>
      </c>
      <c r="P147" s="3" t="str">
        <f t="shared" ca="1" si="16"/>
        <v>N/A</v>
      </c>
      <c r="Q147" s="1" t="str">
        <f>IF(K147=1,"Joined",IF(H147&gt;=70,"Dropped at Offer",IF(H147&gt;=50,"Dropped at Interview","Dropped at Screening")))</f>
        <v>Dropped at Screening</v>
      </c>
      <c r="R147" s="1" t="str">
        <f t="shared" ca="1" si="17"/>
        <v>Feb-2024</v>
      </c>
    </row>
    <row r="148" spans="1:18">
      <c r="A148">
        <v>27</v>
      </c>
      <c r="B148">
        <v>1</v>
      </c>
      <c r="C148">
        <v>3</v>
      </c>
      <c r="D148">
        <v>1</v>
      </c>
      <c r="E148">
        <v>2</v>
      </c>
      <c r="F148">
        <v>43.54759497034</v>
      </c>
      <c r="G148">
        <v>96</v>
      </c>
      <c r="H148">
        <v>71</v>
      </c>
      <c r="I148">
        <v>96</v>
      </c>
      <c r="J148">
        <v>2</v>
      </c>
      <c r="K148">
        <v>1</v>
      </c>
      <c r="L148" s="2">
        <f t="shared" si="12"/>
        <v>45292</v>
      </c>
      <c r="M148" s="2">
        <f t="shared" ca="1" si="13"/>
        <v>45326</v>
      </c>
      <c r="N148" s="2">
        <f t="shared" ca="1" si="14"/>
        <v>45344</v>
      </c>
      <c r="O148" s="3">
        <f t="shared" ca="1" si="15"/>
        <v>34</v>
      </c>
      <c r="P148" s="3">
        <f t="shared" ca="1" si="16"/>
        <v>18</v>
      </c>
      <c r="Q148" s="1" t="str">
        <f>IF(K148=1,"Joined",IF(H148&gt;=70,"Dropped at Offer",IF(H148&gt;=50,"Dropped at Interview","Dropped at Screening")))</f>
        <v>Joined</v>
      </c>
      <c r="R148" s="1" t="str">
        <f t="shared" ca="1" si="17"/>
        <v>Feb-2024</v>
      </c>
    </row>
    <row r="149" spans="1:18">
      <c r="A149">
        <v>22</v>
      </c>
      <c r="B149">
        <v>0</v>
      </c>
      <c r="C149">
        <v>1</v>
      </c>
      <c r="D149">
        <v>2</v>
      </c>
      <c r="E149">
        <v>2</v>
      </c>
      <c r="F149">
        <v>18.2929428987634</v>
      </c>
      <c r="G149">
        <v>65</v>
      </c>
      <c r="H149">
        <v>19</v>
      </c>
      <c r="I149">
        <v>15</v>
      </c>
      <c r="J149">
        <v>2</v>
      </c>
      <c r="K149">
        <v>0</v>
      </c>
      <c r="L149" s="2">
        <f t="shared" si="12"/>
        <v>45292</v>
      </c>
      <c r="M149" s="2">
        <f t="shared" ca="1" si="13"/>
        <v>45307</v>
      </c>
      <c r="N149" s="2" t="str">
        <f t="shared" ca="1" si="14"/>
        <v>N/A</v>
      </c>
      <c r="O149" s="3">
        <f t="shared" ca="1" si="15"/>
        <v>15</v>
      </c>
      <c r="P149" s="3" t="str">
        <f t="shared" ca="1" si="16"/>
        <v>N/A</v>
      </c>
      <c r="Q149" s="1" t="str">
        <f>IF(K149=1,"Joined",IF(H149&gt;=70,"Dropped at Offer",IF(H149&gt;=50,"Dropped at Interview","Dropped at Screening")))</f>
        <v>Dropped at Screening</v>
      </c>
      <c r="R149" s="1" t="str">
        <f t="shared" ca="1" si="17"/>
        <v>Jan-2024</v>
      </c>
    </row>
    <row r="150" spans="1:18">
      <c r="A150">
        <v>22</v>
      </c>
      <c r="B150">
        <v>1</v>
      </c>
      <c r="C150">
        <v>2</v>
      </c>
      <c r="D150">
        <v>3</v>
      </c>
      <c r="E150">
        <v>1</v>
      </c>
      <c r="F150">
        <v>2.7607586762761702</v>
      </c>
      <c r="G150">
        <v>78</v>
      </c>
      <c r="H150">
        <v>15</v>
      </c>
      <c r="I150">
        <v>7</v>
      </c>
      <c r="J150">
        <v>1</v>
      </c>
      <c r="K150">
        <v>0</v>
      </c>
      <c r="L150" s="2">
        <f t="shared" si="12"/>
        <v>45292</v>
      </c>
      <c r="M150" s="2">
        <f t="shared" ca="1" si="13"/>
        <v>45333</v>
      </c>
      <c r="N150" s="2" t="str">
        <f t="shared" ca="1" si="14"/>
        <v>N/A</v>
      </c>
      <c r="O150" s="3">
        <f t="shared" ca="1" si="15"/>
        <v>41</v>
      </c>
      <c r="P150" s="3" t="str">
        <f t="shared" ca="1" si="16"/>
        <v>N/A</v>
      </c>
      <c r="Q150" s="1" t="str">
        <f>IF(K150=1,"Joined",IF(H150&gt;=70,"Dropped at Offer",IF(H150&gt;=50,"Dropped at Interview","Dropped at Screening")))</f>
        <v>Dropped at Screening</v>
      </c>
      <c r="R150" s="1" t="str">
        <f t="shared" ca="1" si="17"/>
        <v>Feb-2024</v>
      </c>
    </row>
    <row r="151" spans="1:18">
      <c r="A151">
        <v>20</v>
      </c>
      <c r="B151">
        <v>0</v>
      </c>
      <c r="C151">
        <v>3</v>
      </c>
      <c r="D151">
        <v>10</v>
      </c>
      <c r="E151">
        <v>5</v>
      </c>
      <c r="F151">
        <v>38.308981927613601</v>
      </c>
      <c r="G151">
        <v>85</v>
      </c>
      <c r="H151">
        <v>20</v>
      </c>
      <c r="I151">
        <v>92</v>
      </c>
      <c r="J151">
        <v>3</v>
      </c>
      <c r="K151">
        <v>1</v>
      </c>
      <c r="L151" s="2">
        <f t="shared" si="12"/>
        <v>45292</v>
      </c>
      <c r="M151" s="2">
        <f t="shared" ca="1" si="13"/>
        <v>45332</v>
      </c>
      <c r="N151" s="2">
        <f t="shared" ca="1" si="14"/>
        <v>45353</v>
      </c>
      <c r="O151" s="3">
        <f t="shared" ca="1" si="15"/>
        <v>40</v>
      </c>
      <c r="P151" s="3">
        <f t="shared" ca="1" si="16"/>
        <v>21</v>
      </c>
      <c r="Q151" s="1" t="str">
        <f>IF(K151=1,"Joined",IF(H151&gt;=70,"Dropped at Offer",IF(H151&gt;=50,"Dropped at Interview","Dropped at Screening")))</f>
        <v>Joined</v>
      </c>
      <c r="R151" s="1" t="str">
        <f t="shared" ca="1" si="17"/>
        <v>Feb-2024</v>
      </c>
    </row>
    <row r="152" spans="1:18">
      <c r="A152">
        <v>46</v>
      </c>
      <c r="B152">
        <v>0</v>
      </c>
      <c r="C152">
        <v>2</v>
      </c>
      <c r="D152">
        <v>4</v>
      </c>
      <c r="E152">
        <v>2</v>
      </c>
      <c r="F152">
        <v>41.101913514143398</v>
      </c>
      <c r="G152">
        <v>73</v>
      </c>
      <c r="H152">
        <v>44</v>
      </c>
      <c r="I152">
        <v>86</v>
      </c>
      <c r="J152">
        <v>2</v>
      </c>
      <c r="K152">
        <v>0</v>
      </c>
      <c r="L152" s="2">
        <f t="shared" si="12"/>
        <v>45292</v>
      </c>
      <c r="M152" s="2">
        <f t="shared" ca="1" si="13"/>
        <v>45313</v>
      </c>
      <c r="N152" s="2" t="str">
        <f t="shared" ca="1" si="14"/>
        <v>N/A</v>
      </c>
      <c r="O152" s="3">
        <f t="shared" ca="1" si="15"/>
        <v>21</v>
      </c>
      <c r="P152" s="3" t="str">
        <f t="shared" ca="1" si="16"/>
        <v>N/A</v>
      </c>
      <c r="Q152" s="1" t="str">
        <f>IF(K152=1,"Joined",IF(H152&gt;=70,"Dropped at Offer",IF(H152&gt;=50,"Dropped at Interview","Dropped at Screening")))</f>
        <v>Dropped at Screening</v>
      </c>
      <c r="R152" s="1" t="str">
        <f t="shared" ca="1" si="17"/>
        <v>Jan-2024</v>
      </c>
    </row>
    <row r="153" spans="1:18">
      <c r="A153">
        <v>24</v>
      </c>
      <c r="B153">
        <v>0</v>
      </c>
      <c r="C153">
        <v>1</v>
      </c>
      <c r="D153">
        <v>14</v>
      </c>
      <c r="E153">
        <v>4</v>
      </c>
      <c r="F153">
        <v>9.0296847521654193</v>
      </c>
      <c r="G153">
        <v>81</v>
      </c>
      <c r="H153">
        <v>89</v>
      </c>
      <c r="I153">
        <v>44</v>
      </c>
      <c r="J153">
        <v>2</v>
      </c>
      <c r="K153">
        <v>0</v>
      </c>
      <c r="L153" s="2">
        <f t="shared" si="12"/>
        <v>45292</v>
      </c>
      <c r="M153" s="2">
        <f t="shared" ca="1" si="13"/>
        <v>45333</v>
      </c>
      <c r="N153" s="2" t="str">
        <f t="shared" ca="1" si="14"/>
        <v>N/A</v>
      </c>
      <c r="O153" s="3">
        <f t="shared" ca="1" si="15"/>
        <v>41</v>
      </c>
      <c r="P153" s="3" t="str">
        <f t="shared" ca="1" si="16"/>
        <v>N/A</v>
      </c>
      <c r="Q153" s="1" t="str">
        <f>IF(K153=1,"Joined",IF(H153&gt;=70,"Dropped at Offer",IF(H153&gt;=50,"Dropped at Interview","Dropped at Screening")))</f>
        <v>Dropped at Offer</v>
      </c>
      <c r="R153" s="1" t="str">
        <f t="shared" ca="1" si="17"/>
        <v>Feb-2024</v>
      </c>
    </row>
    <row r="154" spans="1:18">
      <c r="A154">
        <v>29</v>
      </c>
      <c r="B154">
        <v>1</v>
      </c>
      <c r="C154">
        <v>1</v>
      </c>
      <c r="D154">
        <v>8</v>
      </c>
      <c r="E154">
        <v>3</v>
      </c>
      <c r="F154">
        <v>27.867024842159001</v>
      </c>
      <c r="G154">
        <v>21</v>
      </c>
      <c r="H154">
        <v>86</v>
      </c>
      <c r="I154">
        <v>94</v>
      </c>
      <c r="J154">
        <v>1</v>
      </c>
      <c r="K154">
        <v>1</v>
      </c>
      <c r="L154" s="2">
        <f t="shared" si="12"/>
        <v>45292</v>
      </c>
      <c r="M154" s="2">
        <f t="shared" ca="1" si="13"/>
        <v>45330</v>
      </c>
      <c r="N154" s="2">
        <f t="shared" ca="1" si="14"/>
        <v>45341</v>
      </c>
      <c r="O154" s="3">
        <f t="shared" ca="1" si="15"/>
        <v>38</v>
      </c>
      <c r="P154" s="3">
        <f t="shared" ca="1" si="16"/>
        <v>11</v>
      </c>
      <c r="Q154" s="1" t="str">
        <f>IF(K154=1,"Joined",IF(H154&gt;=70,"Dropped at Offer",IF(H154&gt;=50,"Dropped at Interview","Dropped at Screening")))</f>
        <v>Joined</v>
      </c>
      <c r="R154" s="1" t="str">
        <f t="shared" ca="1" si="17"/>
        <v>Feb-2024</v>
      </c>
    </row>
    <row r="155" spans="1:18">
      <c r="A155">
        <v>26</v>
      </c>
      <c r="B155">
        <v>0</v>
      </c>
      <c r="C155">
        <v>2</v>
      </c>
      <c r="D155">
        <v>11</v>
      </c>
      <c r="E155">
        <v>3</v>
      </c>
      <c r="F155">
        <v>10.5977719497862</v>
      </c>
      <c r="G155">
        <v>45</v>
      </c>
      <c r="H155">
        <v>81</v>
      </c>
      <c r="I155">
        <v>39</v>
      </c>
      <c r="J155">
        <v>1</v>
      </c>
      <c r="K155">
        <v>1</v>
      </c>
      <c r="L155" s="2">
        <f t="shared" si="12"/>
        <v>45292</v>
      </c>
      <c r="M155" s="2">
        <f t="shared" ca="1" si="13"/>
        <v>45311</v>
      </c>
      <c r="N155" s="2">
        <f t="shared" ca="1" si="14"/>
        <v>45323</v>
      </c>
      <c r="O155" s="3">
        <f t="shared" ca="1" si="15"/>
        <v>19</v>
      </c>
      <c r="P155" s="3">
        <f t="shared" ca="1" si="16"/>
        <v>12</v>
      </c>
      <c r="Q155" s="1" t="str">
        <f>IF(K155=1,"Joined",IF(H155&gt;=70,"Dropped at Offer",IF(H155&gt;=50,"Dropped at Interview","Dropped at Screening")))</f>
        <v>Joined</v>
      </c>
      <c r="R155" s="1" t="str">
        <f t="shared" ca="1" si="17"/>
        <v>Jan-2024</v>
      </c>
    </row>
    <row r="156" spans="1:18">
      <c r="A156">
        <v>45</v>
      </c>
      <c r="B156">
        <v>1</v>
      </c>
      <c r="C156">
        <v>4</v>
      </c>
      <c r="D156">
        <v>14</v>
      </c>
      <c r="E156">
        <v>2</v>
      </c>
      <c r="F156">
        <v>36.961720952207301</v>
      </c>
      <c r="G156">
        <v>90</v>
      </c>
      <c r="H156">
        <v>61</v>
      </c>
      <c r="I156">
        <v>53</v>
      </c>
      <c r="J156">
        <v>2</v>
      </c>
      <c r="K156">
        <v>1</v>
      </c>
      <c r="L156" s="2">
        <f t="shared" si="12"/>
        <v>45292</v>
      </c>
      <c r="M156" s="2">
        <f t="shared" ca="1" si="13"/>
        <v>45321</v>
      </c>
      <c r="N156" s="2">
        <f t="shared" ca="1" si="14"/>
        <v>45341</v>
      </c>
      <c r="O156" s="3">
        <f t="shared" ca="1" si="15"/>
        <v>29</v>
      </c>
      <c r="P156" s="3">
        <f t="shared" ca="1" si="16"/>
        <v>20</v>
      </c>
      <c r="Q156" s="1" t="str">
        <f>IF(K156=1,"Joined",IF(H156&gt;=70,"Dropped at Offer",IF(H156&gt;=50,"Dropped at Interview","Dropped at Screening")))</f>
        <v>Joined</v>
      </c>
      <c r="R156" s="1" t="str">
        <f t="shared" ca="1" si="17"/>
        <v>Jan-2024</v>
      </c>
    </row>
    <row r="157" spans="1:18">
      <c r="A157">
        <v>28</v>
      </c>
      <c r="B157">
        <v>1</v>
      </c>
      <c r="C157">
        <v>2</v>
      </c>
      <c r="D157">
        <v>14</v>
      </c>
      <c r="E157">
        <v>3</v>
      </c>
      <c r="F157">
        <v>14.577522758874199</v>
      </c>
      <c r="G157">
        <v>12</v>
      </c>
      <c r="H157">
        <v>30</v>
      </c>
      <c r="I157">
        <v>13</v>
      </c>
      <c r="J157">
        <v>2</v>
      </c>
      <c r="K157">
        <v>0</v>
      </c>
      <c r="L157" s="2">
        <f t="shared" si="12"/>
        <v>45292</v>
      </c>
      <c r="M157" s="2">
        <f t="shared" ca="1" si="13"/>
        <v>45307</v>
      </c>
      <c r="N157" s="2" t="str">
        <f t="shared" ca="1" si="14"/>
        <v>N/A</v>
      </c>
      <c r="O157" s="3">
        <f t="shared" ca="1" si="15"/>
        <v>15</v>
      </c>
      <c r="P157" s="3" t="str">
        <f t="shared" ca="1" si="16"/>
        <v>N/A</v>
      </c>
      <c r="Q157" s="1" t="str">
        <f>IF(K157=1,"Joined",IF(H157&gt;=70,"Dropped at Offer",IF(H157&gt;=50,"Dropped at Interview","Dropped at Screening")))</f>
        <v>Dropped at Screening</v>
      </c>
      <c r="R157" s="1" t="str">
        <f t="shared" ca="1" si="17"/>
        <v>Jan-2024</v>
      </c>
    </row>
    <row r="158" spans="1:18">
      <c r="A158">
        <v>47</v>
      </c>
      <c r="B158">
        <v>1</v>
      </c>
      <c r="C158">
        <v>4</v>
      </c>
      <c r="D158">
        <v>3</v>
      </c>
      <c r="E158">
        <v>3</v>
      </c>
      <c r="F158">
        <v>16.810756128166499</v>
      </c>
      <c r="G158">
        <v>32</v>
      </c>
      <c r="H158">
        <v>41</v>
      </c>
      <c r="I158">
        <v>58</v>
      </c>
      <c r="J158">
        <v>2</v>
      </c>
      <c r="K158">
        <v>0</v>
      </c>
      <c r="L158" s="2">
        <f t="shared" si="12"/>
        <v>45292</v>
      </c>
      <c r="M158" s="2">
        <f t="shared" ca="1" si="13"/>
        <v>45336</v>
      </c>
      <c r="N158" s="2" t="str">
        <f t="shared" ca="1" si="14"/>
        <v>N/A</v>
      </c>
      <c r="O158" s="3">
        <f t="shared" ca="1" si="15"/>
        <v>44</v>
      </c>
      <c r="P158" s="3" t="str">
        <f t="shared" ca="1" si="16"/>
        <v>N/A</v>
      </c>
      <c r="Q158" s="1" t="str">
        <f>IF(K158=1,"Joined",IF(H158&gt;=70,"Dropped at Offer",IF(H158&gt;=50,"Dropped at Interview","Dropped at Screening")))</f>
        <v>Dropped at Screening</v>
      </c>
      <c r="R158" s="1" t="str">
        <f t="shared" ca="1" si="17"/>
        <v>Feb-2024</v>
      </c>
    </row>
    <row r="159" spans="1:18">
      <c r="A159">
        <v>26</v>
      </c>
      <c r="B159">
        <v>0</v>
      </c>
      <c r="C159">
        <v>2</v>
      </c>
      <c r="D159">
        <v>12</v>
      </c>
      <c r="E159">
        <v>1</v>
      </c>
      <c r="F159">
        <v>43.248542682005002</v>
      </c>
      <c r="G159">
        <v>4</v>
      </c>
      <c r="H159">
        <v>11</v>
      </c>
      <c r="I159">
        <v>93</v>
      </c>
      <c r="J159">
        <v>2</v>
      </c>
      <c r="K159">
        <v>0</v>
      </c>
      <c r="L159" s="2">
        <f t="shared" si="12"/>
        <v>45292</v>
      </c>
      <c r="M159" s="2">
        <f t="shared" ca="1" si="13"/>
        <v>45325</v>
      </c>
      <c r="N159" s="2" t="str">
        <f t="shared" ca="1" si="14"/>
        <v>N/A</v>
      </c>
      <c r="O159" s="3">
        <f t="shared" ca="1" si="15"/>
        <v>33</v>
      </c>
      <c r="P159" s="3" t="str">
        <f t="shared" ca="1" si="16"/>
        <v>N/A</v>
      </c>
      <c r="Q159" s="1" t="str">
        <f>IF(K159=1,"Joined",IF(H159&gt;=70,"Dropped at Offer",IF(H159&gt;=50,"Dropped at Interview","Dropped at Screening")))</f>
        <v>Dropped at Screening</v>
      </c>
      <c r="R159" s="1" t="str">
        <f t="shared" ca="1" si="17"/>
        <v>Feb-2024</v>
      </c>
    </row>
    <row r="160" spans="1:18">
      <c r="A160">
        <v>28</v>
      </c>
      <c r="B160">
        <v>0</v>
      </c>
      <c r="C160">
        <v>2</v>
      </c>
      <c r="D160">
        <v>10</v>
      </c>
      <c r="E160">
        <v>4</v>
      </c>
      <c r="F160">
        <v>24.816117610345199</v>
      </c>
      <c r="G160">
        <v>89</v>
      </c>
      <c r="H160">
        <v>64</v>
      </c>
      <c r="I160">
        <v>52</v>
      </c>
      <c r="J160">
        <v>1</v>
      </c>
      <c r="K160">
        <v>1</v>
      </c>
      <c r="L160" s="2">
        <f t="shared" si="12"/>
        <v>45292</v>
      </c>
      <c r="M160" s="2">
        <f t="shared" ca="1" si="13"/>
        <v>45317</v>
      </c>
      <c r="N160" s="2">
        <f t="shared" ca="1" si="14"/>
        <v>45345</v>
      </c>
      <c r="O160" s="3">
        <f t="shared" ca="1" si="15"/>
        <v>25</v>
      </c>
      <c r="P160" s="3">
        <f t="shared" ca="1" si="16"/>
        <v>28</v>
      </c>
      <c r="Q160" s="1" t="str">
        <f>IF(K160=1,"Joined",IF(H160&gt;=70,"Dropped at Offer",IF(H160&gt;=50,"Dropped at Interview","Dropped at Screening")))</f>
        <v>Joined</v>
      </c>
      <c r="R160" s="1" t="str">
        <f t="shared" ca="1" si="17"/>
        <v>Jan-2024</v>
      </c>
    </row>
    <row r="161" spans="1:18">
      <c r="A161">
        <v>27</v>
      </c>
      <c r="B161">
        <v>0</v>
      </c>
      <c r="C161">
        <v>2</v>
      </c>
      <c r="D161">
        <v>8</v>
      </c>
      <c r="E161">
        <v>4</v>
      </c>
      <c r="F161">
        <v>34.487722560912303</v>
      </c>
      <c r="G161">
        <v>76</v>
      </c>
      <c r="H161">
        <v>72</v>
      </c>
      <c r="I161">
        <v>26</v>
      </c>
      <c r="J161">
        <v>2</v>
      </c>
      <c r="K161">
        <v>0</v>
      </c>
      <c r="L161" s="2">
        <f t="shared" si="12"/>
        <v>45292</v>
      </c>
      <c r="M161" s="2">
        <f t="shared" ca="1" si="13"/>
        <v>45331</v>
      </c>
      <c r="N161" s="2" t="str">
        <f t="shared" ca="1" si="14"/>
        <v>N/A</v>
      </c>
      <c r="O161" s="3">
        <f t="shared" ca="1" si="15"/>
        <v>39</v>
      </c>
      <c r="P161" s="3" t="str">
        <f t="shared" ca="1" si="16"/>
        <v>N/A</v>
      </c>
      <c r="Q161" s="1" t="str">
        <f>IF(K161=1,"Joined",IF(H161&gt;=70,"Dropped at Offer",IF(H161&gt;=50,"Dropped at Interview","Dropped at Screening")))</f>
        <v>Dropped at Offer</v>
      </c>
      <c r="R161" s="1" t="str">
        <f t="shared" ca="1" si="17"/>
        <v>Feb-2024</v>
      </c>
    </row>
    <row r="162" spans="1:18">
      <c r="A162">
        <v>31</v>
      </c>
      <c r="B162">
        <v>0</v>
      </c>
      <c r="C162">
        <v>2</v>
      </c>
      <c r="D162">
        <v>10</v>
      </c>
      <c r="E162">
        <v>1</v>
      </c>
      <c r="F162">
        <v>21.1186525361233</v>
      </c>
      <c r="G162">
        <v>26</v>
      </c>
      <c r="H162">
        <v>2</v>
      </c>
      <c r="I162">
        <v>46</v>
      </c>
      <c r="J162">
        <v>2</v>
      </c>
      <c r="K162">
        <v>0</v>
      </c>
      <c r="L162" s="2">
        <f t="shared" si="12"/>
        <v>45292</v>
      </c>
      <c r="M162" s="2">
        <f t="shared" ca="1" si="13"/>
        <v>45307</v>
      </c>
      <c r="N162" s="2" t="str">
        <f t="shared" ca="1" si="14"/>
        <v>N/A</v>
      </c>
      <c r="O162" s="3">
        <f t="shared" ca="1" si="15"/>
        <v>15</v>
      </c>
      <c r="P162" s="3" t="str">
        <f t="shared" ca="1" si="16"/>
        <v>N/A</v>
      </c>
      <c r="Q162" s="1" t="str">
        <f>IF(K162=1,"Joined",IF(H162&gt;=70,"Dropped at Offer",IF(H162&gt;=50,"Dropped at Interview","Dropped at Screening")))</f>
        <v>Dropped at Screening</v>
      </c>
      <c r="R162" s="1" t="str">
        <f t="shared" ca="1" si="17"/>
        <v>Jan-2024</v>
      </c>
    </row>
    <row r="163" spans="1:18">
      <c r="A163">
        <v>21</v>
      </c>
      <c r="B163">
        <v>1</v>
      </c>
      <c r="C163">
        <v>1</v>
      </c>
      <c r="D163">
        <v>9</v>
      </c>
      <c r="E163">
        <v>1</v>
      </c>
      <c r="F163">
        <v>15.900342859687701</v>
      </c>
      <c r="G163">
        <v>77</v>
      </c>
      <c r="H163">
        <v>89</v>
      </c>
      <c r="I163">
        <v>79</v>
      </c>
      <c r="J163">
        <v>2</v>
      </c>
      <c r="K163">
        <v>1</v>
      </c>
      <c r="L163" s="2">
        <f t="shared" si="12"/>
        <v>45292</v>
      </c>
      <c r="M163" s="2">
        <f t="shared" ca="1" si="13"/>
        <v>45323</v>
      </c>
      <c r="N163" s="2">
        <f t="shared" ca="1" si="14"/>
        <v>45334</v>
      </c>
      <c r="O163" s="3">
        <f t="shared" ca="1" si="15"/>
        <v>31</v>
      </c>
      <c r="P163" s="3">
        <f t="shared" ca="1" si="16"/>
        <v>11</v>
      </c>
      <c r="Q163" s="1" t="str">
        <f>IF(K163=1,"Joined",IF(H163&gt;=70,"Dropped at Offer",IF(H163&gt;=50,"Dropped at Interview","Dropped at Screening")))</f>
        <v>Joined</v>
      </c>
      <c r="R163" s="1" t="str">
        <f t="shared" ca="1" si="17"/>
        <v>Feb-2024</v>
      </c>
    </row>
    <row r="164" spans="1:18">
      <c r="A164">
        <v>20</v>
      </c>
      <c r="B164">
        <v>1</v>
      </c>
      <c r="C164">
        <v>3</v>
      </c>
      <c r="D164">
        <v>2</v>
      </c>
      <c r="E164">
        <v>3</v>
      </c>
      <c r="F164">
        <v>32.273903021232996</v>
      </c>
      <c r="G164">
        <v>23</v>
      </c>
      <c r="H164">
        <v>8</v>
      </c>
      <c r="I164">
        <v>5</v>
      </c>
      <c r="J164">
        <v>1</v>
      </c>
      <c r="K164">
        <v>0</v>
      </c>
      <c r="L164" s="2">
        <f t="shared" si="12"/>
        <v>45292</v>
      </c>
      <c r="M164" s="2">
        <f t="shared" ca="1" si="13"/>
        <v>45308</v>
      </c>
      <c r="N164" s="2" t="str">
        <f t="shared" ca="1" si="14"/>
        <v>N/A</v>
      </c>
      <c r="O164" s="3">
        <f t="shared" ca="1" si="15"/>
        <v>16</v>
      </c>
      <c r="P164" s="3" t="str">
        <f t="shared" ca="1" si="16"/>
        <v>N/A</v>
      </c>
      <c r="Q164" s="1" t="str">
        <f>IF(K164=1,"Joined",IF(H164&gt;=70,"Dropped at Offer",IF(H164&gt;=50,"Dropped at Interview","Dropped at Screening")))</f>
        <v>Dropped at Screening</v>
      </c>
      <c r="R164" s="1" t="str">
        <f t="shared" ca="1" si="17"/>
        <v>Jan-2024</v>
      </c>
    </row>
    <row r="165" spans="1:18">
      <c r="A165">
        <v>35</v>
      </c>
      <c r="B165">
        <v>1</v>
      </c>
      <c r="C165">
        <v>3</v>
      </c>
      <c r="D165">
        <v>7</v>
      </c>
      <c r="E165">
        <v>5</v>
      </c>
      <c r="F165">
        <v>8.7428787039410594</v>
      </c>
      <c r="G165">
        <v>66</v>
      </c>
      <c r="H165">
        <v>50</v>
      </c>
      <c r="I165">
        <v>54</v>
      </c>
      <c r="J165">
        <v>1</v>
      </c>
      <c r="K165">
        <v>1</v>
      </c>
      <c r="L165" s="2">
        <f t="shared" si="12"/>
        <v>45292</v>
      </c>
      <c r="M165" s="2">
        <f t="shared" ca="1" si="13"/>
        <v>45308</v>
      </c>
      <c r="N165" s="2">
        <f t="shared" ca="1" si="14"/>
        <v>45333</v>
      </c>
      <c r="O165" s="3">
        <f t="shared" ca="1" si="15"/>
        <v>16</v>
      </c>
      <c r="P165" s="3">
        <f t="shared" ca="1" si="16"/>
        <v>25</v>
      </c>
      <c r="Q165" s="1" t="str">
        <f>IF(K165=1,"Joined",IF(H165&gt;=70,"Dropped at Offer",IF(H165&gt;=50,"Dropped at Interview","Dropped at Screening")))</f>
        <v>Joined</v>
      </c>
      <c r="R165" s="1" t="str">
        <f t="shared" ca="1" si="17"/>
        <v>Jan-2024</v>
      </c>
    </row>
    <row r="166" spans="1:18">
      <c r="A166">
        <v>42</v>
      </c>
      <c r="B166">
        <v>0</v>
      </c>
      <c r="C166">
        <v>2</v>
      </c>
      <c r="D166">
        <v>11</v>
      </c>
      <c r="E166">
        <v>3</v>
      </c>
      <c r="F166">
        <v>19.6499917783431</v>
      </c>
      <c r="G166">
        <v>62</v>
      </c>
      <c r="H166">
        <v>15</v>
      </c>
      <c r="I166">
        <v>96</v>
      </c>
      <c r="J166">
        <v>2</v>
      </c>
      <c r="K166">
        <v>0</v>
      </c>
      <c r="L166" s="2">
        <f t="shared" si="12"/>
        <v>45292</v>
      </c>
      <c r="M166" s="2">
        <f t="shared" ca="1" si="13"/>
        <v>45325</v>
      </c>
      <c r="N166" s="2" t="str">
        <f t="shared" ca="1" si="14"/>
        <v>N/A</v>
      </c>
      <c r="O166" s="3">
        <f t="shared" ca="1" si="15"/>
        <v>33</v>
      </c>
      <c r="P166" s="3" t="str">
        <f t="shared" ca="1" si="16"/>
        <v>N/A</v>
      </c>
      <c r="Q166" s="1" t="str">
        <f>IF(K166=1,"Joined",IF(H166&gt;=70,"Dropped at Offer",IF(H166&gt;=50,"Dropped at Interview","Dropped at Screening")))</f>
        <v>Dropped at Screening</v>
      </c>
      <c r="R166" s="1" t="str">
        <f t="shared" ca="1" si="17"/>
        <v>Feb-2024</v>
      </c>
    </row>
    <row r="167" spans="1:18">
      <c r="A167">
        <v>42</v>
      </c>
      <c r="B167">
        <v>1</v>
      </c>
      <c r="C167">
        <v>4</v>
      </c>
      <c r="D167">
        <v>0</v>
      </c>
      <c r="E167">
        <v>1</v>
      </c>
      <c r="F167">
        <v>11.4518518692961</v>
      </c>
      <c r="G167">
        <v>93</v>
      </c>
      <c r="H167">
        <v>87</v>
      </c>
      <c r="I167">
        <v>43</v>
      </c>
      <c r="J167">
        <v>1</v>
      </c>
      <c r="K167">
        <v>1</v>
      </c>
      <c r="L167" s="2">
        <f t="shared" si="12"/>
        <v>45292</v>
      </c>
      <c r="M167" s="2">
        <f t="shared" ca="1" si="13"/>
        <v>45313</v>
      </c>
      <c r="N167" s="2">
        <f t="shared" ca="1" si="14"/>
        <v>45320</v>
      </c>
      <c r="O167" s="3">
        <f t="shared" ca="1" si="15"/>
        <v>21</v>
      </c>
      <c r="P167" s="3">
        <f t="shared" ca="1" si="16"/>
        <v>7</v>
      </c>
      <c r="Q167" s="1" t="str">
        <f>IF(K167=1,"Joined",IF(H167&gt;=70,"Dropped at Offer",IF(H167&gt;=50,"Dropped at Interview","Dropped at Screening")))</f>
        <v>Joined</v>
      </c>
      <c r="R167" s="1" t="str">
        <f t="shared" ca="1" si="17"/>
        <v>Jan-2024</v>
      </c>
    </row>
    <row r="168" spans="1:18">
      <c r="A168">
        <v>49</v>
      </c>
      <c r="B168">
        <v>0</v>
      </c>
      <c r="C168">
        <v>3</v>
      </c>
      <c r="D168">
        <v>10</v>
      </c>
      <c r="E168">
        <v>4</v>
      </c>
      <c r="F168">
        <v>35.789748347037197</v>
      </c>
      <c r="G168">
        <v>98</v>
      </c>
      <c r="H168">
        <v>77</v>
      </c>
      <c r="I168">
        <v>17</v>
      </c>
      <c r="J168">
        <v>1</v>
      </c>
      <c r="K168">
        <v>1</v>
      </c>
      <c r="L168" s="2">
        <f t="shared" si="12"/>
        <v>45292</v>
      </c>
      <c r="M168" s="2">
        <f t="shared" ca="1" si="13"/>
        <v>45328</v>
      </c>
      <c r="N168" s="2">
        <f t="shared" ca="1" si="14"/>
        <v>45357</v>
      </c>
      <c r="O168" s="3">
        <f t="shared" ca="1" si="15"/>
        <v>36</v>
      </c>
      <c r="P168" s="3">
        <f t="shared" ca="1" si="16"/>
        <v>29</v>
      </c>
      <c r="Q168" s="1" t="str">
        <f>IF(K168=1,"Joined",IF(H168&gt;=70,"Dropped at Offer",IF(H168&gt;=50,"Dropped at Interview","Dropped at Screening")))</f>
        <v>Joined</v>
      </c>
      <c r="R168" s="1" t="str">
        <f t="shared" ca="1" si="17"/>
        <v>Feb-2024</v>
      </c>
    </row>
    <row r="169" spans="1:18">
      <c r="A169">
        <v>43</v>
      </c>
      <c r="B169">
        <v>1</v>
      </c>
      <c r="C169">
        <v>2</v>
      </c>
      <c r="D169">
        <v>8</v>
      </c>
      <c r="E169">
        <v>3</v>
      </c>
      <c r="F169">
        <v>48.210441917305303</v>
      </c>
      <c r="G169">
        <v>47</v>
      </c>
      <c r="H169">
        <v>2</v>
      </c>
      <c r="I169">
        <v>15</v>
      </c>
      <c r="J169">
        <v>1</v>
      </c>
      <c r="K169">
        <v>0</v>
      </c>
      <c r="L169" s="2">
        <f t="shared" si="12"/>
        <v>45292</v>
      </c>
      <c r="M169" s="2">
        <f t="shared" ca="1" si="13"/>
        <v>45335</v>
      </c>
      <c r="N169" s="2" t="str">
        <f t="shared" ca="1" si="14"/>
        <v>N/A</v>
      </c>
      <c r="O169" s="3">
        <f t="shared" ca="1" si="15"/>
        <v>43</v>
      </c>
      <c r="P169" s="3" t="str">
        <f t="shared" ca="1" si="16"/>
        <v>N/A</v>
      </c>
      <c r="Q169" s="1" t="str">
        <f>IF(K169=1,"Joined",IF(H169&gt;=70,"Dropped at Offer",IF(H169&gt;=50,"Dropped at Interview","Dropped at Screening")))</f>
        <v>Dropped at Screening</v>
      </c>
      <c r="R169" s="1" t="str">
        <f t="shared" ca="1" si="17"/>
        <v>Feb-2024</v>
      </c>
    </row>
    <row r="170" spans="1:18">
      <c r="A170">
        <v>24</v>
      </c>
      <c r="B170">
        <v>0</v>
      </c>
      <c r="C170">
        <v>1</v>
      </c>
      <c r="D170">
        <v>8</v>
      </c>
      <c r="E170">
        <v>5</v>
      </c>
      <c r="F170">
        <v>50.775548400793298</v>
      </c>
      <c r="G170">
        <v>62</v>
      </c>
      <c r="H170">
        <v>97</v>
      </c>
      <c r="I170">
        <v>11</v>
      </c>
      <c r="J170">
        <v>2</v>
      </c>
      <c r="K170">
        <v>0</v>
      </c>
      <c r="L170" s="2">
        <f t="shared" si="12"/>
        <v>45292</v>
      </c>
      <c r="M170" s="2">
        <f t="shared" ca="1" si="13"/>
        <v>45324</v>
      </c>
      <c r="N170" s="2" t="str">
        <f t="shared" ca="1" si="14"/>
        <v>N/A</v>
      </c>
      <c r="O170" s="3">
        <f t="shared" ca="1" si="15"/>
        <v>32</v>
      </c>
      <c r="P170" s="3" t="str">
        <f t="shared" ca="1" si="16"/>
        <v>N/A</v>
      </c>
      <c r="Q170" s="1" t="str">
        <f>IF(K170=1,"Joined",IF(H170&gt;=70,"Dropped at Offer",IF(H170&gt;=50,"Dropped at Interview","Dropped at Screening")))</f>
        <v>Dropped at Offer</v>
      </c>
      <c r="R170" s="1" t="str">
        <f t="shared" ca="1" si="17"/>
        <v>Feb-2024</v>
      </c>
    </row>
    <row r="171" spans="1:18">
      <c r="A171">
        <v>22</v>
      </c>
      <c r="B171">
        <v>0</v>
      </c>
      <c r="C171">
        <v>2</v>
      </c>
      <c r="D171">
        <v>9</v>
      </c>
      <c r="E171">
        <v>3</v>
      </c>
      <c r="F171">
        <v>23.513840522079501</v>
      </c>
      <c r="G171">
        <v>77</v>
      </c>
      <c r="H171">
        <v>96</v>
      </c>
      <c r="I171">
        <v>19</v>
      </c>
      <c r="J171">
        <v>2</v>
      </c>
      <c r="K171">
        <v>0</v>
      </c>
      <c r="L171" s="2">
        <f t="shared" si="12"/>
        <v>45292</v>
      </c>
      <c r="M171" s="2">
        <f t="shared" ca="1" si="13"/>
        <v>45334</v>
      </c>
      <c r="N171" s="2" t="str">
        <f t="shared" ca="1" si="14"/>
        <v>N/A</v>
      </c>
      <c r="O171" s="3">
        <f t="shared" ca="1" si="15"/>
        <v>42</v>
      </c>
      <c r="P171" s="3" t="str">
        <f t="shared" ca="1" si="16"/>
        <v>N/A</v>
      </c>
      <c r="Q171" s="1" t="str">
        <f>IF(K171=1,"Joined",IF(H171&gt;=70,"Dropped at Offer",IF(H171&gt;=50,"Dropped at Interview","Dropped at Screening")))</f>
        <v>Dropped at Offer</v>
      </c>
      <c r="R171" s="1" t="str">
        <f t="shared" ca="1" si="17"/>
        <v>Feb-2024</v>
      </c>
    </row>
    <row r="172" spans="1:18">
      <c r="A172">
        <v>31</v>
      </c>
      <c r="B172">
        <v>1</v>
      </c>
      <c r="C172">
        <v>2</v>
      </c>
      <c r="D172">
        <v>1</v>
      </c>
      <c r="E172">
        <v>2</v>
      </c>
      <c r="F172">
        <v>13.6265194818222</v>
      </c>
      <c r="G172">
        <v>11</v>
      </c>
      <c r="H172">
        <v>23</v>
      </c>
      <c r="I172">
        <v>44</v>
      </c>
      <c r="J172">
        <v>2</v>
      </c>
      <c r="K172">
        <v>0</v>
      </c>
      <c r="L172" s="2">
        <f t="shared" si="12"/>
        <v>45292</v>
      </c>
      <c r="M172" s="2">
        <f t="shared" ca="1" si="13"/>
        <v>45318</v>
      </c>
      <c r="N172" s="2" t="str">
        <f t="shared" ca="1" si="14"/>
        <v>N/A</v>
      </c>
      <c r="O172" s="3">
        <f t="shared" ca="1" si="15"/>
        <v>26</v>
      </c>
      <c r="P172" s="3" t="str">
        <f t="shared" ca="1" si="16"/>
        <v>N/A</v>
      </c>
      <c r="Q172" s="1" t="str">
        <f>IF(K172=1,"Joined",IF(H172&gt;=70,"Dropped at Offer",IF(H172&gt;=50,"Dropped at Interview","Dropped at Screening")))</f>
        <v>Dropped at Screening</v>
      </c>
      <c r="R172" s="1" t="str">
        <f t="shared" ca="1" si="17"/>
        <v>Jan-2024</v>
      </c>
    </row>
    <row r="173" spans="1:18">
      <c r="A173">
        <v>27</v>
      </c>
      <c r="B173">
        <v>1</v>
      </c>
      <c r="C173">
        <v>2</v>
      </c>
      <c r="D173">
        <v>3</v>
      </c>
      <c r="E173">
        <v>3</v>
      </c>
      <c r="F173">
        <v>23.1414685192162</v>
      </c>
      <c r="G173">
        <v>27</v>
      </c>
      <c r="H173">
        <v>72</v>
      </c>
      <c r="I173">
        <v>63</v>
      </c>
      <c r="J173">
        <v>1</v>
      </c>
      <c r="K173">
        <v>1</v>
      </c>
      <c r="L173" s="2">
        <f t="shared" si="12"/>
        <v>45292</v>
      </c>
      <c r="M173" s="2">
        <f t="shared" ca="1" si="13"/>
        <v>45327</v>
      </c>
      <c r="N173" s="2">
        <f t="shared" ca="1" si="14"/>
        <v>45334</v>
      </c>
      <c r="O173" s="3">
        <f t="shared" ca="1" si="15"/>
        <v>35</v>
      </c>
      <c r="P173" s="3">
        <f t="shared" ca="1" si="16"/>
        <v>7</v>
      </c>
      <c r="Q173" s="1" t="str">
        <f>IF(K173=1,"Joined",IF(H173&gt;=70,"Dropped at Offer",IF(H173&gt;=50,"Dropped at Interview","Dropped at Screening")))</f>
        <v>Joined</v>
      </c>
      <c r="R173" s="1" t="str">
        <f t="shared" ca="1" si="17"/>
        <v>Feb-2024</v>
      </c>
    </row>
    <row r="174" spans="1:18">
      <c r="A174">
        <v>41</v>
      </c>
      <c r="B174">
        <v>1</v>
      </c>
      <c r="C174">
        <v>1</v>
      </c>
      <c r="D174">
        <v>12</v>
      </c>
      <c r="E174">
        <v>1</v>
      </c>
      <c r="F174">
        <v>43.363470498136103</v>
      </c>
      <c r="G174">
        <v>43</v>
      </c>
      <c r="H174">
        <v>12</v>
      </c>
      <c r="I174">
        <v>58</v>
      </c>
      <c r="J174">
        <v>2</v>
      </c>
      <c r="K174">
        <v>0</v>
      </c>
      <c r="L174" s="2">
        <f t="shared" si="12"/>
        <v>45292</v>
      </c>
      <c r="M174" s="2">
        <f t="shared" ca="1" si="13"/>
        <v>45325</v>
      </c>
      <c r="N174" s="2" t="str">
        <f t="shared" ca="1" si="14"/>
        <v>N/A</v>
      </c>
      <c r="O174" s="3">
        <f t="shared" ca="1" si="15"/>
        <v>33</v>
      </c>
      <c r="P174" s="3" t="str">
        <f t="shared" ca="1" si="16"/>
        <v>N/A</v>
      </c>
      <c r="Q174" s="1" t="str">
        <f>IF(K174=1,"Joined",IF(H174&gt;=70,"Dropped at Offer",IF(H174&gt;=50,"Dropped at Interview","Dropped at Screening")))</f>
        <v>Dropped at Screening</v>
      </c>
      <c r="R174" s="1" t="str">
        <f t="shared" ca="1" si="17"/>
        <v>Feb-2024</v>
      </c>
    </row>
    <row r="175" spans="1:18">
      <c r="A175">
        <v>46</v>
      </c>
      <c r="B175">
        <v>1</v>
      </c>
      <c r="C175">
        <v>3</v>
      </c>
      <c r="D175">
        <v>7</v>
      </c>
      <c r="E175">
        <v>4</v>
      </c>
      <c r="F175">
        <v>11.3002839276019</v>
      </c>
      <c r="G175">
        <v>92</v>
      </c>
      <c r="H175">
        <v>1</v>
      </c>
      <c r="I175">
        <v>92</v>
      </c>
      <c r="J175">
        <v>1</v>
      </c>
      <c r="K175">
        <v>1</v>
      </c>
      <c r="L175" s="2">
        <f t="shared" si="12"/>
        <v>45292</v>
      </c>
      <c r="M175" s="2">
        <f t="shared" ca="1" si="13"/>
        <v>45321</v>
      </c>
      <c r="N175" s="2">
        <f t="shared" ca="1" si="14"/>
        <v>45345</v>
      </c>
      <c r="O175" s="3">
        <f t="shared" ca="1" si="15"/>
        <v>29</v>
      </c>
      <c r="P175" s="3">
        <f t="shared" ca="1" si="16"/>
        <v>24</v>
      </c>
      <c r="Q175" s="1" t="str">
        <f>IF(K175=1,"Joined",IF(H175&gt;=70,"Dropped at Offer",IF(H175&gt;=50,"Dropped at Interview","Dropped at Screening")))</f>
        <v>Joined</v>
      </c>
      <c r="R175" s="1" t="str">
        <f t="shared" ca="1" si="17"/>
        <v>Jan-2024</v>
      </c>
    </row>
    <row r="176" spans="1:18">
      <c r="A176">
        <v>22</v>
      </c>
      <c r="B176">
        <v>0</v>
      </c>
      <c r="C176">
        <v>1</v>
      </c>
      <c r="D176">
        <v>6</v>
      </c>
      <c r="E176">
        <v>4</v>
      </c>
      <c r="F176">
        <v>48.604782582646102</v>
      </c>
      <c r="G176">
        <v>42</v>
      </c>
      <c r="H176">
        <v>70</v>
      </c>
      <c r="I176">
        <v>93</v>
      </c>
      <c r="J176">
        <v>3</v>
      </c>
      <c r="K176">
        <v>0</v>
      </c>
      <c r="L176" s="2">
        <f t="shared" si="12"/>
        <v>45292</v>
      </c>
      <c r="M176" s="2">
        <f t="shared" ca="1" si="13"/>
        <v>45326</v>
      </c>
      <c r="N176" s="2" t="str">
        <f t="shared" ca="1" si="14"/>
        <v>N/A</v>
      </c>
      <c r="O176" s="3">
        <f t="shared" ca="1" si="15"/>
        <v>34</v>
      </c>
      <c r="P176" s="3" t="str">
        <f t="shared" ca="1" si="16"/>
        <v>N/A</v>
      </c>
      <c r="Q176" s="1" t="str">
        <f>IF(K176=1,"Joined",IF(H176&gt;=70,"Dropped at Offer",IF(H176&gt;=50,"Dropped at Interview","Dropped at Screening")))</f>
        <v>Dropped at Offer</v>
      </c>
      <c r="R176" s="1" t="str">
        <f t="shared" ca="1" si="17"/>
        <v>Feb-2024</v>
      </c>
    </row>
    <row r="177" spans="1:18">
      <c r="A177">
        <v>20</v>
      </c>
      <c r="B177">
        <v>1</v>
      </c>
      <c r="C177">
        <v>2</v>
      </c>
      <c r="D177">
        <v>0</v>
      </c>
      <c r="E177">
        <v>1</v>
      </c>
      <c r="F177">
        <v>18.0932884399075</v>
      </c>
      <c r="G177">
        <v>16</v>
      </c>
      <c r="H177">
        <v>20</v>
      </c>
      <c r="I177">
        <v>89</v>
      </c>
      <c r="J177">
        <v>2</v>
      </c>
      <c r="K177">
        <v>0</v>
      </c>
      <c r="L177" s="2">
        <f t="shared" si="12"/>
        <v>45292</v>
      </c>
      <c r="M177" s="2">
        <f t="shared" ca="1" si="13"/>
        <v>45323</v>
      </c>
      <c r="N177" s="2" t="str">
        <f t="shared" ca="1" si="14"/>
        <v>N/A</v>
      </c>
      <c r="O177" s="3">
        <f t="shared" ca="1" si="15"/>
        <v>31</v>
      </c>
      <c r="P177" s="3" t="str">
        <f t="shared" ca="1" si="16"/>
        <v>N/A</v>
      </c>
      <c r="Q177" s="1" t="str">
        <f>IF(K177=1,"Joined",IF(H177&gt;=70,"Dropped at Offer",IF(H177&gt;=50,"Dropped at Interview","Dropped at Screening")))</f>
        <v>Dropped at Screening</v>
      </c>
      <c r="R177" s="1" t="str">
        <f t="shared" ca="1" si="17"/>
        <v>Feb-2024</v>
      </c>
    </row>
    <row r="178" spans="1:18">
      <c r="A178">
        <v>22</v>
      </c>
      <c r="B178">
        <v>1</v>
      </c>
      <c r="C178">
        <v>4</v>
      </c>
      <c r="D178">
        <v>4</v>
      </c>
      <c r="E178">
        <v>2</v>
      </c>
      <c r="F178">
        <v>50.290182972515197</v>
      </c>
      <c r="G178">
        <v>39</v>
      </c>
      <c r="H178">
        <v>18</v>
      </c>
      <c r="I178">
        <v>21</v>
      </c>
      <c r="J178">
        <v>2</v>
      </c>
      <c r="K178">
        <v>0</v>
      </c>
      <c r="L178" s="2">
        <f t="shared" si="12"/>
        <v>45292</v>
      </c>
      <c r="M178" s="2">
        <f t="shared" ca="1" si="13"/>
        <v>45315</v>
      </c>
      <c r="N178" s="2" t="str">
        <f t="shared" ca="1" si="14"/>
        <v>N/A</v>
      </c>
      <c r="O178" s="3">
        <f t="shared" ca="1" si="15"/>
        <v>23</v>
      </c>
      <c r="P178" s="3" t="str">
        <f t="shared" ca="1" si="16"/>
        <v>N/A</v>
      </c>
      <c r="Q178" s="1" t="str">
        <f>IF(K178=1,"Joined",IF(H178&gt;=70,"Dropped at Offer",IF(H178&gt;=50,"Dropped at Interview","Dropped at Screening")))</f>
        <v>Dropped at Screening</v>
      </c>
      <c r="R178" s="1" t="str">
        <f t="shared" ca="1" si="17"/>
        <v>Jan-2024</v>
      </c>
    </row>
    <row r="179" spans="1:18">
      <c r="A179">
        <v>24</v>
      </c>
      <c r="B179">
        <v>1</v>
      </c>
      <c r="C179">
        <v>3</v>
      </c>
      <c r="D179">
        <v>6</v>
      </c>
      <c r="E179">
        <v>1</v>
      </c>
      <c r="F179">
        <v>42.930444376698098</v>
      </c>
      <c r="G179">
        <v>48</v>
      </c>
      <c r="H179">
        <v>88</v>
      </c>
      <c r="I179">
        <v>96</v>
      </c>
      <c r="J179">
        <v>1</v>
      </c>
      <c r="K179">
        <v>1</v>
      </c>
      <c r="L179" s="2">
        <f t="shared" si="12"/>
        <v>45292</v>
      </c>
      <c r="M179" s="2">
        <f t="shared" ca="1" si="13"/>
        <v>45324</v>
      </c>
      <c r="N179" s="2">
        <f t="shared" ca="1" si="14"/>
        <v>45338</v>
      </c>
      <c r="O179" s="3">
        <f t="shared" ca="1" si="15"/>
        <v>32</v>
      </c>
      <c r="P179" s="3">
        <f t="shared" ca="1" si="16"/>
        <v>14</v>
      </c>
      <c r="Q179" s="1" t="str">
        <f>IF(K179=1,"Joined",IF(H179&gt;=70,"Dropped at Offer",IF(H179&gt;=50,"Dropped at Interview","Dropped at Screening")))</f>
        <v>Joined</v>
      </c>
      <c r="R179" s="1" t="str">
        <f t="shared" ca="1" si="17"/>
        <v>Feb-2024</v>
      </c>
    </row>
    <row r="180" spans="1:18">
      <c r="A180">
        <v>34</v>
      </c>
      <c r="B180">
        <v>0</v>
      </c>
      <c r="C180">
        <v>2</v>
      </c>
      <c r="D180">
        <v>14</v>
      </c>
      <c r="E180">
        <v>3</v>
      </c>
      <c r="F180">
        <v>41.4285267073695</v>
      </c>
      <c r="G180">
        <v>84</v>
      </c>
      <c r="H180">
        <v>46</v>
      </c>
      <c r="I180">
        <v>46</v>
      </c>
      <c r="J180">
        <v>1</v>
      </c>
      <c r="K180">
        <v>1</v>
      </c>
      <c r="L180" s="2">
        <f t="shared" si="12"/>
        <v>45292</v>
      </c>
      <c r="M180" s="2">
        <f t="shared" ca="1" si="13"/>
        <v>45325</v>
      </c>
      <c r="N180" s="2">
        <f t="shared" ca="1" si="14"/>
        <v>45333</v>
      </c>
      <c r="O180" s="3">
        <f t="shared" ca="1" si="15"/>
        <v>33</v>
      </c>
      <c r="P180" s="3">
        <f t="shared" ca="1" si="16"/>
        <v>8</v>
      </c>
      <c r="Q180" s="1" t="str">
        <f>IF(K180=1,"Joined",IF(H180&gt;=70,"Dropped at Offer",IF(H180&gt;=50,"Dropped at Interview","Dropped at Screening")))</f>
        <v>Joined</v>
      </c>
      <c r="R180" s="1" t="str">
        <f t="shared" ca="1" si="17"/>
        <v>Feb-2024</v>
      </c>
    </row>
    <row r="181" spans="1:18">
      <c r="A181">
        <v>33</v>
      </c>
      <c r="B181">
        <v>0</v>
      </c>
      <c r="C181">
        <v>3</v>
      </c>
      <c r="D181">
        <v>15</v>
      </c>
      <c r="E181">
        <v>1</v>
      </c>
      <c r="F181">
        <v>16.895233688664099</v>
      </c>
      <c r="G181">
        <v>56</v>
      </c>
      <c r="H181">
        <v>21</v>
      </c>
      <c r="I181">
        <v>28</v>
      </c>
      <c r="J181">
        <v>2</v>
      </c>
      <c r="K181">
        <v>0</v>
      </c>
      <c r="L181" s="2">
        <f t="shared" si="12"/>
        <v>45292</v>
      </c>
      <c r="M181" s="2">
        <f t="shared" ca="1" si="13"/>
        <v>45331</v>
      </c>
      <c r="N181" s="2" t="str">
        <f t="shared" ca="1" si="14"/>
        <v>N/A</v>
      </c>
      <c r="O181" s="3">
        <f t="shared" ca="1" si="15"/>
        <v>39</v>
      </c>
      <c r="P181" s="3" t="str">
        <f t="shared" ca="1" si="16"/>
        <v>N/A</v>
      </c>
      <c r="Q181" s="1" t="str">
        <f>IF(K181=1,"Joined",IF(H181&gt;=70,"Dropped at Offer",IF(H181&gt;=50,"Dropped at Interview","Dropped at Screening")))</f>
        <v>Dropped at Screening</v>
      </c>
      <c r="R181" s="1" t="str">
        <f t="shared" ca="1" si="17"/>
        <v>Feb-2024</v>
      </c>
    </row>
    <row r="182" spans="1:18">
      <c r="A182">
        <v>22</v>
      </c>
      <c r="B182">
        <v>1</v>
      </c>
      <c r="C182">
        <v>1</v>
      </c>
      <c r="D182">
        <v>3</v>
      </c>
      <c r="E182">
        <v>1</v>
      </c>
      <c r="F182">
        <v>1.4388605973964701</v>
      </c>
      <c r="G182">
        <v>86</v>
      </c>
      <c r="H182">
        <v>74</v>
      </c>
      <c r="I182">
        <v>85</v>
      </c>
      <c r="J182">
        <v>2</v>
      </c>
      <c r="K182">
        <v>0</v>
      </c>
      <c r="L182" s="2">
        <f t="shared" si="12"/>
        <v>45292</v>
      </c>
      <c r="M182" s="2">
        <f t="shared" ca="1" si="13"/>
        <v>45326</v>
      </c>
      <c r="N182" s="2" t="str">
        <f t="shared" ca="1" si="14"/>
        <v>N/A</v>
      </c>
      <c r="O182" s="3">
        <f t="shared" ca="1" si="15"/>
        <v>34</v>
      </c>
      <c r="P182" s="3" t="str">
        <f t="shared" ca="1" si="16"/>
        <v>N/A</v>
      </c>
      <c r="Q182" s="1" t="str">
        <f>IF(K182=1,"Joined",IF(H182&gt;=70,"Dropped at Offer",IF(H182&gt;=50,"Dropped at Interview","Dropped at Screening")))</f>
        <v>Dropped at Offer</v>
      </c>
      <c r="R182" s="1" t="str">
        <f t="shared" ca="1" si="17"/>
        <v>Feb-2024</v>
      </c>
    </row>
    <row r="183" spans="1:18">
      <c r="A183">
        <v>20</v>
      </c>
      <c r="B183">
        <v>0</v>
      </c>
      <c r="C183">
        <v>1</v>
      </c>
      <c r="D183">
        <v>14</v>
      </c>
      <c r="E183">
        <v>2</v>
      </c>
      <c r="F183">
        <v>20.1066454412993</v>
      </c>
      <c r="G183">
        <v>83</v>
      </c>
      <c r="H183">
        <v>32</v>
      </c>
      <c r="I183">
        <v>44</v>
      </c>
      <c r="J183">
        <v>1</v>
      </c>
      <c r="K183">
        <v>1</v>
      </c>
      <c r="L183" s="2">
        <f t="shared" si="12"/>
        <v>45292</v>
      </c>
      <c r="M183" s="2">
        <f t="shared" ca="1" si="13"/>
        <v>45316</v>
      </c>
      <c r="N183" s="2">
        <f t="shared" ca="1" si="14"/>
        <v>45333</v>
      </c>
      <c r="O183" s="3">
        <f t="shared" ca="1" si="15"/>
        <v>24</v>
      </c>
      <c r="P183" s="3">
        <f t="shared" ca="1" si="16"/>
        <v>17</v>
      </c>
      <c r="Q183" s="1" t="str">
        <f>IF(K183=1,"Joined",IF(H183&gt;=70,"Dropped at Offer",IF(H183&gt;=50,"Dropped at Interview","Dropped at Screening")))</f>
        <v>Joined</v>
      </c>
      <c r="R183" s="1" t="str">
        <f t="shared" ca="1" si="17"/>
        <v>Jan-2024</v>
      </c>
    </row>
    <row r="184" spans="1:18">
      <c r="A184">
        <v>24</v>
      </c>
      <c r="B184">
        <v>1</v>
      </c>
      <c r="C184">
        <v>2</v>
      </c>
      <c r="D184">
        <v>15</v>
      </c>
      <c r="E184">
        <v>3</v>
      </c>
      <c r="F184">
        <v>16.0904684831346</v>
      </c>
      <c r="G184">
        <v>63</v>
      </c>
      <c r="H184">
        <v>31</v>
      </c>
      <c r="I184">
        <v>76</v>
      </c>
      <c r="J184">
        <v>3</v>
      </c>
      <c r="K184">
        <v>0</v>
      </c>
      <c r="L184" s="2">
        <f t="shared" si="12"/>
        <v>45292</v>
      </c>
      <c r="M184" s="2">
        <f t="shared" ca="1" si="13"/>
        <v>45311</v>
      </c>
      <c r="N184" s="2" t="str">
        <f t="shared" ca="1" si="14"/>
        <v>N/A</v>
      </c>
      <c r="O184" s="3">
        <f t="shared" ca="1" si="15"/>
        <v>19</v>
      </c>
      <c r="P184" s="3" t="str">
        <f t="shared" ca="1" si="16"/>
        <v>N/A</v>
      </c>
      <c r="Q184" s="1" t="str">
        <f>IF(K184=1,"Joined",IF(H184&gt;=70,"Dropped at Offer",IF(H184&gt;=50,"Dropped at Interview","Dropped at Screening")))</f>
        <v>Dropped at Screening</v>
      </c>
      <c r="R184" s="1" t="str">
        <f t="shared" ca="1" si="17"/>
        <v>Jan-2024</v>
      </c>
    </row>
    <row r="185" spans="1:18">
      <c r="A185">
        <v>45</v>
      </c>
      <c r="B185">
        <v>0</v>
      </c>
      <c r="C185">
        <v>2</v>
      </c>
      <c r="D185">
        <v>14</v>
      </c>
      <c r="E185">
        <v>5</v>
      </c>
      <c r="F185">
        <v>2.86984952043986</v>
      </c>
      <c r="G185">
        <v>74</v>
      </c>
      <c r="H185">
        <v>63</v>
      </c>
      <c r="I185">
        <v>8</v>
      </c>
      <c r="J185">
        <v>3</v>
      </c>
      <c r="K185">
        <v>0</v>
      </c>
      <c r="L185" s="2">
        <f t="shared" si="12"/>
        <v>45292</v>
      </c>
      <c r="M185" s="2">
        <f t="shared" ca="1" si="13"/>
        <v>45325</v>
      </c>
      <c r="N185" s="2" t="str">
        <f t="shared" ca="1" si="14"/>
        <v>N/A</v>
      </c>
      <c r="O185" s="3">
        <f t="shared" ca="1" si="15"/>
        <v>33</v>
      </c>
      <c r="P185" s="3" t="str">
        <f t="shared" ca="1" si="16"/>
        <v>N/A</v>
      </c>
      <c r="Q185" s="1" t="str">
        <f>IF(K185=1,"Joined",IF(H185&gt;=70,"Dropped at Offer",IF(H185&gt;=50,"Dropped at Interview","Dropped at Screening")))</f>
        <v>Dropped at Interview</v>
      </c>
      <c r="R185" s="1" t="str">
        <f t="shared" ca="1" si="17"/>
        <v>Feb-2024</v>
      </c>
    </row>
    <row r="186" spans="1:18">
      <c r="A186">
        <v>42</v>
      </c>
      <c r="B186">
        <v>0</v>
      </c>
      <c r="C186">
        <v>2</v>
      </c>
      <c r="D186">
        <v>0</v>
      </c>
      <c r="E186">
        <v>5</v>
      </c>
      <c r="F186">
        <v>26.2682628252964</v>
      </c>
      <c r="G186">
        <v>56</v>
      </c>
      <c r="H186">
        <v>84</v>
      </c>
      <c r="I186">
        <v>23</v>
      </c>
      <c r="J186">
        <v>2</v>
      </c>
      <c r="K186">
        <v>0</v>
      </c>
      <c r="L186" s="2">
        <f t="shared" si="12"/>
        <v>45292</v>
      </c>
      <c r="M186" s="2">
        <f t="shared" ca="1" si="13"/>
        <v>45321</v>
      </c>
      <c r="N186" s="2" t="str">
        <f t="shared" ca="1" si="14"/>
        <v>N/A</v>
      </c>
      <c r="O186" s="3">
        <f t="shared" ca="1" si="15"/>
        <v>29</v>
      </c>
      <c r="P186" s="3" t="str">
        <f t="shared" ca="1" si="16"/>
        <v>N/A</v>
      </c>
      <c r="Q186" s="1" t="str">
        <f>IF(K186=1,"Joined",IF(H186&gt;=70,"Dropped at Offer",IF(H186&gt;=50,"Dropped at Interview","Dropped at Screening")))</f>
        <v>Dropped at Offer</v>
      </c>
      <c r="R186" s="1" t="str">
        <f t="shared" ca="1" si="17"/>
        <v>Jan-2024</v>
      </c>
    </row>
    <row r="187" spans="1:18">
      <c r="A187">
        <v>50</v>
      </c>
      <c r="B187">
        <v>0</v>
      </c>
      <c r="C187">
        <v>2</v>
      </c>
      <c r="D187">
        <v>8</v>
      </c>
      <c r="E187">
        <v>4</v>
      </c>
      <c r="F187">
        <v>21.151565564136799</v>
      </c>
      <c r="G187">
        <v>97</v>
      </c>
      <c r="H187">
        <v>38</v>
      </c>
      <c r="I187">
        <v>14</v>
      </c>
      <c r="J187">
        <v>3</v>
      </c>
      <c r="K187">
        <v>0</v>
      </c>
      <c r="L187" s="2">
        <f t="shared" si="12"/>
        <v>45292</v>
      </c>
      <c r="M187" s="2">
        <f t="shared" ca="1" si="13"/>
        <v>45330</v>
      </c>
      <c r="N187" s="2" t="str">
        <f t="shared" ca="1" si="14"/>
        <v>N/A</v>
      </c>
      <c r="O187" s="3">
        <f t="shared" ca="1" si="15"/>
        <v>38</v>
      </c>
      <c r="P187" s="3" t="str">
        <f t="shared" ca="1" si="16"/>
        <v>N/A</v>
      </c>
      <c r="Q187" s="1" t="str">
        <f>IF(K187=1,"Joined",IF(H187&gt;=70,"Dropped at Offer",IF(H187&gt;=50,"Dropped at Interview","Dropped at Screening")))</f>
        <v>Dropped at Screening</v>
      </c>
      <c r="R187" s="1" t="str">
        <f t="shared" ca="1" si="17"/>
        <v>Feb-2024</v>
      </c>
    </row>
    <row r="188" spans="1:18">
      <c r="A188">
        <v>33</v>
      </c>
      <c r="B188">
        <v>0</v>
      </c>
      <c r="C188">
        <v>1</v>
      </c>
      <c r="D188">
        <v>13</v>
      </c>
      <c r="E188">
        <v>1</v>
      </c>
      <c r="F188">
        <v>32.727823387076199</v>
      </c>
      <c r="G188">
        <v>73</v>
      </c>
      <c r="H188">
        <v>83</v>
      </c>
      <c r="I188">
        <v>35</v>
      </c>
      <c r="J188">
        <v>1</v>
      </c>
      <c r="K188">
        <v>1</v>
      </c>
      <c r="L188" s="2">
        <f t="shared" si="12"/>
        <v>45292</v>
      </c>
      <c r="M188" s="2">
        <f t="shared" ca="1" si="13"/>
        <v>45336</v>
      </c>
      <c r="N188" s="2">
        <f t="shared" ca="1" si="14"/>
        <v>45362</v>
      </c>
      <c r="O188" s="3">
        <f t="shared" ca="1" si="15"/>
        <v>44</v>
      </c>
      <c r="P188" s="3">
        <f t="shared" ca="1" si="16"/>
        <v>26</v>
      </c>
      <c r="Q188" s="1" t="str">
        <f>IF(K188=1,"Joined",IF(H188&gt;=70,"Dropped at Offer",IF(H188&gt;=50,"Dropped at Interview","Dropped at Screening")))</f>
        <v>Joined</v>
      </c>
      <c r="R188" s="1" t="str">
        <f t="shared" ca="1" si="17"/>
        <v>Feb-2024</v>
      </c>
    </row>
    <row r="189" spans="1:18">
      <c r="A189">
        <v>26</v>
      </c>
      <c r="B189">
        <v>1</v>
      </c>
      <c r="C189">
        <v>2</v>
      </c>
      <c r="D189">
        <v>4</v>
      </c>
      <c r="E189">
        <v>4</v>
      </c>
      <c r="F189">
        <v>32.059316109704099</v>
      </c>
      <c r="G189">
        <v>73</v>
      </c>
      <c r="H189">
        <v>71</v>
      </c>
      <c r="I189">
        <v>12</v>
      </c>
      <c r="J189">
        <v>1</v>
      </c>
      <c r="K189">
        <v>1</v>
      </c>
      <c r="L189" s="2">
        <f t="shared" si="12"/>
        <v>45292</v>
      </c>
      <c r="M189" s="2">
        <f t="shared" ca="1" si="13"/>
        <v>45328</v>
      </c>
      <c r="N189" s="2">
        <f t="shared" ca="1" si="14"/>
        <v>45338</v>
      </c>
      <c r="O189" s="3">
        <f t="shared" ca="1" si="15"/>
        <v>36</v>
      </c>
      <c r="P189" s="3">
        <f t="shared" ca="1" si="16"/>
        <v>10</v>
      </c>
      <c r="Q189" s="1" t="str">
        <f>IF(K189=1,"Joined",IF(H189&gt;=70,"Dropped at Offer",IF(H189&gt;=50,"Dropped at Interview","Dropped at Screening")))</f>
        <v>Joined</v>
      </c>
      <c r="R189" s="1" t="str">
        <f t="shared" ca="1" si="17"/>
        <v>Feb-2024</v>
      </c>
    </row>
    <row r="190" spans="1:18">
      <c r="A190">
        <v>46</v>
      </c>
      <c r="B190">
        <v>1</v>
      </c>
      <c r="C190">
        <v>2</v>
      </c>
      <c r="D190">
        <v>10</v>
      </c>
      <c r="E190">
        <v>2</v>
      </c>
      <c r="F190">
        <v>7.0373317948340004</v>
      </c>
      <c r="G190">
        <v>69</v>
      </c>
      <c r="H190">
        <v>41</v>
      </c>
      <c r="I190">
        <v>90</v>
      </c>
      <c r="J190">
        <v>1</v>
      </c>
      <c r="K190">
        <v>1</v>
      </c>
      <c r="L190" s="2">
        <f t="shared" si="12"/>
        <v>45292</v>
      </c>
      <c r="M190" s="2">
        <f t="shared" ca="1" si="13"/>
        <v>45323</v>
      </c>
      <c r="N190" s="2">
        <f t="shared" ca="1" si="14"/>
        <v>45333</v>
      </c>
      <c r="O190" s="3">
        <f t="shared" ca="1" si="15"/>
        <v>31</v>
      </c>
      <c r="P190" s="3">
        <f t="shared" ca="1" si="16"/>
        <v>10</v>
      </c>
      <c r="Q190" s="1" t="str">
        <f>IF(K190=1,"Joined",IF(H190&gt;=70,"Dropped at Offer",IF(H190&gt;=50,"Dropped at Interview","Dropped at Screening")))</f>
        <v>Joined</v>
      </c>
      <c r="R190" s="1" t="str">
        <f t="shared" ca="1" si="17"/>
        <v>Feb-2024</v>
      </c>
    </row>
    <row r="191" spans="1:18">
      <c r="A191">
        <v>28</v>
      </c>
      <c r="B191">
        <v>1</v>
      </c>
      <c r="C191">
        <v>3</v>
      </c>
      <c r="D191">
        <v>15</v>
      </c>
      <c r="E191">
        <v>5</v>
      </c>
      <c r="F191">
        <v>49.848277306331099</v>
      </c>
      <c r="G191">
        <v>99</v>
      </c>
      <c r="H191">
        <v>100</v>
      </c>
      <c r="I191">
        <v>43</v>
      </c>
      <c r="J191">
        <v>2</v>
      </c>
      <c r="K191">
        <v>1</v>
      </c>
      <c r="L191" s="2">
        <f t="shared" si="12"/>
        <v>45292</v>
      </c>
      <c r="M191" s="2">
        <f t="shared" ca="1" si="13"/>
        <v>45330</v>
      </c>
      <c r="N191" s="2">
        <f t="shared" ca="1" si="14"/>
        <v>45356</v>
      </c>
      <c r="O191" s="3">
        <f t="shared" ca="1" si="15"/>
        <v>38</v>
      </c>
      <c r="P191" s="3">
        <f t="shared" ca="1" si="16"/>
        <v>26</v>
      </c>
      <c r="Q191" s="1" t="str">
        <f>IF(K191=1,"Joined",IF(H191&gt;=70,"Dropped at Offer",IF(H191&gt;=50,"Dropped at Interview","Dropped at Screening")))</f>
        <v>Joined</v>
      </c>
      <c r="R191" s="1" t="str">
        <f t="shared" ca="1" si="17"/>
        <v>Feb-2024</v>
      </c>
    </row>
    <row r="192" spans="1:18">
      <c r="A192">
        <v>34</v>
      </c>
      <c r="B192">
        <v>0</v>
      </c>
      <c r="C192">
        <v>2</v>
      </c>
      <c r="D192">
        <v>1</v>
      </c>
      <c r="E192">
        <v>1</v>
      </c>
      <c r="F192">
        <v>10.3465714720723</v>
      </c>
      <c r="G192">
        <v>87</v>
      </c>
      <c r="H192">
        <v>8</v>
      </c>
      <c r="I192">
        <v>100</v>
      </c>
      <c r="J192">
        <v>1</v>
      </c>
      <c r="K192">
        <v>1</v>
      </c>
      <c r="L192" s="2">
        <f t="shared" si="12"/>
        <v>45292</v>
      </c>
      <c r="M192" s="2">
        <f t="shared" ca="1" si="13"/>
        <v>45311</v>
      </c>
      <c r="N192" s="2">
        <f t="shared" ca="1" si="14"/>
        <v>45335</v>
      </c>
      <c r="O192" s="3">
        <f t="shared" ca="1" si="15"/>
        <v>19</v>
      </c>
      <c r="P192" s="3">
        <f t="shared" ca="1" si="16"/>
        <v>24</v>
      </c>
      <c r="Q192" s="1" t="str">
        <f>IF(K192=1,"Joined",IF(H192&gt;=70,"Dropped at Offer",IF(H192&gt;=50,"Dropped at Interview","Dropped at Screening")))</f>
        <v>Joined</v>
      </c>
      <c r="R192" s="1" t="str">
        <f t="shared" ca="1" si="17"/>
        <v>Jan-2024</v>
      </c>
    </row>
    <row r="193" spans="1:18">
      <c r="A193">
        <v>34</v>
      </c>
      <c r="B193">
        <v>1</v>
      </c>
      <c r="C193">
        <v>2</v>
      </c>
      <c r="D193">
        <v>7</v>
      </c>
      <c r="E193">
        <v>2</v>
      </c>
      <c r="F193">
        <v>23.2637012382352</v>
      </c>
      <c r="G193">
        <v>75</v>
      </c>
      <c r="H193">
        <v>24</v>
      </c>
      <c r="I193">
        <v>70</v>
      </c>
      <c r="J193">
        <v>3</v>
      </c>
      <c r="K193">
        <v>0</v>
      </c>
      <c r="L193" s="2">
        <f t="shared" si="12"/>
        <v>45292</v>
      </c>
      <c r="M193" s="2">
        <f t="shared" ca="1" si="13"/>
        <v>45316</v>
      </c>
      <c r="N193" s="2" t="str">
        <f t="shared" ca="1" si="14"/>
        <v>N/A</v>
      </c>
      <c r="O193" s="3">
        <f t="shared" ca="1" si="15"/>
        <v>24</v>
      </c>
      <c r="P193" s="3" t="str">
        <f t="shared" ca="1" si="16"/>
        <v>N/A</v>
      </c>
      <c r="Q193" s="1" t="str">
        <f>IF(K193=1,"Joined",IF(H193&gt;=70,"Dropped at Offer",IF(H193&gt;=50,"Dropped at Interview","Dropped at Screening")))</f>
        <v>Dropped at Screening</v>
      </c>
      <c r="R193" s="1" t="str">
        <f t="shared" ca="1" si="17"/>
        <v>Jan-2024</v>
      </c>
    </row>
    <row r="194" spans="1:18">
      <c r="A194">
        <v>45</v>
      </c>
      <c r="B194">
        <v>1</v>
      </c>
      <c r="C194">
        <v>2</v>
      </c>
      <c r="D194">
        <v>10</v>
      </c>
      <c r="E194">
        <v>2</v>
      </c>
      <c r="F194">
        <v>25.405877171686701</v>
      </c>
      <c r="G194">
        <v>42</v>
      </c>
      <c r="H194">
        <v>88</v>
      </c>
      <c r="I194">
        <v>71</v>
      </c>
      <c r="J194">
        <v>1</v>
      </c>
      <c r="K194">
        <v>1</v>
      </c>
      <c r="L194" s="2">
        <f t="shared" ref="L194:L257" si="18">DATE(2024,1,1)</f>
        <v>45292</v>
      </c>
      <c r="M194" s="2">
        <f t="shared" ref="M194:M257" ca="1" si="19">L194+RANDBETWEEN(14,45)</f>
        <v>45325</v>
      </c>
      <c r="N194" s="2">
        <f t="shared" ref="N194:N257" ca="1" si="20">IF(K194=1, M194+RANDBETWEEN(7,30), "N/A")</f>
        <v>45338</v>
      </c>
      <c r="O194" s="3">
        <f t="shared" ref="O194:O257" ca="1" si="21">IF(AND(M194&lt;&gt;"",L194&lt;&gt;""), M194-L194, "N/A")</f>
        <v>33</v>
      </c>
      <c r="P194" s="3">
        <f t="shared" ref="P194:Q257" ca="1" si="22">IF(AND(K194=1, N194&lt;&gt;"", M194&lt;&gt;""), N194 - M194, "N/A")</f>
        <v>13</v>
      </c>
      <c r="Q194" s="1" t="str">
        <f>IF(K194=1,"Joined",IF(H194&gt;=70,"Dropped at Offer",IF(H194&gt;=50,"Dropped at Interview","Dropped at Screening")))</f>
        <v>Joined</v>
      </c>
      <c r="R194" s="1" t="str">
        <f t="shared" ref="R194:R257" ca="1" si="23">TEXT(M194,"MMM-YYYY")</f>
        <v>Feb-2024</v>
      </c>
    </row>
    <row r="195" spans="1:18">
      <c r="A195">
        <v>29</v>
      </c>
      <c r="B195">
        <v>1</v>
      </c>
      <c r="C195">
        <v>1</v>
      </c>
      <c r="D195">
        <v>12</v>
      </c>
      <c r="E195">
        <v>1</v>
      </c>
      <c r="F195">
        <v>41.653139860705998</v>
      </c>
      <c r="G195">
        <v>22</v>
      </c>
      <c r="H195">
        <v>96</v>
      </c>
      <c r="I195">
        <v>100</v>
      </c>
      <c r="J195">
        <v>2</v>
      </c>
      <c r="K195">
        <v>0</v>
      </c>
      <c r="L195" s="2">
        <f t="shared" si="18"/>
        <v>45292</v>
      </c>
      <c r="M195" s="2">
        <f t="shared" ca="1" si="19"/>
        <v>45307</v>
      </c>
      <c r="N195" s="2" t="str">
        <f t="shared" ca="1" si="20"/>
        <v>N/A</v>
      </c>
      <c r="O195" s="3">
        <f t="shared" ca="1" si="21"/>
        <v>15</v>
      </c>
      <c r="P195" s="3" t="str">
        <f t="shared" ca="1" si="22"/>
        <v>N/A</v>
      </c>
      <c r="Q195" s="1" t="str">
        <f>IF(K195=1,"Joined",IF(H195&gt;=70,"Dropped at Offer",IF(H195&gt;=50,"Dropped at Interview","Dropped at Screening")))</f>
        <v>Dropped at Offer</v>
      </c>
      <c r="R195" s="1" t="str">
        <f t="shared" ca="1" si="23"/>
        <v>Jan-2024</v>
      </c>
    </row>
    <row r="196" spans="1:18">
      <c r="A196">
        <v>47</v>
      </c>
      <c r="B196">
        <v>0</v>
      </c>
      <c r="C196">
        <v>1</v>
      </c>
      <c r="D196">
        <v>1</v>
      </c>
      <c r="E196">
        <v>2</v>
      </c>
      <c r="F196">
        <v>5.9614798047323303</v>
      </c>
      <c r="G196">
        <v>26</v>
      </c>
      <c r="H196">
        <v>1</v>
      </c>
      <c r="I196">
        <v>77</v>
      </c>
      <c r="J196">
        <v>3</v>
      </c>
      <c r="K196">
        <v>0</v>
      </c>
      <c r="L196" s="2">
        <f t="shared" si="18"/>
        <v>45292</v>
      </c>
      <c r="M196" s="2">
        <f t="shared" ca="1" si="19"/>
        <v>45320</v>
      </c>
      <c r="N196" s="2" t="str">
        <f t="shared" ca="1" si="20"/>
        <v>N/A</v>
      </c>
      <c r="O196" s="3">
        <f t="shared" ca="1" si="21"/>
        <v>28</v>
      </c>
      <c r="P196" s="3" t="str">
        <f t="shared" ca="1" si="22"/>
        <v>N/A</v>
      </c>
      <c r="Q196" s="1" t="str">
        <f>IF(K196=1,"Joined",IF(H196&gt;=70,"Dropped at Offer",IF(H196&gt;=50,"Dropped at Interview","Dropped at Screening")))</f>
        <v>Dropped at Screening</v>
      </c>
      <c r="R196" s="1" t="str">
        <f t="shared" ca="1" si="23"/>
        <v>Jan-2024</v>
      </c>
    </row>
    <row r="197" spans="1:18">
      <c r="A197">
        <v>32</v>
      </c>
      <c r="B197">
        <v>0</v>
      </c>
      <c r="C197">
        <v>3</v>
      </c>
      <c r="D197">
        <v>2</v>
      </c>
      <c r="E197">
        <v>1</v>
      </c>
      <c r="F197">
        <v>22.432213960426498</v>
      </c>
      <c r="G197">
        <v>57</v>
      </c>
      <c r="H197">
        <v>18</v>
      </c>
      <c r="I197">
        <v>75</v>
      </c>
      <c r="J197">
        <v>1</v>
      </c>
      <c r="K197">
        <v>1</v>
      </c>
      <c r="L197" s="2">
        <f t="shared" si="18"/>
        <v>45292</v>
      </c>
      <c r="M197" s="2">
        <f t="shared" ca="1" si="19"/>
        <v>45322</v>
      </c>
      <c r="N197" s="2">
        <f t="shared" ca="1" si="20"/>
        <v>45346</v>
      </c>
      <c r="O197" s="3">
        <f t="shared" ca="1" si="21"/>
        <v>30</v>
      </c>
      <c r="P197" s="3">
        <f t="shared" ca="1" si="22"/>
        <v>24</v>
      </c>
      <c r="Q197" s="1" t="str">
        <f>IF(K197=1,"Joined",IF(H197&gt;=70,"Dropped at Offer",IF(H197&gt;=50,"Dropped at Interview","Dropped at Screening")))</f>
        <v>Joined</v>
      </c>
      <c r="R197" s="1" t="str">
        <f t="shared" ca="1" si="23"/>
        <v>Jan-2024</v>
      </c>
    </row>
    <row r="198" spans="1:18">
      <c r="A198">
        <v>38</v>
      </c>
      <c r="B198">
        <v>0</v>
      </c>
      <c r="C198">
        <v>2</v>
      </c>
      <c r="D198">
        <v>13</v>
      </c>
      <c r="E198">
        <v>1</v>
      </c>
      <c r="F198">
        <v>32.425108511810102</v>
      </c>
      <c r="G198">
        <v>36</v>
      </c>
      <c r="H198">
        <v>19</v>
      </c>
      <c r="I198">
        <v>35</v>
      </c>
      <c r="J198">
        <v>1</v>
      </c>
      <c r="K198">
        <v>0</v>
      </c>
      <c r="L198" s="2">
        <f t="shared" si="18"/>
        <v>45292</v>
      </c>
      <c r="M198" s="2">
        <f t="shared" ca="1" si="19"/>
        <v>45312</v>
      </c>
      <c r="N198" s="2" t="str">
        <f t="shared" ca="1" si="20"/>
        <v>N/A</v>
      </c>
      <c r="O198" s="3">
        <f t="shared" ca="1" si="21"/>
        <v>20</v>
      </c>
      <c r="P198" s="3" t="str">
        <f t="shared" ca="1" si="22"/>
        <v>N/A</v>
      </c>
      <c r="Q198" s="1" t="str">
        <f>IF(K198=1,"Joined",IF(H198&gt;=70,"Dropped at Offer",IF(H198&gt;=50,"Dropped at Interview","Dropped at Screening")))</f>
        <v>Dropped at Screening</v>
      </c>
      <c r="R198" s="1" t="str">
        <f t="shared" ca="1" si="23"/>
        <v>Jan-2024</v>
      </c>
    </row>
    <row r="199" spans="1:18">
      <c r="A199">
        <v>50</v>
      </c>
      <c r="B199">
        <v>1</v>
      </c>
      <c r="C199">
        <v>1</v>
      </c>
      <c r="D199">
        <v>9</v>
      </c>
      <c r="E199">
        <v>3</v>
      </c>
      <c r="F199">
        <v>11.757781081202699</v>
      </c>
      <c r="G199">
        <v>5</v>
      </c>
      <c r="H199">
        <v>92</v>
      </c>
      <c r="I199">
        <v>60</v>
      </c>
      <c r="J199">
        <v>2</v>
      </c>
      <c r="K199">
        <v>0</v>
      </c>
      <c r="L199" s="2">
        <f t="shared" si="18"/>
        <v>45292</v>
      </c>
      <c r="M199" s="2">
        <f t="shared" ca="1" si="19"/>
        <v>45326</v>
      </c>
      <c r="N199" s="2" t="str">
        <f t="shared" ca="1" si="20"/>
        <v>N/A</v>
      </c>
      <c r="O199" s="3">
        <f t="shared" ca="1" si="21"/>
        <v>34</v>
      </c>
      <c r="P199" s="3" t="str">
        <f t="shared" ca="1" si="22"/>
        <v>N/A</v>
      </c>
      <c r="Q199" s="1" t="str">
        <f>IF(K199=1,"Joined",IF(H199&gt;=70,"Dropped at Offer",IF(H199&gt;=50,"Dropped at Interview","Dropped at Screening")))</f>
        <v>Dropped at Offer</v>
      </c>
      <c r="R199" s="1" t="str">
        <f t="shared" ca="1" si="23"/>
        <v>Feb-2024</v>
      </c>
    </row>
    <row r="200" spans="1:18">
      <c r="A200">
        <v>26</v>
      </c>
      <c r="B200">
        <v>1</v>
      </c>
      <c r="C200">
        <v>2</v>
      </c>
      <c r="D200">
        <v>0</v>
      </c>
      <c r="E200">
        <v>4</v>
      </c>
      <c r="F200">
        <v>32.373394938303598</v>
      </c>
      <c r="G200">
        <v>64</v>
      </c>
      <c r="H200">
        <v>69</v>
      </c>
      <c r="I200">
        <v>80</v>
      </c>
      <c r="J200">
        <v>1</v>
      </c>
      <c r="K200">
        <v>1</v>
      </c>
      <c r="L200" s="2">
        <f t="shared" si="18"/>
        <v>45292</v>
      </c>
      <c r="M200" s="2">
        <f t="shared" ca="1" si="19"/>
        <v>45315</v>
      </c>
      <c r="N200" s="2">
        <f t="shared" ca="1" si="20"/>
        <v>45328</v>
      </c>
      <c r="O200" s="3">
        <f t="shared" ca="1" si="21"/>
        <v>23</v>
      </c>
      <c r="P200" s="3">
        <f t="shared" ca="1" si="22"/>
        <v>13</v>
      </c>
      <c r="Q200" s="1" t="str">
        <f>IF(K200=1,"Joined",IF(H200&gt;=70,"Dropped at Offer",IF(H200&gt;=50,"Dropped at Interview","Dropped at Screening")))</f>
        <v>Joined</v>
      </c>
      <c r="R200" s="1" t="str">
        <f t="shared" ca="1" si="23"/>
        <v>Jan-2024</v>
      </c>
    </row>
    <row r="201" spans="1:18">
      <c r="A201">
        <v>36</v>
      </c>
      <c r="B201">
        <v>1</v>
      </c>
      <c r="C201">
        <v>2</v>
      </c>
      <c r="D201">
        <v>10</v>
      </c>
      <c r="E201">
        <v>2</v>
      </c>
      <c r="F201">
        <v>47.183241877482601</v>
      </c>
      <c r="G201">
        <v>5</v>
      </c>
      <c r="H201">
        <v>16</v>
      </c>
      <c r="I201">
        <v>39</v>
      </c>
      <c r="J201">
        <v>1</v>
      </c>
      <c r="K201">
        <v>0</v>
      </c>
      <c r="L201" s="2">
        <f t="shared" si="18"/>
        <v>45292</v>
      </c>
      <c r="M201" s="2">
        <f t="shared" ca="1" si="19"/>
        <v>45310</v>
      </c>
      <c r="N201" s="2" t="str">
        <f t="shared" ca="1" si="20"/>
        <v>N/A</v>
      </c>
      <c r="O201" s="3">
        <f t="shared" ca="1" si="21"/>
        <v>18</v>
      </c>
      <c r="P201" s="3" t="str">
        <f t="shared" ca="1" si="22"/>
        <v>N/A</v>
      </c>
      <c r="Q201" s="1" t="str">
        <f>IF(K201=1,"Joined",IF(H201&gt;=70,"Dropped at Offer",IF(H201&gt;=50,"Dropped at Interview","Dropped at Screening")))</f>
        <v>Dropped at Screening</v>
      </c>
      <c r="R201" s="1" t="str">
        <f t="shared" ca="1" si="23"/>
        <v>Jan-2024</v>
      </c>
    </row>
    <row r="202" spans="1:18">
      <c r="A202">
        <v>39</v>
      </c>
      <c r="B202">
        <v>0</v>
      </c>
      <c r="C202">
        <v>2</v>
      </c>
      <c r="D202">
        <v>15</v>
      </c>
      <c r="E202">
        <v>2</v>
      </c>
      <c r="F202">
        <v>50.875906558633702</v>
      </c>
      <c r="G202">
        <v>49</v>
      </c>
      <c r="H202">
        <v>88</v>
      </c>
      <c r="I202">
        <v>92</v>
      </c>
      <c r="J202">
        <v>1</v>
      </c>
      <c r="K202">
        <v>1</v>
      </c>
      <c r="L202" s="2">
        <f t="shared" si="18"/>
        <v>45292</v>
      </c>
      <c r="M202" s="2">
        <f t="shared" ca="1" si="19"/>
        <v>45312</v>
      </c>
      <c r="N202" s="2">
        <f t="shared" ca="1" si="20"/>
        <v>45337</v>
      </c>
      <c r="O202" s="3">
        <f t="shared" ca="1" si="21"/>
        <v>20</v>
      </c>
      <c r="P202" s="3">
        <f t="shared" ca="1" si="22"/>
        <v>25</v>
      </c>
      <c r="Q202" s="1" t="str">
        <f>IF(K202=1,"Joined",IF(H202&gt;=70,"Dropped at Offer",IF(H202&gt;=50,"Dropped at Interview","Dropped at Screening")))</f>
        <v>Joined</v>
      </c>
      <c r="R202" s="1" t="str">
        <f t="shared" ca="1" si="23"/>
        <v>Jan-2024</v>
      </c>
    </row>
    <row r="203" spans="1:18">
      <c r="A203">
        <v>48</v>
      </c>
      <c r="B203">
        <v>0</v>
      </c>
      <c r="C203">
        <v>2</v>
      </c>
      <c r="D203">
        <v>1</v>
      </c>
      <c r="E203">
        <v>3</v>
      </c>
      <c r="F203">
        <v>2.6225538395337802</v>
      </c>
      <c r="G203">
        <v>21</v>
      </c>
      <c r="H203">
        <v>67</v>
      </c>
      <c r="I203">
        <v>26</v>
      </c>
      <c r="J203">
        <v>2</v>
      </c>
      <c r="K203">
        <v>0</v>
      </c>
      <c r="L203" s="2">
        <f t="shared" si="18"/>
        <v>45292</v>
      </c>
      <c r="M203" s="2">
        <f t="shared" ca="1" si="19"/>
        <v>45323</v>
      </c>
      <c r="N203" s="2" t="str">
        <f t="shared" ca="1" si="20"/>
        <v>N/A</v>
      </c>
      <c r="O203" s="3">
        <f t="shared" ca="1" si="21"/>
        <v>31</v>
      </c>
      <c r="P203" s="3" t="str">
        <f t="shared" ca="1" si="22"/>
        <v>N/A</v>
      </c>
      <c r="Q203" s="1" t="str">
        <f>IF(K203=1,"Joined",IF(H203&gt;=70,"Dropped at Offer",IF(H203&gt;=50,"Dropped at Interview","Dropped at Screening")))</f>
        <v>Dropped at Interview</v>
      </c>
      <c r="R203" s="1" t="str">
        <f t="shared" ca="1" si="23"/>
        <v>Feb-2024</v>
      </c>
    </row>
    <row r="204" spans="1:18">
      <c r="A204">
        <v>23</v>
      </c>
      <c r="B204">
        <v>1</v>
      </c>
      <c r="C204">
        <v>2</v>
      </c>
      <c r="D204">
        <v>13</v>
      </c>
      <c r="E204">
        <v>3</v>
      </c>
      <c r="F204">
        <v>12.779411412233801</v>
      </c>
      <c r="G204">
        <v>87</v>
      </c>
      <c r="H204">
        <v>93</v>
      </c>
      <c r="I204">
        <v>0</v>
      </c>
      <c r="J204">
        <v>3</v>
      </c>
      <c r="K204">
        <v>0</v>
      </c>
      <c r="L204" s="2">
        <f t="shared" si="18"/>
        <v>45292</v>
      </c>
      <c r="M204" s="2">
        <f t="shared" ca="1" si="19"/>
        <v>45317</v>
      </c>
      <c r="N204" s="2" t="str">
        <f t="shared" ca="1" si="20"/>
        <v>N/A</v>
      </c>
      <c r="O204" s="3">
        <f t="shared" ca="1" si="21"/>
        <v>25</v>
      </c>
      <c r="P204" s="3" t="str">
        <f t="shared" ca="1" si="22"/>
        <v>N/A</v>
      </c>
      <c r="Q204" s="1" t="str">
        <f>IF(K204=1,"Joined",IF(H204&gt;=70,"Dropped at Offer",IF(H204&gt;=50,"Dropped at Interview","Dropped at Screening")))</f>
        <v>Dropped at Offer</v>
      </c>
      <c r="R204" s="1" t="str">
        <f t="shared" ca="1" si="23"/>
        <v>Jan-2024</v>
      </c>
    </row>
    <row r="205" spans="1:18">
      <c r="A205">
        <v>49</v>
      </c>
      <c r="B205">
        <v>0</v>
      </c>
      <c r="C205">
        <v>2</v>
      </c>
      <c r="D205">
        <v>15</v>
      </c>
      <c r="E205">
        <v>3</v>
      </c>
      <c r="F205">
        <v>16.515355789584799</v>
      </c>
      <c r="G205">
        <v>24</v>
      </c>
      <c r="H205">
        <v>83</v>
      </c>
      <c r="I205">
        <v>33</v>
      </c>
      <c r="J205">
        <v>3</v>
      </c>
      <c r="K205">
        <v>0</v>
      </c>
      <c r="L205" s="2">
        <f t="shared" si="18"/>
        <v>45292</v>
      </c>
      <c r="M205" s="2">
        <f t="shared" ca="1" si="19"/>
        <v>45333</v>
      </c>
      <c r="N205" s="2" t="str">
        <f t="shared" ca="1" si="20"/>
        <v>N/A</v>
      </c>
      <c r="O205" s="3">
        <f t="shared" ca="1" si="21"/>
        <v>41</v>
      </c>
      <c r="P205" s="3" t="str">
        <f t="shared" ca="1" si="22"/>
        <v>N/A</v>
      </c>
      <c r="Q205" s="1" t="str">
        <f>IF(K205=1,"Joined",IF(H205&gt;=70,"Dropped at Offer",IF(H205&gt;=50,"Dropped at Interview","Dropped at Screening")))</f>
        <v>Dropped at Offer</v>
      </c>
      <c r="R205" s="1" t="str">
        <f t="shared" ca="1" si="23"/>
        <v>Feb-2024</v>
      </c>
    </row>
    <row r="206" spans="1:18">
      <c r="A206">
        <v>24</v>
      </c>
      <c r="B206">
        <v>0</v>
      </c>
      <c r="C206">
        <v>1</v>
      </c>
      <c r="D206">
        <v>6</v>
      </c>
      <c r="E206">
        <v>5</v>
      </c>
      <c r="F206">
        <v>20.956305022248301</v>
      </c>
      <c r="G206">
        <v>78</v>
      </c>
      <c r="H206">
        <v>2</v>
      </c>
      <c r="I206">
        <v>67</v>
      </c>
      <c r="J206">
        <v>1</v>
      </c>
      <c r="K206">
        <v>1</v>
      </c>
      <c r="L206" s="2">
        <f t="shared" si="18"/>
        <v>45292</v>
      </c>
      <c r="M206" s="2">
        <f t="shared" ca="1" si="19"/>
        <v>45320</v>
      </c>
      <c r="N206" s="2">
        <f t="shared" ca="1" si="20"/>
        <v>45341</v>
      </c>
      <c r="O206" s="3">
        <f t="shared" ca="1" si="21"/>
        <v>28</v>
      </c>
      <c r="P206" s="3">
        <f t="shared" ca="1" si="22"/>
        <v>21</v>
      </c>
      <c r="Q206" s="1" t="str">
        <f>IF(K206=1,"Joined",IF(H206&gt;=70,"Dropped at Offer",IF(H206&gt;=50,"Dropped at Interview","Dropped at Screening")))</f>
        <v>Joined</v>
      </c>
      <c r="R206" s="1" t="str">
        <f t="shared" ca="1" si="23"/>
        <v>Jan-2024</v>
      </c>
    </row>
    <row r="207" spans="1:18">
      <c r="A207">
        <v>42</v>
      </c>
      <c r="B207">
        <v>0</v>
      </c>
      <c r="C207">
        <v>2</v>
      </c>
      <c r="D207">
        <v>9</v>
      </c>
      <c r="E207">
        <v>5</v>
      </c>
      <c r="F207">
        <v>13.1128578792383</v>
      </c>
      <c r="G207">
        <v>89</v>
      </c>
      <c r="H207">
        <v>86</v>
      </c>
      <c r="I207">
        <v>87</v>
      </c>
      <c r="J207">
        <v>2</v>
      </c>
      <c r="K207">
        <v>1</v>
      </c>
      <c r="L207" s="2">
        <f t="shared" si="18"/>
        <v>45292</v>
      </c>
      <c r="M207" s="2">
        <f t="shared" ca="1" si="19"/>
        <v>45318</v>
      </c>
      <c r="N207" s="2">
        <f t="shared" ca="1" si="20"/>
        <v>45346</v>
      </c>
      <c r="O207" s="3">
        <f t="shared" ca="1" si="21"/>
        <v>26</v>
      </c>
      <c r="P207" s="3">
        <f t="shared" ca="1" si="22"/>
        <v>28</v>
      </c>
      <c r="Q207" s="1" t="str">
        <f>IF(K207=1,"Joined",IF(H207&gt;=70,"Dropped at Offer",IF(H207&gt;=50,"Dropped at Interview","Dropped at Screening")))</f>
        <v>Joined</v>
      </c>
      <c r="R207" s="1" t="str">
        <f t="shared" ca="1" si="23"/>
        <v>Jan-2024</v>
      </c>
    </row>
    <row r="208" spans="1:18">
      <c r="A208">
        <v>26</v>
      </c>
      <c r="B208">
        <v>0</v>
      </c>
      <c r="C208">
        <v>3</v>
      </c>
      <c r="D208">
        <v>1</v>
      </c>
      <c r="E208">
        <v>5</v>
      </c>
      <c r="F208">
        <v>11.1743997277656</v>
      </c>
      <c r="G208">
        <v>71</v>
      </c>
      <c r="H208">
        <v>50</v>
      </c>
      <c r="I208">
        <v>20</v>
      </c>
      <c r="J208">
        <v>2</v>
      </c>
      <c r="K208">
        <v>0</v>
      </c>
      <c r="L208" s="2">
        <f t="shared" si="18"/>
        <v>45292</v>
      </c>
      <c r="M208" s="2">
        <f t="shared" ca="1" si="19"/>
        <v>45317</v>
      </c>
      <c r="N208" s="2" t="str">
        <f t="shared" ca="1" si="20"/>
        <v>N/A</v>
      </c>
      <c r="O208" s="3">
        <f t="shared" ca="1" si="21"/>
        <v>25</v>
      </c>
      <c r="P208" s="3" t="str">
        <f t="shared" ca="1" si="22"/>
        <v>N/A</v>
      </c>
      <c r="Q208" s="1" t="str">
        <f>IF(K208=1,"Joined",IF(H208&gt;=70,"Dropped at Offer",IF(H208&gt;=50,"Dropped at Interview","Dropped at Screening")))</f>
        <v>Dropped at Interview</v>
      </c>
      <c r="R208" s="1" t="str">
        <f t="shared" ca="1" si="23"/>
        <v>Jan-2024</v>
      </c>
    </row>
    <row r="209" spans="1:18">
      <c r="A209">
        <v>32</v>
      </c>
      <c r="B209">
        <v>1</v>
      </c>
      <c r="C209">
        <v>3</v>
      </c>
      <c r="D209">
        <v>5</v>
      </c>
      <c r="E209">
        <v>1</v>
      </c>
      <c r="F209">
        <v>48.727692120874998</v>
      </c>
      <c r="G209">
        <v>50</v>
      </c>
      <c r="H209">
        <v>81</v>
      </c>
      <c r="I209">
        <v>32</v>
      </c>
      <c r="J209">
        <v>3</v>
      </c>
      <c r="K209">
        <v>0</v>
      </c>
      <c r="L209" s="2">
        <f t="shared" si="18"/>
        <v>45292</v>
      </c>
      <c r="M209" s="2">
        <f t="shared" ca="1" si="19"/>
        <v>45331</v>
      </c>
      <c r="N209" s="2" t="str">
        <f t="shared" ca="1" si="20"/>
        <v>N/A</v>
      </c>
      <c r="O209" s="3">
        <f t="shared" ca="1" si="21"/>
        <v>39</v>
      </c>
      <c r="P209" s="3" t="str">
        <f t="shared" ca="1" si="22"/>
        <v>N/A</v>
      </c>
      <c r="Q209" s="1" t="str">
        <f>IF(K209=1,"Joined",IF(H209&gt;=70,"Dropped at Offer",IF(H209&gt;=50,"Dropped at Interview","Dropped at Screening")))</f>
        <v>Dropped at Offer</v>
      </c>
      <c r="R209" s="1" t="str">
        <f t="shared" ca="1" si="23"/>
        <v>Feb-2024</v>
      </c>
    </row>
    <row r="210" spans="1:18">
      <c r="A210">
        <v>34</v>
      </c>
      <c r="B210">
        <v>0</v>
      </c>
      <c r="C210">
        <v>3</v>
      </c>
      <c r="D210">
        <v>14</v>
      </c>
      <c r="E210">
        <v>2</v>
      </c>
      <c r="F210">
        <v>46.926080138525798</v>
      </c>
      <c r="G210">
        <v>87</v>
      </c>
      <c r="H210">
        <v>25</v>
      </c>
      <c r="I210">
        <v>6</v>
      </c>
      <c r="J210">
        <v>1</v>
      </c>
      <c r="K210">
        <v>1</v>
      </c>
      <c r="L210" s="2">
        <f t="shared" si="18"/>
        <v>45292</v>
      </c>
      <c r="M210" s="2">
        <f t="shared" ca="1" si="19"/>
        <v>45337</v>
      </c>
      <c r="N210" s="2">
        <f t="shared" ca="1" si="20"/>
        <v>45365</v>
      </c>
      <c r="O210" s="3">
        <f t="shared" ca="1" si="21"/>
        <v>45</v>
      </c>
      <c r="P210" s="3">
        <f t="shared" ca="1" si="22"/>
        <v>28</v>
      </c>
      <c r="Q210" s="1" t="str">
        <f>IF(K210=1,"Joined",IF(H210&gt;=70,"Dropped at Offer",IF(H210&gt;=50,"Dropped at Interview","Dropped at Screening")))</f>
        <v>Joined</v>
      </c>
      <c r="R210" s="1" t="str">
        <f t="shared" ca="1" si="23"/>
        <v>Feb-2024</v>
      </c>
    </row>
    <row r="211" spans="1:18">
      <c r="A211">
        <v>30</v>
      </c>
      <c r="B211">
        <v>0</v>
      </c>
      <c r="C211">
        <v>2</v>
      </c>
      <c r="D211">
        <v>2</v>
      </c>
      <c r="E211">
        <v>4</v>
      </c>
      <c r="F211">
        <v>3.3496250501558702</v>
      </c>
      <c r="G211">
        <v>47</v>
      </c>
      <c r="H211">
        <v>55</v>
      </c>
      <c r="I211">
        <v>64</v>
      </c>
      <c r="J211">
        <v>2</v>
      </c>
      <c r="K211">
        <v>0</v>
      </c>
      <c r="L211" s="2">
        <f t="shared" si="18"/>
        <v>45292</v>
      </c>
      <c r="M211" s="2">
        <f t="shared" ca="1" si="19"/>
        <v>45310</v>
      </c>
      <c r="N211" s="2" t="str">
        <f t="shared" ca="1" si="20"/>
        <v>N/A</v>
      </c>
      <c r="O211" s="3">
        <f t="shared" ca="1" si="21"/>
        <v>18</v>
      </c>
      <c r="P211" s="3" t="str">
        <f t="shared" ca="1" si="22"/>
        <v>N/A</v>
      </c>
      <c r="Q211" s="1" t="str">
        <f>IF(K211=1,"Joined",IF(H211&gt;=70,"Dropped at Offer",IF(H211&gt;=50,"Dropped at Interview","Dropped at Screening")))</f>
        <v>Dropped at Interview</v>
      </c>
      <c r="R211" s="1" t="str">
        <f t="shared" ca="1" si="23"/>
        <v>Jan-2024</v>
      </c>
    </row>
    <row r="212" spans="1:18">
      <c r="A212">
        <v>48</v>
      </c>
      <c r="B212">
        <v>0</v>
      </c>
      <c r="C212">
        <v>2</v>
      </c>
      <c r="D212">
        <v>3</v>
      </c>
      <c r="E212">
        <v>1</v>
      </c>
      <c r="F212">
        <v>17.9406510802424</v>
      </c>
      <c r="G212">
        <v>69</v>
      </c>
      <c r="H212">
        <v>99</v>
      </c>
      <c r="I212">
        <v>2</v>
      </c>
      <c r="J212">
        <v>2</v>
      </c>
      <c r="K212">
        <v>0</v>
      </c>
      <c r="L212" s="2">
        <f t="shared" si="18"/>
        <v>45292</v>
      </c>
      <c r="M212" s="2">
        <f t="shared" ca="1" si="19"/>
        <v>45311</v>
      </c>
      <c r="N212" s="2" t="str">
        <f t="shared" ca="1" si="20"/>
        <v>N/A</v>
      </c>
      <c r="O212" s="3">
        <f t="shared" ca="1" si="21"/>
        <v>19</v>
      </c>
      <c r="P212" s="3" t="str">
        <f t="shared" ca="1" si="22"/>
        <v>N/A</v>
      </c>
      <c r="Q212" s="1" t="str">
        <f>IF(K212=1,"Joined",IF(H212&gt;=70,"Dropped at Offer",IF(H212&gt;=50,"Dropped at Interview","Dropped at Screening")))</f>
        <v>Dropped at Offer</v>
      </c>
      <c r="R212" s="1" t="str">
        <f t="shared" ca="1" si="23"/>
        <v>Jan-2024</v>
      </c>
    </row>
    <row r="213" spans="1:18">
      <c r="A213">
        <v>23</v>
      </c>
      <c r="B213">
        <v>0</v>
      </c>
      <c r="C213">
        <v>2</v>
      </c>
      <c r="D213">
        <v>10</v>
      </c>
      <c r="E213">
        <v>2</v>
      </c>
      <c r="F213">
        <v>21.257427683920302</v>
      </c>
      <c r="G213">
        <v>98</v>
      </c>
      <c r="H213">
        <v>63</v>
      </c>
      <c r="I213">
        <v>50</v>
      </c>
      <c r="J213">
        <v>3</v>
      </c>
      <c r="K213">
        <v>0</v>
      </c>
      <c r="L213" s="2">
        <f t="shared" si="18"/>
        <v>45292</v>
      </c>
      <c r="M213" s="2">
        <f t="shared" ca="1" si="19"/>
        <v>45314</v>
      </c>
      <c r="N213" s="2" t="str">
        <f t="shared" ca="1" si="20"/>
        <v>N/A</v>
      </c>
      <c r="O213" s="3">
        <f t="shared" ca="1" si="21"/>
        <v>22</v>
      </c>
      <c r="P213" s="3" t="str">
        <f t="shared" ca="1" si="22"/>
        <v>N/A</v>
      </c>
      <c r="Q213" s="1" t="str">
        <f>IF(K213=1,"Joined",IF(H213&gt;=70,"Dropped at Offer",IF(H213&gt;=50,"Dropped at Interview","Dropped at Screening")))</f>
        <v>Dropped at Interview</v>
      </c>
      <c r="R213" s="1" t="str">
        <f t="shared" ca="1" si="23"/>
        <v>Jan-2024</v>
      </c>
    </row>
    <row r="214" spans="1:18">
      <c r="A214">
        <v>32</v>
      </c>
      <c r="B214">
        <v>1</v>
      </c>
      <c r="C214">
        <v>2</v>
      </c>
      <c r="D214">
        <v>14</v>
      </c>
      <c r="E214">
        <v>2</v>
      </c>
      <c r="F214">
        <v>12.950726733297101</v>
      </c>
      <c r="G214">
        <v>64</v>
      </c>
      <c r="H214">
        <v>7</v>
      </c>
      <c r="I214">
        <v>78</v>
      </c>
      <c r="J214">
        <v>1</v>
      </c>
      <c r="K214">
        <v>1</v>
      </c>
      <c r="L214" s="2">
        <f t="shared" si="18"/>
        <v>45292</v>
      </c>
      <c r="M214" s="2">
        <f t="shared" ca="1" si="19"/>
        <v>45317</v>
      </c>
      <c r="N214" s="2">
        <f t="shared" ca="1" si="20"/>
        <v>45342</v>
      </c>
      <c r="O214" s="3">
        <f t="shared" ca="1" si="21"/>
        <v>25</v>
      </c>
      <c r="P214" s="3">
        <f t="shared" ca="1" si="22"/>
        <v>25</v>
      </c>
      <c r="Q214" s="1" t="str">
        <f>IF(K214=1,"Joined",IF(H214&gt;=70,"Dropped at Offer",IF(H214&gt;=50,"Dropped at Interview","Dropped at Screening")))</f>
        <v>Joined</v>
      </c>
      <c r="R214" s="1" t="str">
        <f t="shared" ca="1" si="23"/>
        <v>Jan-2024</v>
      </c>
    </row>
    <row r="215" spans="1:18">
      <c r="A215">
        <v>26</v>
      </c>
      <c r="B215">
        <v>1</v>
      </c>
      <c r="C215">
        <v>2</v>
      </c>
      <c r="D215">
        <v>12</v>
      </c>
      <c r="E215">
        <v>3</v>
      </c>
      <c r="F215">
        <v>32.443644849408699</v>
      </c>
      <c r="G215">
        <v>59</v>
      </c>
      <c r="H215">
        <v>80</v>
      </c>
      <c r="I215">
        <v>94</v>
      </c>
      <c r="J215">
        <v>1</v>
      </c>
      <c r="K215">
        <v>1</v>
      </c>
      <c r="L215" s="2">
        <f t="shared" si="18"/>
        <v>45292</v>
      </c>
      <c r="M215" s="2">
        <f t="shared" ca="1" si="19"/>
        <v>45309</v>
      </c>
      <c r="N215" s="2">
        <f t="shared" ca="1" si="20"/>
        <v>45335</v>
      </c>
      <c r="O215" s="3">
        <f t="shared" ca="1" si="21"/>
        <v>17</v>
      </c>
      <c r="P215" s="3">
        <f t="shared" ca="1" si="22"/>
        <v>26</v>
      </c>
      <c r="Q215" s="1" t="str">
        <f>IF(K215=1,"Joined",IF(H215&gt;=70,"Dropped at Offer",IF(H215&gt;=50,"Dropped at Interview","Dropped at Screening")))</f>
        <v>Joined</v>
      </c>
      <c r="R215" s="1" t="str">
        <f t="shared" ca="1" si="23"/>
        <v>Jan-2024</v>
      </c>
    </row>
    <row r="216" spans="1:18">
      <c r="A216">
        <v>46</v>
      </c>
      <c r="B216">
        <v>0</v>
      </c>
      <c r="C216">
        <v>1</v>
      </c>
      <c r="D216">
        <v>7</v>
      </c>
      <c r="E216">
        <v>3</v>
      </c>
      <c r="F216">
        <v>33.019037332212001</v>
      </c>
      <c r="G216">
        <v>45</v>
      </c>
      <c r="H216">
        <v>94</v>
      </c>
      <c r="I216">
        <v>53</v>
      </c>
      <c r="J216">
        <v>1</v>
      </c>
      <c r="K216">
        <v>1</v>
      </c>
      <c r="L216" s="2">
        <f t="shared" si="18"/>
        <v>45292</v>
      </c>
      <c r="M216" s="2">
        <f t="shared" ca="1" si="19"/>
        <v>45331</v>
      </c>
      <c r="N216" s="2">
        <f t="shared" ca="1" si="20"/>
        <v>45353</v>
      </c>
      <c r="O216" s="3">
        <f t="shared" ca="1" si="21"/>
        <v>39</v>
      </c>
      <c r="P216" s="3">
        <f t="shared" ca="1" si="22"/>
        <v>22</v>
      </c>
      <c r="Q216" s="1" t="str">
        <f>IF(K216=1,"Joined",IF(H216&gt;=70,"Dropped at Offer",IF(H216&gt;=50,"Dropped at Interview","Dropped at Screening")))</f>
        <v>Joined</v>
      </c>
      <c r="R216" s="1" t="str">
        <f t="shared" ca="1" si="23"/>
        <v>Feb-2024</v>
      </c>
    </row>
    <row r="217" spans="1:18">
      <c r="A217">
        <v>38</v>
      </c>
      <c r="B217">
        <v>0</v>
      </c>
      <c r="C217">
        <v>2</v>
      </c>
      <c r="D217">
        <v>13</v>
      </c>
      <c r="E217">
        <v>1</v>
      </c>
      <c r="F217">
        <v>43.525211416429798</v>
      </c>
      <c r="G217">
        <v>35</v>
      </c>
      <c r="H217">
        <v>36</v>
      </c>
      <c r="I217">
        <v>79</v>
      </c>
      <c r="J217">
        <v>1</v>
      </c>
      <c r="K217">
        <v>1</v>
      </c>
      <c r="L217" s="2">
        <f t="shared" si="18"/>
        <v>45292</v>
      </c>
      <c r="M217" s="2">
        <f t="shared" ca="1" si="19"/>
        <v>45331</v>
      </c>
      <c r="N217" s="2">
        <f t="shared" ca="1" si="20"/>
        <v>45357</v>
      </c>
      <c r="O217" s="3">
        <f t="shared" ca="1" si="21"/>
        <v>39</v>
      </c>
      <c r="P217" s="3">
        <f t="shared" ca="1" si="22"/>
        <v>26</v>
      </c>
      <c r="Q217" s="1" t="str">
        <f>IF(K217=1,"Joined",IF(H217&gt;=70,"Dropped at Offer",IF(H217&gt;=50,"Dropped at Interview","Dropped at Screening")))</f>
        <v>Joined</v>
      </c>
      <c r="R217" s="1" t="str">
        <f t="shared" ca="1" si="23"/>
        <v>Feb-2024</v>
      </c>
    </row>
    <row r="218" spans="1:18">
      <c r="A218">
        <v>41</v>
      </c>
      <c r="B218">
        <v>0</v>
      </c>
      <c r="C218">
        <v>4</v>
      </c>
      <c r="D218">
        <v>2</v>
      </c>
      <c r="E218">
        <v>3</v>
      </c>
      <c r="F218">
        <v>38.043463419260803</v>
      </c>
      <c r="G218">
        <v>57</v>
      </c>
      <c r="H218">
        <v>96</v>
      </c>
      <c r="I218">
        <v>73</v>
      </c>
      <c r="J218">
        <v>2</v>
      </c>
      <c r="K218">
        <v>0</v>
      </c>
      <c r="L218" s="2">
        <f t="shared" si="18"/>
        <v>45292</v>
      </c>
      <c r="M218" s="2">
        <f t="shared" ca="1" si="19"/>
        <v>45308</v>
      </c>
      <c r="N218" s="2" t="str">
        <f t="shared" ca="1" si="20"/>
        <v>N/A</v>
      </c>
      <c r="O218" s="3">
        <f t="shared" ca="1" si="21"/>
        <v>16</v>
      </c>
      <c r="P218" s="3" t="str">
        <f t="shared" ca="1" si="22"/>
        <v>N/A</v>
      </c>
      <c r="Q218" s="1" t="str">
        <f>IF(K218=1,"Joined",IF(H218&gt;=70,"Dropped at Offer",IF(H218&gt;=50,"Dropped at Interview","Dropped at Screening")))</f>
        <v>Dropped at Offer</v>
      </c>
      <c r="R218" s="1" t="str">
        <f t="shared" ca="1" si="23"/>
        <v>Jan-2024</v>
      </c>
    </row>
    <row r="219" spans="1:18">
      <c r="A219">
        <v>47</v>
      </c>
      <c r="B219">
        <v>0</v>
      </c>
      <c r="C219">
        <v>2</v>
      </c>
      <c r="D219">
        <v>9</v>
      </c>
      <c r="E219">
        <v>2</v>
      </c>
      <c r="F219">
        <v>28.128666348297699</v>
      </c>
      <c r="G219">
        <v>75</v>
      </c>
      <c r="H219">
        <v>26</v>
      </c>
      <c r="I219">
        <v>92</v>
      </c>
      <c r="J219">
        <v>2</v>
      </c>
      <c r="K219">
        <v>0</v>
      </c>
      <c r="L219" s="2">
        <f t="shared" si="18"/>
        <v>45292</v>
      </c>
      <c r="M219" s="2">
        <f t="shared" ca="1" si="19"/>
        <v>45322</v>
      </c>
      <c r="N219" s="2" t="str">
        <f t="shared" ca="1" si="20"/>
        <v>N/A</v>
      </c>
      <c r="O219" s="3">
        <f t="shared" ca="1" si="21"/>
        <v>30</v>
      </c>
      <c r="P219" s="3" t="str">
        <f t="shared" ca="1" si="22"/>
        <v>N/A</v>
      </c>
      <c r="Q219" s="1" t="str">
        <f>IF(K219=1,"Joined",IF(H219&gt;=70,"Dropped at Offer",IF(H219&gt;=50,"Dropped at Interview","Dropped at Screening")))</f>
        <v>Dropped at Screening</v>
      </c>
      <c r="R219" s="1" t="str">
        <f t="shared" ca="1" si="23"/>
        <v>Jan-2024</v>
      </c>
    </row>
    <row r="220" spans="1:18">
      <c r="A220">
        <v>21</v>
      </c>
      <c r="B220">
        <v>0</v>
      </c>
      <c r="C220">
        <v>1</v>
      </c>
      <c r="D220">
        <v>5</v>
      </c>
      <c r="E220">
        <v>3</v>
      </c>
      <c r="F220">
        <v>33.679338502220901</v>
      </c>
      <c r="G220">
        <v>37</v>
      </c>
      <c r="H220">
        <v>44</v>
      </c>
      <c r="I220">
        <v>58</v>
      </c>
      <c r="J220">
        <v>2</v>
      </c>
      <c r="K220">
        <v>0</v>
      </c>
      <c r="L220" s="2">
        <f t="shared" si="18"/>
        <v>45292</v>
      </c>
      <c r="M220" s="2">
        <f t="shared" ca="1" si="19"/>
        <v>45331</v>
      </c>
      <c r="N220" s="2" t="str">
        <f t="shared" ca="1" si="20"/>
        <v>N/A</v>
      </c>
      <c r="O220" s="3">
        <f t="shared" ca="1" si="21"/>
        <v>39</v>
      </c>
      <c r="P220" s="3" t="str">
        <f t="shared" ca="1" si="22"/>
        <v>N/A</v>
      </c>
      <c r="Q220" s="1" t="str">
        <f>IF(K220=1,"Joined",IF(H220&gt;=70,"Dropped at Offer",IF(H220&gt;=50,"Dropped at Interview","Dropped at Screening")))</f>
        <v>Dropped at Screening</v>
      </c>
      <c r="R220" s="1" t="str">
        <f t="shared" ca="1" si="23"/>
        <v>Feb-2024</v>
      </c>
    </row>
    <row r="221" spans="1:18">
      <c r="A221">
        <v>29</v>
      </c>
      <c r="B221">
        <v>0</v>
      </c>
      <c r="C221">
        <v>2</v>
      </c>
      <c r="D221">
        <v>0</v>
      </c>
      <c r="E221">
        <v>5</v>
      </c>
      <c r="F221">
        <v>14.699439077150901</v>
      </c>
      <c r="G221">
        <v>10</v>
      </c>
      <c r="H221">
        <v>3</v>
      </c>
      <c r="I221">
        <v>5</v>
      </c>
      <c r="J221">
        <v>1</v>
      </c>
      <c r="K221">
        <v>0</v>
      </c>
      <c r="L221" s="2">
        <f t="shared" si="18"/>
        <v>45292</v>
      </c>
      <c r="M221" s="2">
        <f t="shared" ca="1" si="19"/>
        <v>45312</v>
      </c>
      <c r="N221" s="2" t="str">
        <f t="shared" ca="1" si="20"/>
        <v>N/A</v>
      </c>
      <c r="O221" s="3">
        <f t="shared" ca="1" si="21"/>
        <v>20</v>
      </c>
      <c r="P221" s="3" t="str">
        <f t="shared" ca="1" si="22"/>
        <v>N/A</v>
      </c>
      <c r="Q221" s="1" t="str">
        <f>IF(K221=1,"Joined",IF(H221&gt;=70,"Dropped at Offer",IF(H221&gt;=50,"Dropped at Interview","Dropped at Screening")))</f>
        <v>Dropped at Screening</v>
      </c>
      <c r="R221" s="1" t="str">
        <f t="shared" ca="1" si="23"/>
        <v>Jan-2024</v>
      </c>
    </row>
    <row r="222" spans="1:18">
      <c r="A222">
        <v>32</v>
      </c>
      <c r="B222">
        <v>1</v>
      </c>
      <c r="C222">
        <v>3</v>
      </c>
      <c r="D222">
        <v>6</v>
      </c>
      <c r="E222">
        <v>3</v>
      </c>
      <c r="F222">
        <v>30.652809498367802</v>
      </c>
      <c r="G222">
        <v>11</v>
      </c>
      <c r="H222">
        <v>85</v>
      </c>
      <c r="I222">
        <v>28</v>
      </c>
      <c r="J222">
        <v>1</v>
      </c>
      <c r="K222">
        <v>1</v>
      </c>
      <c r="L222" s="2">
        <f t="shared" si="18"/>
        <v>45292</v>
      </c>
      <c r="M222" s="2">
        <f t="shared" ca="1" si="19"/>
        <v>45328</v>
      </c>
      <c r="N222" s="2">
        <f t="shared" ca="1" si="20"/>
        <v>45349</v>
      </c>
      <c r="O222" s="3">
        <f t="shared" ca="1" si="21"/>
        <v>36</v>
      </c>
      <c r="P222" s="3">
        <f t="shared" ca="1" si="22"/>
        <v>21</v>
      </c>
      <c r="Q222" s="1" t="str">
        <f>IF(K222=1,"Joined",IF(H222&gt;=70,"Dropped at Offer",IF(H222&gt;=50,"Dropped at Interview","Dropped at Screening")))</f>
        <v>Joined</v>
      </c>
      <c r="R222" s="1" t="str">
        <f t="shared" ca="1" si="23"/>
        <v>Feb-2024</v>
      </c>
    </row>
    <row r="223" spans="1:18">
      <c r="A223">
        <v>49</v>
      </c>
      <c r="B223">
        <v>0</v>
      </c>
      <c r="C223">
        <v>2</v>
      </c>
      <c r="D223">
        <v>7</v>
      </c>
      <c r="E223">
        <v>2</v>
      </c>
      <c r="F223">
        <v>25.4613627374959</v>
      </c>
      <c r="G223">
        <v>41</v>
      </c>
      <c r="H223">
        <v>89</v>
      </c>
      <c r="I223">
        <v>16</v>
      </c>
      <c r="J223">
        <v>1</v>
      </c>
      <c r="K223">
        <v>1</v>
      </c>
      <c r="L223" s="2">
        <f t="shared" si="18"/>
        <v>45292</v>
      </c>
      <c r="M223" s="2">
        <f t="shared" ca="1" si="19"/>
        <v>45327</v>
      </c>
      <c r="N223" s="2">
        <f t="shared" ca="1" si="20"/>
        <v>45350</v>
      </c>
      <c r="O223" s="3">
        <f t="shared" ca="1" si="21"/>
        <v>35</v>
      </c>
      <c r="P223" s="3">
        <f t="shared" ca="1" si="22"/>
        <v>23</v>
      </c>
      <c r="Q223" s="1" t="str">
        <f>IF(K223=1,"Joined",IF(H223&gt;=70,"Dropped at Offer",IF(H223&gt;=50,"Dropped at Interview","Dropped at Screening")))</f>
        <v>Joined</v>
      </c>
      <c r="R223" s="1" t="str">
        <f t="shared" ca="1" si="23"/>
        <v>Feb-2024</v>
      </c>
    </row>
    <row r="224" spans="1:18">
      <c r="A224">
        <v>44</v>
      </c>
      <c r="B224">
        <v>1</v>
      </c>
      <c r="C224">
        <v>2</v>
      </c>
      <c r="D224">
        <v>10</v>
      </c>
      <c r="E224">
        <v>1</v>
      </c>
      <c r="F224">
        <v>7.6672233658185203</v>
      </c>
      <c r="G224">
        <v>38</v>
      </c>
      <c r="H224">
        <v>95</v>
      </c>
      <c r="I224">
        <v>59</v>
      </c>
      <c r="J224">
        <v>1</v>
      </c>
      <c r="K224">
        <v>1</v>
      </c>
      <c r="L224" s="2">
        <f t="shared" si="18"/>
        <v>45292</v>
      </c>
      <c r="M224" s="2">
        <f t="shared" ca="1" si="19"/>
        <v>45317</v>
      </c>
      <c r="N224" s="2">
        <f t="shared" ca="1" si="20"/>
        <v>45340</v>
      </c>
      <c r="O224" s="3">
        <f t="shared" ca="1" si="21"/>
        <v>25</v>
      </c>
      <c r="P224" s="3">
        <f t="shared" ca="1" si="22"/>
        <v>23</v>
      </c>
      <c r="Q224" s="1" t="str">
        <f>IF(K224=1,"Joined",IF(H224&gt;=70,"Dropped at Offer",IF(H224&gt;=50,"Dropped at Interview","Dropped at Screening")))</f>
        <v>Joined</v>
      </c>
      <c r="R224" s="1" t="str">
        <f t="shared" ca="1" si="23"/>
        <v>Jan-2024</v>
      </c>
    </row>
    <row r="225" spans="1:18">
      <c r="A225">
        <v>40</v>
      </c>
      <c r="B225">
        <v>1</v>
      </c>
      <c r="C225">
        <v>1</v>
      </c>
      <c r="D225">
        <v>13</v>
      </c>
      <c r="E225">
        <v>4</v>
      </c>
      <c r="F225">
        <v>13.1272138291485</v>
      </c>
      <c r="G225">
        <v>70</v>
      </c>
      <c r="H225">
        <v>87</v>
      </c>
      <c r="I225">
        <v>21</v>
      </c>
      <c r="J225">
        <v>2</v>
      </c>
      <c r="K225">
        <v>0</v>
      </c>
      <c r="L225" s="2">
        <f t="shared" si="18"/>
        <v>45292</v>
      </c>
      <c r="M225" s="2">
        <f t="shared" ca="1" si="19"/>
        <v>45328</v>
      </c>
      <c r="N225" s="2" t="str">
        <f t="shared" ca="1" si="20"/>
        <v>N/A</v>
      </c>
      <c r="O225" s="3">
        <f t="shared" ca="1" si="21"/>
        <v>36</v>
      </c>
      <c r="P225" s="3" t="str">
        <f t="shared" ca="1" si="22"/>
        <v>N/A</v>
      </c>
      <c r="Q225" s="1" t="str">
        <f>IF(K225=1,"Joined",IF(H225&gt;=70,"Dropped at Offer",IF(H225&gt;=50,"Dropped at Interview","Dropped at Screening")))</f>
        <v>Dropped at Offer</v>
      </c>
      <c r="R225" s="1" t="str">
        <f t="shared" ca="1" si="23"/>
        <v>Feb-2024</v>
      </c>
    </row>
    <row r="226" spans="1:18">
      <c r="A226">
        <v>25</v>
      </c>
      <c r="B226">
        <v>0</v>
      </c>
      <c r="C226">
        <v>2</v>
      </c>
      <c r="D226">
        <v>7</v>
      </c>
      <c r="E226">
        <v>3</v>
      </c>
      <c r="F226">
        <v>15.584672536079299</v>
      </c>
      <c r="G226">
        <v>10</v>
      </c>
      <c r="H226">
        <v>98</v>
      </c>
      <c r="I226">
        <v>23</v>
      </c>
      <c r="J226">
        <v>1</v>
      </c>
      <c r="K226">
        <v>1</v>
      </c>
      <c r="L226" s="2">
        <f t="shared" si="18"/>
        <v>45292</v>
      </c>
      <c r="M226" s="2">
        <f t="shared" ca="1" si="19"/>
        <v>45337</v>
      </c>
      <c r="N226" s="2">
        <f t="shared" ca="1" si="20"/>
        <v>45359</v>
      </c>
      <c r="O226" s="3">
        <f t="shared" ca="1" si="21"/>
        <v>45</v>
      </c>
      <c r="P226" s="3">
        <f t="shared" ca="1" si="22"/>
        <v>22</v>
      </c>
      <c r="Q226" s="1" t="str">
        <f>IF(K226=1,"Joined",IF(H226&gt;=70,"Dropped at Offer",IF(H226&gt;=50,"Dropped at Interview","Dropped at Screening")))</f>
        <v>Joined</v>
      </c>
      <c r="R226" s="1" t="str">
        <f t="shared" ca="1" si="23"/>
        <v>Feb-2024</v>
      </c>
    </row>
    <row r="227" spans="1:18">
      <c r="A227">
        <v>47</v>
      </c>
      <c r="B227">
        <v>1</v>
      </c>
      <c r="C227">
        <v>2</v>
      </c>
      <c r="D227">
        <v>2</v>
      </c>
      <c r="E227">
        <v>2</v>
      </c>
      <c r="F227">
        <v>47.215478352627898</v>
      </c>
      <c r="G227">
        <v>35</v>
      </c>
      <c r="H227">
        <v>36</v>
      </c>
      <c r="I227">
        <v>80</v>
      </c>
      <c r="J227">
        <v>1</v>
      </c>
      <c r="K227">
        <v>0</v>
      </c>
      <c r="L227" s="2">
        <f t="shared" si="18"/>
        <v>45292</v>
      </c>
      <c r="M227" s="2">
        <f t="shared" ca="1" si="19"/>
        <v>45310</v>
      </c>
      <c r="N227" s="2" t="str">
        <f t="shared" ca="1" si="20"/>
        <v>N/A</v>
      </c>
      <c r="O227" s="3">
        <f t="shared" ca="1" si="21"/>
        <v>18</v>
      </c>
      <c r="P227" s="3" t="str">
        <f t="shared" ca="1" si="22"/>
        <v>N/A</v>
      </c>
      <c r="Q227" s="1" t="str">
        <f>IF(K227=1,"Joined",IF(H227&gt;=70,"Dropped at Offer",IF(H227&gt;=50,"Dropped at Interview","Dropped at Screening")))</f>
        <v>Dropped at Screening</v>
      </c>
      <c r="R227" s="1" t="str">
        <f t="shared" ca="1" si="23"/>
        <v>Jan-2024</v>
      </c>
    </row>
    <row r="228" spans="1:18">
      <c r="A228">
        <v>47</v>
      </c>
      <c r="B228">
        <v>1</v>
      </c>
      <c r="C228">
        <v>3</v>
      </c>
      <c r="D228">
        <v>13</v>
      </c>
      <c r="E228">
        <v>4</v>
      </c>
      <c r="F228">
        <v>12.519331969294401</v>
      </c>
      <c r="G228">
        <v>51</v>
      </c>
      <c r="H228">
        <v>95</v>
      </c>
      <c r="I228">
        <v>84</v>
      </c>
      <c r="J228">
        <v>2</v>
      </c>
      <c r="K228">
        <v>1</v>
      </c>
      <c r="L228" s="2">
        <f t="shared" si="18"/>
        <v>45292</v>
      </c>
      <c r="M228" s="2">
        <f t="shared" ca="1" si="19"/>
        <v>45306</v>
      </c>
      <c r="N228" s="2">
        <f t="shared" ca="1" si="20"/>
        <v>45335</v>
      </c>
      <c r="O228" s="3">
        <f t="shared" ca="1" si="21"/>
        <v>14</v>
      </c>
      <c r="P228" s="3">
        <f t="shared" ca="1" si="22"/>
        <v>29</v>
      </c>
      <c r="Q228" s="1" t="str">
        <f>IF(K228=1,"Joined",IF(H228&gt;=70,"Dropped at Offer",IF(H228&gt;=50,"Dropped at Interview","Dropped at Screening")))</f>
        <v>Joined</v>
      </c>
      <c r="R228" s="1" t="str">
        <f t="shared" ca="1" si="23"/>
        <v>Jan-2024</v>
      </c>
    </row>
    <row r="229" spans="1:18">
      <c r="A229">
        <v>31</v>
      </c>
      <c r="B229">
        <v>1</v>
      </c>
      <c r="C229">
        <v>2</v>
      </c>
      <c r="D229">
        <v>9</v>
      </c>
      <c r="E229">
        <v>4</v>
      </c>
      <c r="F229">
        <v>15.4621951409834</v>
      </c>
      <c r="G229">
        <v>30</v>
      </c>
      <c r="H229">
        <v>70</v>
      </c>
      <c r="I229">
        <v>50</v>
      </c>
      <c r="J229">
        <v>2</v>
      </c>
      <c r="K229">
        <v>0</v>
      </c>
      <c r="L229" s="2">
        <f t="shared" si="18"/>
        <v>45292</v>
      </c>
      <c r="M229" s="2">
        <f t="shared" ca="1" si="19"/>
        <v>45335</v>
      </c>
      <c r="N229" s="2" t="str">
        <f t="shared" ca="1" si="20"/>
        <v>N/A</v>
      </c>
      <c r="O229" s="3">
        <f t="shared" ca="1" si="21"/>
        <v>43</v>
      </c>
      <c r="P229" s="3" t="str">
        <f t="shared" ca="1" si="22"/>
        <v>N/A</v>
      </c>
      <c r="Q229" s="1" t="str">
        <f>IF(K229=1,"Joined",IF(H229&gt;=70,"Dropped at Offer",IF(H229&gt;=50,"Dropped at Interview","Dropped at Screening")))</f>
        <v>Dropped at Offer</v>
      </c>
      <c r="R229" s="1" t="str">
        <f t="shared" ca="1" si="23"/>
        <v>Feb-2024</v>
      </c>
    </row>
    <row r="230" spans="1:18">
      <c r="A230">
        <v>31</v>
      </c>
      <c r="B230">
        <v>1</v>
      </c>
      <c r="C230">
        <v>1</v>
      </c>
      <c r="D230">
        <v>0</v>
      </c>
      <c r="E230">
        <v>5</v>
      </c>
      <c r="F230">
        <v>19.4677065044716</v>
      </c>
      <c r="G230">
        <v>32</v>
      </c>
      <c r="H230">
        <v>32</v>
      </c>
      <c r="I230">
        <v>49</v>
      </c>
      <c r="J230">
        <v>2</v>
      </c>
      <c r="K230">
        <v>0</v>
      </c>
      <c r="L230" s="2">
        <f t="shared" si="18"/>
        <v>45292</v>
      </c>
      <c r="M230" s="2">
        <f t="shared" ca="1" si="19"/>
        <v>45318</v>
      </c>
      <c r="N230" s="2" t="str">
        <f t="shared" ca="1" si="20"/>
        <v>N/A</v>
      </c>
      <c r="O230" s="3">
        <f t="shared" ca="1" si="21"/>
        <v>26</v>
      </c>
      <c r="P230" s="3" t="str">
        <f t="shared" ca="1" si="22"/>
        <v>N/A</v>
      </c>
      <c r="Q230" s="1" t="str">
        <f>IF(K230=1,"Joined",IF(H230&gt;=70,"Dropped at Offer",IF(H230&gt;=50,"Dropped at Interview","Dropped at Screening")))</f>
        <v>Dropped at Screening</v>
      </c>
      <c r="R230" s="1" t="str">
        <f t="shared" ca="1" si="23"/>
        <v>Jan-2024</v>
      </c>
    </row>
    <row r="231" spans="1:18">
      <c r="A231">
        <v>39</v>
      </c>
      <c r="B231">
        <v>1</v>
      </c>
      <c r="C231">
        <v>1</v>
      </c>
      <c r="D231">
        <v>8</v>
      </c>
      <c r="E231">
        <v>4</v>
      </c>
      <c r="F231">
        <v>34.187136931269301</v>
      </c>
      <c r="G231">
        <v>12</v>
      </c>
      <c r="H231">
        <v>30</v>
      </c>
      <c r="I231">
        <v>10</v>
      </c>
      <c r="J231">
        <v>3</v>
      </c>
      <c r="K231">
        <v>0</v>
      </c>
      <c r="L231" s="2">
        <f t="shared" si="18"/>
        <v>45292</v>
      </c>
      <c r="M231" s="2">
        <f t="shared" ca="1" si="19"/>
        <v>45331</v>
      </c>
      <c r="N231" s="2" t="str">
        <f t="shared" ca="1" si="20"/>
        <v>N/A</v>
      </c>
      <c r="O231" s="3">
        <f t="shared" ca="1" si="21"/>
        <v>39</v>
      </c>
      <c r="P231" s="3" t="str">
        <f t="shared" ca="1" si="22"/>
        <v>N/A</v>
      </c>
      <c r="Q231" s="1" t="str">
        <f>IF(K231=1,"Joined",IF(H231&gt;=70,"Dropped at Offer",IF(H231&gt;=50,"Dropped at Interview","Dropped at Screening")))</f>
        <v>Dropped at Screening</v>
      </c>
      <c r="R231" s="1" t="str">
        <f t="shared" ca="1" si="23"/>
        <v>Feb-2024</v>
      </c>
    </row>
    <row r="232" spans="1:18">
      <c r="A232">
        <v>49</v>
      </c>
      <c r="B232">
        <v>1</v>
      </c>
      <c r="C232">
        <v>1</v>
      </c>
      <c r="D232">
        <v>12</v>
      </c>
      <c r="E232">
        <v>2</v>
      </c>
      <c r="F232">
        <v>6.9119196236070204</v>
      </c>
      <c r="G232">
        <v>17</v>
      </c>
      <c r="H232">
        <v>54</v>
      </c>
      <c r="I232">
        <v>55</v>
      </c>
      <c r="J232">
        <v>1</v>
      </c>
      <c r="K232">
        <v>1</v>
      </c>
      <c r="L232" s="2">
        <f t="shared" si="18"/>
        <v>45292</v>
      </c>
      <c r="M232" s="2">
        <f t="shared" ca="1" si="19"/>
        <v>45313</v>
      </c>
      <c r="N232" s="2">
        <f t="shared" ca="1" si="20"/>
        <v>45324</v>
      </c>
      <c r="O232" s="3">
        <f t="shared" ca="1" si="21"/>
        <v>21</v>
      </c>
      <c r="P232" s="3">
        <f t="shared" ca="1" si="22"/>
        <v>11</v>
      </c>
      <c r="Q232" s="1" t="str">
        <f>IF(K232=1,"Joined",IF(H232&gt;=70,"Dropped at Offer",IF(H232&gt;=50,"Dropped at Interview","Dropped at Screening")))</f>
        <v>Joined</v>
      </c>
      <c r="R232" s="1" t="str">
        <f t="shared" ca="1" si="23"/>
        <v>Jan-2024</v>
      </c>
    </row>
    <row r="233" spans="1:18">
      <c r="A233">
        <v>49</v>
      </c>
      <c r="B233">
        <v>0</v>
      </c>
      <c r="C233">
        <v>2</v>
      </c>
      <c r="D233">
        <v>5</v>
      </c>
      <c r="E233">
        <v>2</v>
      </c>
      <c r="F233">
        <v>48.697260624688802</v>
      </c>
      <c r="G233">
        <v>40</v>
      </c>
      <c r="H233">
        <v>11</v>
      </c>
      <c r="I233">
        <v>70</v>
      </c>
      <c r="J233">
        <v>2</v>
      </c>
      <c r="K233">
        <v>0</v>
      </c>
      <c r="L233" s="2">
        <f t="shared" si="18"/>
        <v>45292</v>
      </c>
      <c r="M233" s="2">
        <f t="shared" ca="1" si="19"/>
        <v>45307</v>
      </c>
      <c r="N233" s="2" t="str">
        <f t="shared" ca="1" si="20"/>
        <v>N/A</v>
      </c>
      <c r="O233" s="3">
        <f t="shared" ca="1" si="21"/>
        <v>15</v>
      </c>
      <c r="P233" s="3" t="str">
        <f t="shared" ca="1" si="22"/>
        <v>N/A</v>
      </c>
      <c r="Q233" s="1" t="str">
        <f>IF(K233=1,"Joined",IF(H233&gt;=70,"Dropped at Offer",IF(H233&gt;=50,"Dropped at Interview","Dropped at Screening")))</f>
        <v>Dropped at Screening</v>
      </c>
      <c r="R233" s="1" t="str">
        <f t="shared" ca="1" si="23"/>
        <v>Jan-2024</v>
      </c>
    </row>
    <row r="234" spans="1:18">
      <c r="A234">
        <v>30</v>
      </c>
      <c r="B234">
        <v>1</v>
      </c>
      <c r="C234">
        <v>2</v>
      </c>
      <c r="D234">
        <v>10</v>
      </c>
      <c r="E234">
        <v>3</v>
      </c>
      <c r="F234">
        <v>44.278561004738201</v>
      </c>
      <c r="G234">
        <v>57</v>
      </c>
      <c r="H234">
        <v>10</v>
      </c>
      <c r="I234">
        <v>41</v>
      </c>
      <c r="J234">
        <v>2</v>
      </c>
      <c r="K234">
        <v>0</v>
      </c>
      <c r="L234" s="2">
        <f t="shared" si="18"/>
        <v>45292</v>
      </c>
      <c r="M234" s="2">
        <f t="shared" ca="1" si="19"/>
        <v>45326</v>
      </c>
      <c r="N234" s="2" t="str">
        <f t="shared" ca="1" si="20"/>
        <v>N/A</v>
      </c>
      <c r="O234" s="3">
        <f t="shared" ca="1" si="21"/>
        <v>34</v>
      </c>
      <c r="P234" s="3" t="str">
        <f t="shared" ca="1" si="22"/>
        <v>N/A</v>
      </c>
      <c r="Q234" s="1" t="str">
        <f>IF(K234=1,"Joined",IF(H234&gt;=70,"Dropped at Offer",IF(H234&gt;=50,"Dropped at Interview","Dropped at Screening")))</f>
        <v>Dropped at Screening</v>
      </c>
      <c r="R234" s="1" t="str">
        <f t="shared" ca="1" si="23"/>
        <v>Feb-2024</v>
      </c>
    </row>
    <row r="235" spans="1:18">
      <c r="A235">
        <v>45</v>
      </c>
      <c r="B235">
        <v>1</v>
      </c>
      <c r="C235">
        <v>2</v>
      </c>
      <c r="D235">
        <v>8</v>
      </c>
      <c r="E235">
        <v>3</v>
      </c>
      <c r="F235">
        <v>29.860803650447501</v>
      </c>
      <c r="G235">
        <v>55</v>
      </c>
      <c r="H235">
        <v>87</v>
      </c>
      <c r="I235">
        <v>38</v>
      </c>
      <c r="J235">
        <v>2</v>
      </c>
      <c r="K235">
        <v>0</v>
      </c>
      <c r="L235" s="2">
        <f t="shared" si="18"/>
        <v>45292</v>
      </c>
      <c r="M235" s="2">
        <f t="shared" ca="1" si="19"/>
        <v>45318</v>
      </c>
      <c r="N235" s="2" t="str">
        <f t="shared" ca="1" si="20"/>
        <v>N/A</v>
      </c>
      <c r="O235" s="3">
        <f t="shared" ca="1" si="21"/>
        <v>26</v>
      </c>
      <c r="P235" s="3" t="str">
        <f t="shared" ca="1" si="22"/>
        <v>N/A</v>
      </c>
      <c r="Q235" s="1" t="str">
        <f>IF(K235=1,"Joined",IF(H235&gt;=70,"Dropped at Offer",IF(H235&gt;=50,"Dropped at Interview","Dropped at Screening")))</f>
        <v>Dropped at Offer</v>
      </c>
      <c r="R235" s="1" t="str">
        <f t="shared" ca="1" si="23"/>
        <v>Jan-2024</v>
      </c>
    </row>
    <row r="236" spans="1:18">
      <c r="A236">
        <v>42</v>
      </c>
      <c r="B236">
        <v>1</v>
      </c>
      <c r="C236">
        <v>2</v>
      </c>
      <c r="D236">
        <v>6</v>
      </c>
      <c r="E236">
        <v>3</v>
      </c>
      <c r="F236">
        <v>34.701893371247799</v>
      </c>
      <c r="G236">
        <v>23</v>
      </c>
      <c r="H236">
        <v>71</v>
      </c>
      <c r="I236">
        <v>68</v>
      </c>
      <c r="J236">
        <v>3</v>
      </c>
      <c r="K236">
        <v>0</v>
      </c>
      <c r="L236" s="2">
        <f t="shared" si="18"/>
        <v>45292</v>
      </c>
      <c r="M236" s="2">
        <f t="shared" ca="1" si="19"/>
        <v>45335</v>
      </c>
      <c r="N236" s="2" t="str">
        <f t="shared" ca="1" si="20"/>
        <v>N/A</v>
      </c>
      <c r="O236" s="3">
        <f t="shared" ca="1" si="21"/>
        <v>43</v>
      </c>
      <c r="P236" s="3" t="str">
        <f t="shared" ca="1" si="22"/>
        <v>N/A</v>
      </c>
      <c r="Q236" s="1" t="str">
        <f>IF(K236=1,"Joined",IF(H236&gt;=70,"Dropped at Offer",IF(H236&gt;=50,"Dropped at Interview","Dropped at Screening")))</f>
        <v>Dropped at Offer</v>
      </c>
      <c r="R236" s="1" t="str">
        <f t="shared" ca="1" si="23"/>
        <v>Feb-2024</v>
      </c>
    </row>
    <row r="237" spans="1:18">
      <c r="A237">
        <v>47</v>
      </c>
      <c r="B237">
        <v>0</v>
      </c>
      <c r="C237">
        <v>2</v>
      </c>
      <c r="D237">
        <v>0</v>
      </c>
      <c r="E237">
        <v>4</v>
      </c>
      <c r="F237">
        <v>1.83302356221079</v>
      </c>
      <c r="G237">
        <v>72</v>
      </c>
      <c r="H237">
        <v>31</v>
      </c>
      <c r="I237">
        <v>47</v>
      </c>
      <c r="J237">
        <v>1</v>
      </c>
      <c r="K237">
        <v>0</v>
      </c>
      <c r="L237" s="2">
        <f t="shared" si="18"/>
        <v>45292</v>
      </c>
      <c r="M237" s="2">
        <f t="shared" ca="1" si="19"/>
        <v>45329</v>
      </c>
      <c r="N237" s="2" t="str">
        <f t="shared" ca="1" si="20"/>
        <v>N/A</v>
      </c>
      <c r="O237" s="3">
        <f t="shared" ca="1" si="21"/>
        <v>37</v>
      </c>
      <c r="P237" s="3" t="str">
        <f t="shared" ca="1" si="22"/>
        <v>N/A</v>
      </c>
      <c r="Q237" s="1" t="str">
        <f>IF(K237=1,"Joined",IF(H237&gt;=70,"Dropped at Offer",IF(H237&gt;=50,"Dropped at Interview","Dropped at Screening")))</f>
        <v>Dropped at Screening</v>
      </c>
      <c r="R237" s="1" t="str">
        <f t="shared" ca="1" si="23"/>
        <v>Feb-2024</v>
      </c>
    </row>
    <row r="238" spans="1:18">
      <c r="A238">
        <v>44</v>
      </c>
      <c r="B238">
        <v>1</v>
      </c>
      <c r="C238">
        <v>1</v>
      </c>
      <c r="D238">
        <v>11</v>
      </c>
      <c r="E238">
        <v>4</v>
      </c>
      <c r="F238">
        <v>17.947238767422402</v>
      </c>
      <c r="G238">
        <v>30</v>
      </c>
      <c r="H238">
        <v>56</v>
      </c>
      <c r="I238">
        <v>56</v>
      </c>
      <c r="J238">
        <v>2</v>
      </c>
      <c r="K238">
        <v>0</v>
      </c>
      <c r="L238" s="2">
        <f t="shared" si="18"/>
        <v>45292</v>
      </c>
      <c r="M238" s="2">
        <f t="shared" ca="1" si="19"/>
        <v>45312</v>
      </c>
      <c r="N238" s="2" t="str">
        <f t="shared" ca="1" si="20"/>
        <v>N/A</v>
      </c>
      <c r="O238" s="3">
        <f t="shared" ca="1" si="21"/>
        <v>20</v>
      </c>
      <c r="P238" s="3" t="str">
        <f t="shared" ca="1" si="22"/>
        <v>N/A</v>
      </c>
      <c r="Q238" s="1" t="str">
        <f>IF(K238=1,"Joined",IF(H238&gt;=70,"Dropped at Offer",IF(H238&gt;=50,"Dropped at Interview","Dropped at Screening")))</f>
        <v>Dropped at Interview</v>
      </c>
      <c r="R238" s="1" t="str">
        <f t="shared" ca="1" si="23"/>
        <v>Jan-2024</v>
      </c>
    </row>
    <row r="239" spans="1:18">
      <c r="A239">
        <v>26</v>
      </c>
      <c r="B239">
        <v>0</v>
      </c>
      <c r="C239">
        <v>1</v>
      </c>
      <c r="D239">
        <v>11</v>
      </c>
      <c r="E239">
        <v>5</v>
      </c>
      <c r="F239">
        <v>40.783011533072099</v>
      </c>
      <c r="G239">
        <v>54</v>
      </c>
      <c r="H239">
        <v>37</v>
      </c>
      <c r="I239">
        <v>20</v>
      </c>
      <c r="J239">
        <v>1</v>
      </c>
      <c r="K239">
        <v>0</v>
      </c>
      <c r="L239" s="2">
        <f t="shared" si="18"/>
        <v>45292</v>
      </c>
      <c r="M239" s="2">
        <f t="shared" ca="1" si="19"/>
        <v>45320</v>
      </c>
      <c r="N239" s="2" t="str">
        <f t="shared" ca="1" si="20"/>
        <v>N/A</v>
      </c>
      <c r="O239" s="3">
        <f t="shared" ca="1" si="21"/>
        <v>28</v>
      </c>
      <c r="P239" s="3" t="str">
        <f t="shared" ca="1" si="22"/>
        <v>N/A</v>
      </c>
      <c r="Q239" s="1" t="str">
        <f>IF(K239=1,"Joined",IF(H239&gt;=70,"Dropped at Offer",IF(H239&gt;=50,"Dropped at Interview","Dropped at Screening")))</f>
        <v>Dropped at Screening</v>
      </c>
      <c r="R239" s="1" t="str">
        <f t="shared" ca="1" si="23"/>
        <v>Jan-2024</v>
      </c>
    </row>
    <row r="240" spans="1:18">
      <c r="A240">
        <v>49</v>
      </c>
      <c r="B240">
        <v>1</v>
      </c>
      <c r="C240">
        <v>3</v>
      </c>
      <c r="D240">
        <v>0</v>
      </c>
      <c r="E240">
        <v>3</v>
      </c>
      <c r="F240">
        <v>4.8741486896192896</v>
      </c>
      <c r="G240">
        <v>9</v>
      </c>
      <c r="H240">
        <v>59</v>
      </c>
      <c r="I240">
        <v>81</v>
      </c>
      <c r="J240">
        <v>2</v>
      </c>
      <c r="K240">
        <v>0</v>
      </c>
      <c r="L240" s="2">
        <f t="shared" si="18"/>
        <v>45292</v>
      </c>
      <c r="M240" s="2">
        <f t="shared" ca="1" si="19"/>
        <v>45328</v>
      </c>
      <c r="N240" s="2" t="str">
        <f t="shared" ca="1" si="20"/>
        <v>N/A</v>
      </c>
      <c r="O240" s="3">
        <f t="shared" ca="1" si="21"/>
        <v>36</v>
      </c>
      <c r="P240" s="3" t="str">
        <f t="shared" ca="1" si="22"/>
        <v>N/A</v>
      </c>
      <c r="Q240" s="1" t="str">
        <f>IF(K240=1,"Joined",IF(H240&gt;=70,"Dropped at Offer",IF(H240&gt;=50,"Dropped at Interview","Dropped at Screening")))</f>
        <v>Dropped at Interview</v>
      </c>
      <c r="R240" s="1" t="str">
        <f t="shared" ca="1" si="23"/>
        <v>Feb-2024</v>
      </c>
    </row>
    <row r="241" spans="1:18">
      <c r="A241">
        <v>20</v>
      </c>
      <c r="B241">
        <v>0</v>
      </c>
      <c r="C241">
        <v>2</v>
      </c>
      <c r="D241">
        <v>5</v>
      </c>
      <c r="E241">
        <v>1</v>
      </c>
      <c r="F241">
        <v>15.115691710536</v>
      </c>
      <c r="G241">
        <v>59</v>
      </c>
      <c r="H241">
        <v>85</v>
      </c>
      <c r="I241">
        <v>98</v>
      </c>
      <c r="J241">
        <v>2</v>
      </c>
      <c r="K241">
        <v>0</v>
      </c>
      <c r="L241" s="2">
        <f t="shared" si="18"/>
        <v>45292</v>
      </c>
      <c r="M241" s="2">
        <f t="shared" ca="1" si="19"/>
        <v>45329</v>
      </c>
      <c r="N241" s="2" t="str">
        <f t="shared" ca="1" si="20"/>
        <v>N/A</v>
      </c>
      <c r="O241" s="3">
        <f t="shared" ca="1" si="21"/>
        <v>37</v>
      </c>
      <c r="P241" s="3" t="str">
        <f t="shared" ca="1" si="22"/>
        <v>N/A</v>
      </c>
      <c r="Q241" s="1" t="str">
        <f>IF(K241=1,"Joined",IF(H241&gt;=70,"Dropped at Offer",IF(H241&gt;=50,"Dropped at Interview","Dropped at Screening")))</f>
        <v>Dropped at Offer</v>
      </c>
      <c r="R241" s="1" t="str">
        <f t="shared" ca="1" si="23"/>
        <v>Feb-2024</v>
      </c>
    </row>
    <row r="242" spans="1:18">
      <c r="A242">
        <v>20</v>
      </c>
      <c r="B242">
        <v>0</v>
      </c>
      <c r="C242">
        <v>2</v>
      </c>
      <c r="D242">
        <v>4</v>
      </c>
      <c r="E242">
        <v>5</v>
      </c>
      <c r="F242">
        <v>30.264841416715502</v>
      </c>
      <c r="G242">
        <v>1</v>
      </c>
      <c r="H242">
        <v>97</v>
      </c>
      <c r="I242">
        <v>19</v>
      </c>
      <c r="J242">
        <v>3</v>
      </c>
      <c r="K242">
        <v>0</v>
      </c>
      <c r="L242" s="2">
        <f t="shared" si="18"/>
        <v>45292</v>
      </c>
      <c r="M242" s="2">
        <f t="shared" ca="1" si="19"/>
        <v>45322</v>
      </c>
      <c r="N242" s="2" t="str">
        <f t="shared" ca="1" si="20"/>
        <v>N/A</v>
      </c>
      <c r="O242" s="3">
        <f t="shared" ca="1" si="21"/>
        <v>30</v>
      </c>
      <c r="P242" s="3" t="str">
        <f t="shared" ca="1" si="22"/>
        <v>N/A</v>
      </c>
      <c r="Q242" s="1" t="str">
        <f>IF(K242=1,"Joined",IF(H242&gt;=70,"Dropped at Offer",IF(H242&gt;=50,"Dropped at Interview","Dropped at Screening")))</f>
        <v>Dropped at Offer</v>
      </c>
      <c r="R242" s="1" t="str">
        <f t="shared" ca="1" si="23"/>
        <v>Jan-2024</v>
      </c>
    </row>
    <row r="243" spans="1:18">
      <c r="A243">
        <v>44</v>
      </c>
      <c r="B243">
        <v>1</v>
      </c>
      <c r="C243">
        <v>3</v>
      </c>
      <c r="D243">
        <v>8</v>
      </c>
      <c r="E243">
        <v>1</v>
      </c>
      <c r="F243">
        <v>13.820651384947</v>
      </c>
      <c r="G243">
        <v>14</v>
      </c>
      <c r="H243">
        <v>18</v>
      </c>
      <c r="I243">
        <v>14</v>
      </c>
      <c r="J243">
        <v>3</v>
      </c>
      <c r="K243">
        <v>0</v>
      </c>
      <c r="L243" s="2">
        <f t="shared" si="18"/>
        <v>45292</v>
      </c>
      <c r="M243" s="2">
        <f t="shared" ca="1" si="19"/>
        <v>45335</v>
      </c>
      <c r="N243" s="2" t="str">
        <f t="shared" ca="1" si="20"/>
        <v>N/A</v>
      </c>
      <c r="O243" s="3">
        <f t="shared" ca="1" si="21"/>
        <v>43</v>
      </c>
      <c r="P243" s="3" t="str">
        <f t="shared" ca="1" si="22"/>
        <v>N/A</v>
      </c>
      <c r="Q243" s="1" t="str">
        <f>IF(K243=1,"Joined",IF(H243&gt;=70,"Dropped at Offer",IF(H243&gt;=50,"Dropped at Interview","Dropped at Screening")))</f>
        <v>Dropped at Screening</v>
      </c>
      <c r="R243" s="1" t="str">
        <f t="shared" ca="1" si="23"/>
        <v>Feb-2024</v>
      </c>
    </row>
    <row r="244" spans="1:18">
      <c r="A244">
        <v>46</v>
      </c>
      <c r="B244">
        <v>1</v>
      </c>
      <c r="C244">
        <v>2</v>
      </c>
      <c r="D244">
        <v>1</v>
      </c>
      <c r="E244">
        <v>4</v>
      </c>
      <c r="F244">
        <v>47.698898707225901</v>
      </c>
      <c r="G244">
        <v>2</v>
      </c>
      <c r="H244">
        <v>83</v>
      </c>
      <c r="I244">
        <v>68</v>
      </c>
      <c r="J244">
        <v>2</v>
      </c>
      <c r="K244">
        <v>0</v>
      </c>
      <c r="L244" s="2">
        <f t="shared" si="18"/>
        <v>45292</v>
      </c>
      <c r="M244" s="2">
        <f t="shared" ca="1" si="19"/>
        <v>45329</v>
      </c>
      <c r="N244" s="2" t="str">
        <f t="shared" ca="1" si="20"/>
        <v>N/A</v>
      </c>
      <c r="O244" s="3">
        <f t="shared" ca="1" si="21"/>
        <v>37</v>
      </c>
      <c r="P244" s="3" t="str">
        <f t="shared" ca="1" si="22"/>
        <v>N/A</v>
      </c>
      <c r="Q244" s="1" t="str">
        <f>IF(K244=1,"Joined",IF(H244&gt;=70,"Dropped at Offer",IF(H244&gt;=50,"Dropped at Interview","Dropped at Screening")))</f>
        <v>Dropped at Offer</v>
      </c>
      <c r="R244" s="1" t="str">
        <f t="shared" ca="1" si="23"/>
        <v>Feb-2024</v>
      </c>
    </row>
    <row r="245" spans="1:18">
      <c r="A245">
        <v>49</v>
      </c>
      <c r="B245">
        <v>0</v>
      </c>
      <c r="C245">
        <v>3</v>
      </c>
      <c r="D245">
        <v>7</v>
      </c>
      <c r="E245">
        <v>5</v>
      </c>
      <c r="F245">
        <v>7.5529315402145096</v>
      </c>
      <c r="G245">
        <v>42</v>
      </c>
      <c r="H245">
        <v>55</v>
      </c>
      <c r="I245">
        <v>76</v>
      </c>
      <c r="J245">
        <v>1</v>
      </c>
      <c r="K245">
        <v>1</v>
      </c>
      <c r="L245" s="2">
        <f t="shared" si="18"/>
        <v>45292</v>
      </c>
      <c r="M245" s="2">
        <f t="shared" ca="1" si="19"/>
        <v>45334</v>
      </c>
      <c r="N245" s="2">
        <f t="shared" ca="1" si="20"/>
        <v>45355</v>
      </c>
      <c r="O245" s="3">
        <f t="shared" ca="1" si="21"/>
        <v>42</v>
      </c>
      <c r="P245" s="3">
        <f t="shared" ca="1" si="22"/>
        <v>21</v>
      </c>
      <c r="Q245" s="1" t="str">
        <f>IF(K245=1,"Joined",IF(H245&gt;=70,"Dropped at Offer",IF(H245&gt;=50,"Dropped at Interview","Dropped at Screening")))</f>
        <v>Joined</v>
      </c>
      <c r="R245" s="1" t="str">
        <f t="shared" ca="1" si="23"/>
        <v>Feb-2024</v>
      </c>
    </row>
    <row r="246" spans="1:18">
      <c r="A246">
        <v>44</v>
      </c>
      <c r="B246">
        <v>1</v>
      </c>
      <c r="C246">
        <v>2</v>
      </c>
      <c r="D246">
        <v>10</v>
      </c>
      <c r="E246">
        <v>5</v>
      </c>
      <c r="F246">
        <v>40.869717895388902</v>
      </c>
      <c r="G246">
        <v>30</v>
      </c>
      <c r="H246">
        <v>13</v>
      </c>
      <c r="I246">
        <v>50</v>
      </c>
      <c r="J246">
        <v>2</v>
      </c>
      <c r="K246">
        <v>0</v>
      </c>
      <c r="L246" s="2">
        <f t="shared" si="18"/>
        <v>45292</v>
      </c>
      <c r="M246" s="2">
        <f t="shared" ca="1" si="19"/>
        <v>45312</v>
      </c>
      <c r="N246" s="2" t="str">
        <f t="shared" ca="1" si="20"/>
        <v>N/A</v>
      </c>
      <c r="O246" s="3">
        <f t="shared" ca="1" si="21"/>
        <v>20</v>
      </c>
      <c r="P246" s="3" t="str">
        <f t="shared" ca="1" si="22"/>
        <v>N/A</v>
      </c>
      <c r="Q246" s="1" t="str">
        <f>IF(K246=1,"Joined",IF(H246&gt;=70,"Dropped at Offer",IF(H246&gt;=50,"Dropped at Interview","Dropped at Screening")))</f>
        <v>Dropped at Screening</v>
      </c>
      <c r="R246" s="1" t="str">
        <f t="shared" ca="1" si="23"/>
        <v>Jan-2024</v>
      </c>
    </row>
    <row r="247" spans="1:18">
      <c r="A247">
        <v>39</v>
      </c>
      <c r="B247">
        <v>0</v>
      </c>
      <c r="C247">
        <v>4</v>
      </c>
      <c r="D247">
        <v>4</v>
      </c>
      <c r="E247">
        <v>2</v>
      </c>
      <c r="F247">
        <v>26.397434595320401</v>
      </c>
      <c r="G247">
        <v>69</v>
      </c>
      <c r="H247">
        <v>32</v>
      </c>
      <c r="I247">
        <v>75</v>
      </c>
      <c r="J247">
        <v>2</v>
      </c>
      <c r="K247">
        <v>0</v>
      </c>
      <c r="L247" s="2">
        <f t="shared" si="18"/>
        <v>45292</v>
      </c>
      <c r="M247" s="2">
        <f t="shared" ca="1" si="19"/>
        <v>45306</v>
      </c>
      <c r="N247" s="2" t="str">
        <f t="shared" ca="1" si="20"/>
        <v>N/A</v>
      </c>
      <c r="O247" s="3">
        <f t="shared" ca="1" si="21"/>
        <v>14</v>
      </c>
      <c r="P247" s="3" t="str">
        <f t="shared" ca="1" si="22"/>
        <v>N/A</v>
      </c>
      <c r="Q247" s="1" t="str">
        <f>IF(K247=1,"Joined",IF(H247&gt;=70,"Dropped at Offer",IF(H247&gt;=50,"Dropped at Interview","Dropped at Screening")))</f>
        <v>Dropped at Screening</v>
      </c>
      <c r="R247" s="1" t="str">
        <f t="shared" ca="1" si="23"/>
        <v>Jan-2024</v>
      </c>
    </row>
    <row r="248" spans="1:18">
      <c r="A248">
        <v>32</v>
      </c>
      <c r="B248">
        <v>0</v>
      </c>
      <c r="C248">
        <v>1</v>
      </c>
      <c r="D248">
        <v>1</v>
      </c>
      <c r="E248">
        <v>4</v>
      </c>
      <c r="F248">
        <v>38.516538790997799</v>
      </c>
      <c r="G248">
        <v>66</v>
      </c>
      <c r="H248">
        <v>9</v>
      </c>
      <c r="I248">
        <v>61</v>
      </c>
      <c r="J248">
        <v>1</v>
      </c>
      <c r="K248">
        <v>0</v>
      </c>
      <c r="L248" s="2">
        <f t="shared" si="18"/>
        <v>45292</v>
      </c>
      <c r="M248" s="2">
        <f t="shared" ca="1" si="19"/>
        <v>45307</v>
      </c>
      <c r="N248" s="2" t="str">
        <f t="shared" ca="1" si="20"/>
        <v>N/A</v>
      </c>
      <c r="O248" s="3">
        <f t="shared" ca="1" si="21"/>
        <v>15</v>
      </c>
      <c r="P248" s="3" t="str">
        <f t="shared" ca="1" si="22"/>
        <v>N/A</v>
      </c>
      <c r="Q248" s="1" t="str">
        <f>IF(K248=1,"Joined",IF(H248&gt;=70,"Dropped at Offer",IF(H248&gt;=50,"Dropped at Interview","Dropped at Screening")))</f>
        <v>Dropped at Screening</v>
      </c>
      <c r="R248" s="1" t="str">
        <f t="shared" ca="1" si="23"/>
        <v>Jan-2024</v>
      </c>
    </row>
    <row r="249" spans="1:18">
      <c r="A249">
        <v>28</v>
      </c>
      <c r="B249">
        <v>0</v>
      </c>
      <c r="C249">
        <v>1</v>
      </c>
      <c r="D249">
        <v>12</v>
      </c>
      <c r="E249">
        <v>4</v>
      </c>
      <c r="F249">
        <v>16.535766415572301</v>
      </c>
      <c r="G249">
        <v>55</v>
      </c>
      <c r="H249">
        <v>79</v>
      </c>
      <c r="I249">
        <v>84</v>
      </c>
      <c r="J249">
        <v>2</v>
      </c>
      <c r="K249">
        <v>0</v>
      </c>
      <c r="L249" s="2">
        <f t="shared" si="18"/>
        <v>45292</v>
      </c>
      <c r="M249" s="2">
        <f t="shared" ca="1" si="19"/>
        <v>45333</v>
      </c>
      <c r="N249" s="2" t="str">
        <f t="shared" ca="1" si="20"/>
        <v>N/A</v>
      </c>
      <c r="O249" s="3">
        <f t="shared" ca="1" si="21"/>
        <v>41</v>
      </c>
      <c r="P249" s="3" t="str">
        <f t="shared" ca="1" si="22"/>
        <v>N/A</v>
      </c>
      <c r="Q249" s="1" t="str">
        <f>IF(K249=1,"Joined",IF(H249&gt;=70,"Dropped at Offer",IF(H249&gt;=50,"Dropped at Interview","Dropped at Screening")))</f>
        <v>Dropped at Offer</v>
      </c>
      <c r="R249" s="1" t="str">
        <f t="shared" ca="1" si="23"/>
        <v>Feb-2024</v>
      </c>
    </row>
    <row r="250" spans="1:18">
      <c r="A250">
        <v>22</v>
      </c>
      <c r="B250">
        <v>0</v>
      </c>
      <c r="C250">
        <v>2</v>
      </c>
      <c r="D250">
        <v>9</v>
      </c>
      <c r="E250">
        <v>5</v>
      </c>
      <c r="F250">
        <v>26.724480115601899</v>
      </c>
      <c r="G250">
        <v>62</v>
      </c>
      <c r="H250">
        <v>63</v>
      </c>
      <c r="I250">
        <v>36</v>
      </c>
      <c r="J250">
        <v>3</v>
      </c>
      <c r="K250">
        <v>0</v>
      </c>
      <c r="L250" s="2">
        <f t="shared" si="18"/>
        <v>45292</v>
      </c>
      <c r="M250" s="2">
        <f t="shared" ca="1" si="19"/>
        <v>45317</v>
      </c>
      <c r="N250" s="2" t="str">
        <f t="shared" ca="1" si="20"/>
        <v>N/A</v>
      </c>
      <c r="O250" s="3">
        <f t="shared" ca="1" si="21"/>
        <v>25</v>
      </c>
      <c r="P250" s="3" t="str">
        <f t="shared" ca="1" si="22"/>
        <v>N/A</v>
      </c>
      <c r="Q250" s="1" t="str">
        <f>IF(K250=1,"Joined",IF(H250&gt;=70,"Dropped at Offer",IF(H250&gt;=50,"Dropped at Interview","Dropped at Screening")))</f>
        <v>Dropped at Interview</v>
      </c>
      <c r="R250" s="1" t="str">
        <f t="shared" ca="1" si="23"/>
        <v>Jan-2024</v>
      </c>
    </row>
    <row r="251" spans="1:18">
      <c r="A251">
        <v>26</v>
      </c>
      <c r="B251">
        <v>0</v>
      </c>
      <c r="C251">
        <v>4</v>
      </c>
      <c r="D251">
        <v>10</v>
      </c>
      <c r="E251">
        <v>4</v>
      </c>
      <c r="F251">
        <v>43.841767486158801</v>
      </c>
      <c r="G251">
        <v>74</v>
      </c>
      <c r="H251">
        <v>63</v>
      </c>
      <c r="I251">
        <v>5</v>
      </c>
      <c r="J251">
        <v>2</v>
      </c>
      <c r="K251">
        <v>1</v>
      </c>
      <c r="L251" s="2">
        <f t="shared" si="18"/>
        <v>45292</v>
      </c>
      <c r="M251" s="2">
        <f t="shared" ca="1" si="19"/>
        <v>45326</v>
      </c>
      <c r="N251" s="2">
        <f t="shared" ca="1" si="20"/>
        <v>45338</v>
      </c>
      <c r="O251" s="3">
        <f t="shared" ca="1" si="21"/>
        <v>34</v>
      </c>
      <c r="P251" s="3">
        <f t="shared" ca="1" si="22"/>
        <v>12</v>
      </c>
      <c r="Q251" s="1" t="str">
        <f>IF(K251=1,"Joined",IF(H251&gt;=70,"Dropped at Offer",IF(H251&gt;=50,"Dropped at Interview","Dropped at Screening")))</f>
        <v>Joined</v>
      </c>
      <c r="R251" s="1" t="str">
        <f t="shared" ca="1" si="23"/>
        <v>Feb-2024</v>
      </c>
    </row>
    <row r="252" spans="1:18">
      <c r="A252">
        <v>25</v>
      </c>
      <c r="B252">
        <v>1</v>
      </c>
      <c r="C252">
        <v>3</v>
      </c>
      <c r="D252">
        <v>10</v>
      </c>
      <c r="E252">
        <v>5</v>
      </c>
      <c r="F252">
        <v>24.3439049561552</v>
      </c>
      <c r="G252">
        <v>14</v>
      </c>
      <c r="H252">
        <v>61</v>
      </c>
      <c r="I252">
        <v>70</v>
      </c>
      <c r="J252">
        <v>2</v>
      </c>
      <c r="K252">
        <v>1</v>
      </c>
      <c r="L252" s="2">
        <f t="shared" si="18"/>
        <v>45292</v>
      </c>
      <c r="M252" s="2">
        <f t="shared" ca="1" si="19"/>
        <v>45330</v>
      </c>
      <c r="N252" s="2">
        <f t="shared" ca="1" si="20"/>
        <v>45355</v>
      </c>
      <c r="O252" s="3">
        <f t="shared" ca="1" si="21"/>
        <v>38</v>
      </c>
      <c r="P252" s="3">
        <f t="shared" ca="1" si="22"/>
        <v>25</v>
      </c>
      <c r="Q252" s="1" t="str">
        <f>IF(K252=1,"Joined",IF(H252&gt;=70,"Dropped at Offer",IF(H252&gt;=50,"Dropped at Interview","Dropped at Screening")))</f>
        <v>Joined</v>
      </c>
      <c r="R252" s="1" t="str">
        <f t="shared" ca="1" si="23"/>
        <v>Feb-2024</v>
      </c>
    </row>
    <row r="253" spans="1:18">
      <c r="A253">
        <v>27</v>
      </c>
      <c r="B253">
        <v>0</v>
      </c>
      <c r="C253">
        <v>1</v>
      </c>
      <c r="D253">
        <v>11</v>
      </c>
      <c r="E253">
        <v>2</v>
      </c>
      <c r="F253">
        <v>18.9859930955134</v>
      </c>
      <c r="G253">
        <v>91</v>
      </c>
      <c r="H253">
        <v>67</v>
      </c>
      <c r="I253">
        <v>25</v>
      </c>
      <c r="J253">
        <v>3</v>
      </c>
      <c r="K253">
        <v>0</v>
      </c>
      <c r="L253" s="2">
        <f t="shared" si="18"/>
        <v>45292</v>
      </c>
      <c r="M253" s="2">
        <f t="shared" ca="1" si="19"/>
        <v>45336</v>
      </c>
      <c r="N253" s="2" t="str">
        <f t="shared" ca="1" si="20"/>
        <v>N/A</v>
      </c>
      <c r="O253" s="3">
        <f t="shared" ca="1" si="21"/>
        <v>44</v>
      </c>
      <c r="P253" s="3" t="str">
        <f t="shared" ca="1" si="22"/>
        <v>N/A</v>
      </c>
      <c r="Q253" s="1" t="str">
        <f>IF(K253=1,"Joined",IF(H253&gt;=70,"Dropped at Offer",IF(H253&gt;=50,"Dropped at Interview","Dropped at Screening")))</f>
        <v>Dropped at Interview</v>
      </c>
      <c r="R253" s="1" t="str">
        <f t="shared" ca="1" si="23"/>
        <v>Feb-2024</v>
      </c>
    </row>
    <row r="254" spans="1:18">
      <c r="A254">
        <v>46</v>
      </c>
      <c r="B254">
        <v>0</v>
      </c>
      <c r="C254">
        <v>2</v>
      </c>
      <c r="D254">
        <v>5</v>
      </c>
      <c r="E254">
        <v>5</v>
      </c>
      <c r="F254">
        <v>27.8077693126368</v>
      </c>
      <c r="G254">
        <v>9</v>
      </c>
      <c r="H254">
        <v>90</v>
      </c>
      <c r="I254">
        <v>7</v>
      </c>
      <c r="J254">
        <v>1</v>
      </c>
      <c r="K254">
        <v>0</v>
      </c>
      <c r="L254" s="2">
        <f t="shared" si="18"/>
        <v>45292</v>
      </c>
      <c r="M254" s="2">
        <f t="shared" ca="1" si="19"/>
        <v>45319</v>
      </c>
      <c r="N254" s="2" t="str">
        <f t="shared" ca="1" si="20"/>
        <v>N/A</v>
      </c>
      <c r="O254" s="3">
        <f t="shared" ca="1" si="21"/>
        <v>27</v>
      </c>
      <c r="P254" s="3" t="str">
        <f t="shared" ca="1" si="22"/>
        <v>N/A</v>
      </c>
      <c r="Q254" s="1" t="str">
        <f>IF(K254=1,"Joined",IF(H254&gt;=70,"Dropped at Offer",IF(H254&gt;=50,"Dropped at Interview","Dropped at Screening")))</f>
        <v>Dropped at Offer</v>
      </c>
      <c r="R254" s="1" t="str">
        <f t="shared" ca="1" si="23"/>
        <v>Jan-2024</v>
      </c>
    </row>
    <row r="255" spans="1:18">
      <c r="A255">
        <v>28</v>
      </c>
      <c r="B255">
        <v>1</v>
      </c>
      <c r="C255">
        <v>4</v>
      </c>
      <c r="D255">
        <v>9</v>
      </c>
      <c r="E255">
        <v>4</v>
      </c>
      <c r="F255">
        <v>36.868137651818301</v>
      </c>
      <c r="G255">
        <v>37</v>
      </c>
      <c r="H255">
        <v>91</v>
      </c>
      <c r="I255">
        <v>72</v>
      </c>
      <c r="J255">
        <v>1</v>
      </c>
      <c r="K255">
        <v>1</v>
      </c>
      <c r="L255" s="2">
        <f t="shared" si="18"/>
        <v>45292</v>
      </c>
      <c r="M255" s="2">
        <f t="shared" ca="1" si="19"/>
        <v>45327</v>
      </c>
      <c r="N255" s="2">
        <f t="shared" ca="1" si="20"/>
        <v>45338</v>
      </c>
      <c r="O255" s="3">
        <f t="shared" ca="1" si="21"/>
        <v>35</v>
      </c>
      <c r="P255" s="3">
        <f t="shared" ca="1" si="22"/>
        <v>11</v>
      </c>
      <c r="Q255" s="1" t="str">
        <f>IF(K255=1,"Joined",IF(H255&gt;=70,"Dropped at Offer",IF(H255&gt;=50,"Dropped at Interview","Dropped at Screening")))</f>
        <v>Joined</v>
      </c>
      <c r="R255" s="1" t="str">
        <f t="shared" ca="1" si="23"/>
        <v>Feb-2024</v>
      </c>
    </row>
    <row r="256" spans="1:18">
      <c r="A256">
        <v>49</v>
      </c>
      <c r="B256">
        <v>0</v>
      </c>
      <c r="C256">
        <v>2</v>
      </c>
      <c r="D256">
        <v>7</v>
      </c>
      <c r="E256">
        <v>4</v>
      </c>
      <c r="F256">
        <v>23.178167274925102</v>
      </c>
      <c r="G256">
        <v>46</v>
      </c>
      <c r="H256">
        <v>42</v>
      </c>
      <c r="I256">
        <v>90</v>
      </c>
      <c r="J256">
        <v>2</v>
      </c>
      <c r="K256">
        <v>0</v>
      </c>
      <c r="L256" s="2">
        <f t="shared" si="18"/>
        <v>45292</v>
      </c>
      <c r="M256" s="2">
        <f t="shared" ca="1" si="19"/>
        <v>45323</v>
      </c>
      <c r="N256" s="2" t="str">
        <f t="shared" ca="1" si="20"/>
        <v>N/A</v>
      </c>
      <c r="O256" s="3">
        <f t="shared" ca="1" si="21"/>
        <v>31</v>
      </c>
      <c r="P256" s="3" t="str">
        <f t="shared" ca="1" si="22"/>
        <v>N/A</v>
      </c>
      <c r="Q256" s="1" t="str">
        <f>IF(K256=1,"Joined",IF(H256&gt;=70,"Dropped at Offer",IF(H256&gt;=50,"Dropped at Interview","Dropped at Screening")))</f>
        <v>Dropped at Screening</v>
      </c>
      <c r="R256" s="1" t="str">
        <f t="shared" ca="1" si="23"/>
        <v>Feb-2024</v>
      </c>
    </row>
    <row r="257" spans="1:18">
      <c r="A257">
        <v>24</v>
      </c>
      <c r="B257">
        <v>1</v>
      </c>
      <c r="C257">
        <v>3</v>
      </c>
      <c r="D257">
        <v>3</v>
      </c>
      <c r="E257">
        <v>5</v>
      </c>
      <c r="F257">
        <v>47.943848757113599</v>
      </c>
      <c r="G257">
        <v>56</v>
      </c>
      <c r="H257">
        <v>79</v>
      </c>
      <c r="I257">
        <v>3</v>
      </c>
      <c r="J257">
        <v>2</v>
      </c>
      <c r="K257">
        <v>0</v>
      </c>
      <c r="L257" s="2">
        <f t="shared" si="18"/>
        <v>45292</v>
      </c>
      <c r="M257" s="2">
        <f t="shared" ca="1" si="19"/>
        <v>45310</v>
      </c>
      <c r="N257" s="2" t="str">
        <f t="shared" ca="1" si="20"/>
        <v>N/A</v>
      </c>
      <c r="O257" s="3">
        <f t="shared" ca="1" si="21"/>
        <v>18</v>
      </c>
      <c r="P257" s="3" t="str">
        <f t="shared" ca="1" si="22"/>
        <v>N/A</v>
      </c>
      <c r="Q257" s="1" t="str">
        <f>IF(K257=1,"Joined",IF(H257&gt;=70,"Dropped at Offer",IF(H257&gt;=50,"Dropped at Interview","Dropped at Screening")))</f>
        <v>Dropped at Offer</v>
      </c>
      <c r="R257" s="1" t="str">
        <f t="shared" ca="1" si="23"/>
        <v>Jan-2024</v>
      </c>
    </row>
    <row r="258" spans="1:18">
      <c r="A258">
        <v>20</v>
      </c>
      <c r="B258">
        <v>1</v>
      </c>
      <c r="C258">
        <v>3</v>
      </c>
      <c r="D258">
        <v>1</v>
      </c>
      <c r="E258">
        <v>5</v>
      </c>
      <c r="F258">
        <v>15.747291202117101</v>
      </c>
      <c r="G258">
        <v>49</v>
      </c>
      <c r="H258">
        <v>58</v>
      </c>
      <c r="I258">
        <v>20</v>
      </c>
      <c r="J258">
        <v>2</v>
      </c>
      <c r="K258">
        <v>0</v>
      </c>
      <c r="L258" s="2">
        <f t="shared" ref="L258:L321" si="24">DATE(2024,1,1)</f>
        <v>45292</v>
      </c>
      <c r="M258" s="2">
        <f t="shared" ref="M258:M321" ca="1" si="25">L258+RANDBETWEEN(14,45)</f>
        <v>45334</v>
      </c>
      <c r="N258" s="2" t="str">
        <f t="shared" ref="N258:N321" ca="1" si="26">IF(K258=1, M258+RANDBETWEEN(7,30), "N/A")</f>
        <v>N/A</v>
      </c>
      <c r="O258" s="3">
        <f t="shared" ref="O258:O321" ca="1" si="27">IF(AND(M258&lt;&gt;"",L258&lt;&gt;""), M258-L258, "N/A")</f>
        <v>42</v>
      </c>
      <c r="P258" s="3" t="str">
        <f t="shared" ref="P258:Q321" ca="1" si="28">IF(AND(K258=1, N258&lt;&gt;"", M258&lt;&gt;""), N258 - M258, "N/A")</f>
        <v>N/A</v>
      </c>
      <c r="Q258" s="1" t="str">
        <f>IF(K258=1,"Joined",IF(H258&gt;=70,"Dropped at Offer",IF(H258&gt;=50,"Dropped at Interview","Dropped at Screening")))</f>
        <v>Dropped at Interview</v>
      </c>
      <c r="R258" s="1" t="str">
        <f t="shared" ref="R258:R321" ca="1" si="29">TEXT(M258,"MMM-YYYY")</f>
        <v>Feb-2024</v>
      </c>
    </row>
    <row r="259" spans="1:18">
      <c r="A259">
        <v>38</v>
      </c>
      <c r="B259">
        <v>1</v>
      </c>
      <c r="C259">
        <v>2</v>
      </c>
      <c r="D259">
        <v>11</v>
      </c>
      <c r="E259">
        <v>5</v>
      </c>
      <c r="F259">
        <v>24.773180308455998</v>
      </c>
      <c r="G259">
        <v>70</v>
      </c>
      <c r="H259">
        <v>51</v>
      </c>
      <c r="I259">
        <v>30</v>
      </c>
      <c r="J259">
        <v>1</v>
      </c>
      <c r="K259">
        <v>1</v>
      </c>
      <c r="L259" s="2">
        <f t="shared" si="24"/>
        <v>45292</v>
      </c>
      <c r="M259" s="2">
        <f t="shared" ca="1" si="25"/>
        <v>45320</v>
      </c>
      <c r="N259" s="2">
        <f t="shared" ca="1" si="26"/>
        <v>45336</v>
      </c>
      <c r="O259" s="3">
        <f t="shared" ca="1" si="27"/>
        <v>28</v>
      </c>
      <c r="P259" s="3">
        <f t="shared" ca="1" si="28"/>
        <v>16</v>
      </c>
      <c r="Q259" s="1" t="str">
        <f>IF(K259=1,"Joined",IF(H259&gt;=70,"Dropped at Offer",IF(H259&gt;=50,"Dropped at Interview","Dropped at Screening")))</f>
        <v>Joined</v>
      </c>
      <c r="R259" s="1" t="str">
        <f t="shared" ca="1" si="29"/>
        <v>Jan-2024</v>
      </c>
    </row>
    <row r="260" spans="1:18">
      <c r="A260">
        <v>29</v>
      </c>
      <c r="B260">
        <v>0</v>
      </c>
      <c r="C260">
        <v>2</v>
      </c>
      <c r="D260">
        <v>10</v>
      </c>
      <c r="E260">
        <v>3</v>
      </c>
      <c r="F260">
        <v>38.846382967072003</v>
      </c>
      <c r="G260">
        <v>14</v>
      </c>
      <c r="H260">
        <v>96</v>
      </c>
      <c r="I260">
        <v>20</v>
      </c>
      <c r="J260">
        <v>1</v>
      </c>
      <c r="K260">
        <v>1</v>
      </c>
      <c r="L260" s="2">
        <f t="shared" si="24"/>
        <v>45292</v>
      </c>
      <c r="M260" s="2">
        <f t="shared" ca="1" si="25"/>
        <v>45334</v>
      </c>
      <c r="N260" s="2">
        <f t="shared" ca="1" si="26"/>
        <v>45353</v>
      </c>
      <c r="O260" s="3">
        <f t="shared" ca="1" si="27"/>
        <v>42</v>
      </c>
      <c r="P260" s="3">
        <f t="shared" ca="1" si="28"/>
        <v>19</v>
      </c>
      <c r="Q260" s="1" t="str">
        <f>IF(K260=1,"Joined",IF(H260&gt;=70,"Dropped at Offer",IF(H260&gt;=50,"Dropped at Interview","Dropped at Screening")))</f>
        <v>Joined</v>
      </c>
      <c r="R260" s="1" t="str">
        <f t="shared" ca="1" si="29"/>
        <v>Feb-2024</v>
      </c>
    </row>
    <row r="261" spans="1:18">
      <c r="A261">
        <v>31</v>
      </c>
      <c r="B261">
        <v>0</v>
      </c>
      <c r="C261">
        <v>2</v>
      </c>
      <c r="D261">
        <v>4</v>
      </c>
      <c r="E261">
        <v>4</v>
      </c>
      <c r="F261">
        <v>35.456054524787902</v>
      </c>
      <c r="G261">
        <v>17</v>
      </c>
      <c r="H261">
        <v>18</v>
      </c>
      <c r="I261">
        <v>24</v>
      </c>
      <c r="J261">
        <v>1</v>
      </c>
      <c r="K261">
        <v>0</v>
      </c>
      <c r="L261" s="2">
        <f t="shared" si="24"/>
        <v>45292</v>
      </c>
      <c r="M261" s="2">
        <f t="shared" ca="1" si="25"/>
        <v>45316</v>
      </c>
      <c r="N261" s="2" t="str">
        <f t="shared" ca="1" si="26"/>
        <v>N/A</v>
      </c>
      <c r="O261" s="3">
        <f t="shared" ca="1" si="27"/>
        <v>24</v>
      </c>
      <c r="P261" s="3" t="str">
        <f t="shared" ca="1" si="28"/>
        <v>N/A</v>
      </c>
      <c r="Q261" s="1" t="str">
        <f>IF(K261=1,"Joined",IF(H261&gt;=70,"Dropped at Offer",IF(H261&gt;=50,"Dropped at Interview","Dropped at Screening")))</f>
        <v>Dropped at Screening</v>
      </c>
      <c r="R261" s="1" t="str">
        <f t="shared" ca="1" si="29"/>
        <v>Jan-2024</v>
      </c>
    </row>
    <row r="262" spans="1:18">
      <c r="A262">
        <v>43</v>
      </c>
      <c r="B262">
        <v>0</v>
      </c>
      <c r="C262">
        <v>2</v>
      </c>
      <c r="D262">
        <v>14</v>
      </c>
      <c r="E262">
        <v>4</v>
      </c>
      <c r="F262">
        <v>44.182052620857803</v>
      </c>
      <c r="G262">
        <v>81</v>
      </c>
      <c r="H262">
        <v>20</v>
      </c>
      <c r="I262">
        <v>14</v>
      </c>
      <c r="J262">
        <v>3</v>
      </c>
      <c r="K262">
        <v>0</v>
      </c>
      <c r="L262" s="2">
        <f t="shared" si="24"/>
        <v>45292</v>
      </c>
      <c r="M262" s="2">
        <f t="shared" ca="1" si="25"/>
        <v>45337</v>
      </c>
      <c r="N262" s="2" t="str">
        <f t="shared" ca="1" si="26"/>
        <v>N/A</v>
      </c>
      <c r="O262" s="3">
        <f t="shared" ca="1" si="27"/>
        <v>45</v>
      </c>
      <c r="P262" s="3" t="str">
        <f t="shared" ca="1" si="28"/>
        <v>N/A</v>
      </c>
      <c r="Q262" s="1" t="str">
        <f>IF(K262=1,"Joined",IF(H262&gt;=70,"Dropped at Offer",IF(H262&gt;=50,"Dropped at Interview","Dropped at Screening")))</f>
        <v>Dropped at Screening</v>
      </c>
      <c r="R262" s="1" t="str">
        <f t="shared" ca="1" si="29"/>
        <v>Feb-2024</v>
      </c>
    </row>
    <row r="263" spans="1:18">
      <c r="A263">
        <v>34</v>
      </c>
      <c r="B263">
        <v>1</v>
      </c>
      <c r="C263">
        <v>3</v>
      </c>
      <c r="D263">
        <v>11</v>
      </c>
      <c r="E263">
        <v>3</v>
      </c>
      <c r="F263">
        <v>50.840459034055399</v>
      </c>
      <c r="G263">
        <v>87</v>
      </c>
      <c r="H263">
        <v>21</v>
      </c>
      <c r="I263">
        <v>34</v>
      </c>
      <c r="J263">
        <v>2</v>
      </c>
      <c r="K263">
        <v>0</v>
      </c>
      <c r="L263" s="2">
        <f t="shared" si="24"/>
        <v>45292</v>
      </c>
      <c r="M263" s="2">
        <f t="shared" ca="1" si="25"/>
        <v>45329</v>
      </c>
      <c r="N263" s="2" t="str">
        <f t="shared" ca="1" si="26"/>
        <v>N/A</v>
      </c>
      <c r="O263" s="3">
        <f t="shared" ca="1" si="27"/>
        <v>37</v>
      </c>
      <c r="P263" s="3" t="str">
        <f t="shared" ca="1" si="28"/>
        <v>N/A</v>
      </c>
      <c r="Q263" s="1" t="str">
        <f>IF(K263=1,"Joined",IF(H263&gt;=70,"Dropped at Offer",IF(H263&gt;=50,"Dropped at Interview","Dropped at Screening")))</f>
        <v>Dropped at Screening</v>
      </c>
      <c r="R263" s="1" t="str">
        <f t="shared" ca="1" si="29"/>
        <v>Feb-2024</v>
      </c>
    </row>
    <row r="264" spans="1:18">
      <c r="A264">
        <v>46</v>
      </c>
      <c r="B264">
        <v>0</v>
      </c>
      <c r="C264">
        <v>2</v>
      </c>
      <c r="D264">
        <v>1</v>
      </c>
      <c r="E264">
        <v>5</v>
      </c>
      <c r="F264">
        <v>22.342916439754401</v>
      </c>
      <c r="G264">
        <v>1</v>
      </c>
      <c r="H264">
        <v>8</v>
      </c>
      <c r="I264">
        <v>48</v>
      </c>
      <c r="J264">
        <v>2</v>
      </c>
      <c r="K264">
        <v>0</v>
      </c>
      <c r="L264" s="2">
        <f t="shared" si="24"/>
        <v>45292</v>
      </c>
      <c r="M264" s="2">
        <f t="shared" ca="1" si="25"/>
        <v>45324</v>
      </c>
      <c r="N264" s="2" t="str">
        <f t="shared" ca="1" si="26"/>
        <v>N/A</v>
      </c>
      <c r="O264" s="3">
        <f t="shared" ca="1" si="27"/>
        <v>32</v>
      </c>
      <c r="P264" s="3" t="str">
        <f t="shared" ca="1" si="28"/>
        <v>N/A</v>
      </c>
      <c r="Q264" s="1" t="str">
        <f>IF(K264=1,"Joined",IF(H264&gt;=70,"Dropped at Offer",IF(H264&gt;=50,"Dropped at Interview","Dropped at Screening")))</f>
        <v>Dropped at Screening</v>
      </c>
      <c r="R264" s="1" t="str">
        <f t="shared" ca="1" si="29"/>
        <v>Feb-2024</v>
      </c>
    </row>
    <row r="265" spans="1:18">
      <c r="A265">
        <v>41</v>
      </c>
      <c r="B265">
        <v>1</v>
      </c>
      <c r="C265">
        <v>3</v>
      </c>
      <c r="D265">
        <v>1</v>
      </c>
      <c r="E265">
        <v>2</v>
      </c>
      <c r="F265">
        <v>6.5575439891655902</v>
      </c>
      <c r="G265">
        <v>83</v>
      </c>
      <c r="H265">
        <v>8</v>
      </c>
      <c r="I265">
        <v>42</v>
      </c>
      <c r="J265">
        <v>1</v>
      </c>
      <c r="K265">
        <v>1</v>
      </c>
      <c r="L265" s="2">
        <f t="shared" si="24"/>
        <v>45292</v>
      </c>
      <c r="M265" s="2">
        <f t="shared" ca="1" si="25"/>
        <v>45336</v>
      </c>
      <c r="N265" s="2">
        <f t="shared" ca="1" si="26"/>
        <v>45343</v>
      </c>
      <c r="O265" s="3">
        <f t="shared" ca="1" si="27"/>
        <v>44</v>
      </c>
      <c r="P265" s="3">
        <f t="shared" ca="1" si="28"/>
        <v>7</v>
      </c>
      <c r="Q265" s="1" t="str">
        <f>IF(K265=1,"Joined",IF(H265&gt;=70,"Dropped at Offer",IF(H265&gt;=50,"Dropped at Interview","Dropped at Screening")))</f>
        <v>Joined</v>
      </c>
      <c r="R265" s="1" t="str">
        <f t="shared" ca="1" si="29"/>
        <v>Feb-2024</v>
      </c>
    </row>
    <row r="266" spans="1:18">
      <c r="A266">
        <v>43</v>
      </c>
      <c r="B266">
        <v>0</v>
      </c>
      <c r="C266">
        <v>1</v>
      </c>
      <c r="D266">
        <v>14</v>
      </c>
      <c r="E266">
        <v>5</v>
      </c>
      <c r="F266">
        <v>2.5207940403983899</v>
      </c>
      <c r="G266">
        <v>97</v>
      </c>
      <c r="H266">
        <v>72</v>
      </c>
      <c r="I266">
        <v>40</v>
      </c>
      <c r="J266">
        <v>1</v>
      </c>
      <c r="K266">
        <v>1</v>
      </c>
      <c r="L266" s="2">
        <f t="shared" si="24"/>
        <v>45292</v>
      </c>
      <c r="M266" s="2">
        <f t="shared" ca="1" si="25"/>
        <v>45312</v>
      </c>
      <c r="N266" s="2">
        <f t="shared" ca="1" si="26"/>
        <v>45333</v>
      </c>
      <c r="O266" s="3">
        <f t="shared" ca="1" si="27"/>
        <v>20</v>
      </c>
      <c r="P266" s="3">
        <f t="shared" ca="1" si="28"/>
        <v>21</v>
      </c>
      <c r="Q266" s="1" t="str">
        <f>IF(K266=1,"Joined",IF(H266&gt;=70,"Dropped at Offer",IF(H266&gt;=50,"Dropped at Interview","Dropped at Screening")))</f>
        <v>Joined</v>
      </c>
      <c r="R266" s="1" t="str">
        <f t="shared" ca="1" si="29"/>
        <v>Jan-2024</v>
      </c>
    </row>
    <row r="267" spans="1:18">
      <c r="A267">
        <v>28</v>
      </c>
      <c r="B267">
        <v>1</v>
      </c>
      <c r="C267">
        <v>4</v>
      </c>
      <c r="D267">
        <v>5</v>
      </c>
      <c r="E267">
        <v>5</v>
      </c>
      <c r="F267">
        <v>37.343845306988499</v>
      </c>
      <c r="G267">
        <v>42</v>
      </c>
      <c r="H267">
        <v>26</v>
      </c>
      <c r="I267">
        <v>36</v>
      </c>
      <c r="J267">
        <v>2</v>
      </c>
      <c r="K267">
        <v>0</v>
      </c>
      <c r="L267" s="2">
        <f t="shared" si="24"/>
        <v>45292</v>
      </c>
      <c r="M267" s="2">
        <f t="shared" ca="1" si="25"/>
        <v>45319</v>
      </c>
      <c r="N267" s="2" t="str">
        <f t="shared" ca="1" si="26"/>
        <v>N/A</v>
      </c>
      <c r="O267" s="3">
        <f t="shared" ca="1" si="27"/>
        <v>27</v>
      </c>
      <c r="P267" s="3" t="str">
        <f t="shared" ca="1" si="28"/>
        <v>N/A</v>
      </c>
      <c r="Q267" s="1" t="str">
        <f>IF(K267=1,"Joined",IF(H267&gt;=70,"Dropped at Offer",IF(H267&gt;=50,"Dropped at Interview","Dropped at Screening")))</f>
        <v>Dropped at Screening</v>
      </c>
      <c r="R267" s="1" t="str">
        <f t="shared" ca="1" si="29"/>
        <v>Jan-2024</v>
      </c>
    </row>
    <row r="268" spans="1:18">
      <c r="A268">
        <v>39</v>
      </c>
      <c r="B268">
        <v>0</v>
      </c>
      <c r="C268">
        <v>2</v>
      </c>
      <c r="D268">
        <v>15</v>
      </c>
      <c r="E268">
        <v>3</v>
      </c>
      <c r="F268">
        <v>44.700683565435703</v>
      </c>
      <c r="G268">
        <v>25</v>
      </c>
      <c r="H268">
        <v>16</v>
      </c>
      <c r="I268">
        <v>56</v>
      </c>
      <c r="J268">
        <v>1</v>
      </c>
      <c r="K268">
        <v>0</v>
      </c>
      <c r="L268" s="2">
        <f t="shared" si="24"/>
        <v>45292</v>
      </c>
      <c r="M268" s="2">
        <f t="shared" ca="1" si="25"/>
        <v>45319</v>
      </c>
      <c r="N268" s="2" t="str">
        <f t="shared" ca="1" si="26"/>
        <v>N/A</v>
      </c>
      <c r="O268" s="3">
        <f t="shared" ca="1" si="27"/>
        <v>27</v>
      </c>
      <c r="P268" s="3" t="str">
        <f t="shared" ca="1" si="28"/>
        <v>N/A</v>
      </c>
      <c r="Q268" s="1" t="str">
        <f>IF(K268=1,"Joined",IF(H268&gt;=70,"Dropped at Offer",IF(H268&gt;=50,"Dropped at Interview","Dropped at Screening")))</f>
        <v>Dropped at Screening</v>
      </c>
      <c r="R268" s="1" t="str">
        <f t="shared" ca="1" si="29"/>
        <v>Jan-2024</v>
      </c>
    </row>
    <row r="269" spans="1:18">
      <c r="A269">
        <v>36</v>
      </c>
      <c r="B269">
        <v>0</v>
      </c>
      <c r="C269">
        <v>1</v>
      </c>
      <c r="D269">
        <v>10</v>
      </c>
      <c r="E269">
        <v>4</v>
      </c>
      <c r="F269">
        <v>12.0356292972209</v>
      </c>
      <c r="G269">
        <v>70</v>
      </c>
      <c r="H269">
        <v>43</v>
      </c>
      <c r="I269">
        <v>41</v>
      </c>
      <c r="J269">
        <v>2</v>
      </c>
      <c r="K269">
        <v>0</v>
      </c>
      <c r="L269" s="2">
        <f t="shared" si="24"/>
        <v>45292</v>
      </c>
      <c r="M269" s="2">
        <f t="shared" ca="1" si="25"/>
        <v>45323</v>
      </c>
      <c r="N269" s="2" t="str">
        <f t="shared" ca="1" si="26"/>
        <v>N/A</v>
      </c>
      <c r="O269" s="3">
        <f t="shared" ca="1" si="27"/>
        <v>31</v>
      </c>
      <c r="P269" s="3" t="str">
        <f t="shared" ca="1" si="28"/>
        <v>N/A</v>
      </c>
      <c r="Q269" s="1" t="str">
        <f>IF(K269=1,"Joined",IF(H269&gt;=70,"Dropped at Offer",IF(H269&gt;=50,"Dropped at Interview","Dropped at Screening")))</f>
        <v>Dropped at Screening</v>
      </c>
      <c r="R269" s="1" t="str">
        <f t="shared" ca="1" si="29"/>
        <v>Feb-2024</v>
      </c>
    </row>
    <row r="270" spans="1:18">
      <c r="A270">
        <v>49</v>
      </c>
      <c r="B270">
        <v>0</v>
      </c>
      <c r="C270">
        <v>1</v>
      </c>
      <c r="D270">
        <v>9</v>
      </c>
      <c r="E270">
        <v>5</v>
      </c>
      <c r="F270">
        <v>8.9224018594952899</v>
      </c>
      <c r="G270">
        <v>37</v>
      </c>
      <c r="H270">
        <v>44</v>
      </c>
      <c r="I270">
        <v>46</v>
      </c>
      <c r="J270">
        <v>2</v>
      </c>
      <c r="K270">
        <v>0</v>
      </c>
      <c r="L270" s="2">
        <f t="shared" si="24"/>
        <v>45292</v>
      </c>
      <c r="M270" s="2">
        <f t="shared" ca="1" si="25"/>
        <v>45307</v>
      </c>
      <c r="N270" s="2" t="str">
        <f t="shared" ca="1" si="26"/>
        <v>N/A</v>
      </c>
      <c r="O270" s="3">
        <f t="shared" ca="1" si="27"/>
        <v>15</v>
      </c>
      <c r="P270" s="3" t="str">
        <f t="shared" ca="1" si="28"/>
        <v>N/A</v>
      </c>
      <c r="Q270" s="1" t="str">
        <f>IF(K270=1,"Joined",IF(H270&gt;=70,"Dropped at Offer",IF(H270&gt;=50,"Dropped at Interview","Dropped at Screening")))</f>
        <v>Dropped at Screening</v>
      </c>
      <c r="R270" s="1" t="str">
        <f t="shared" ca="1" si="29"/>
        <v>Jan-2024</v>
      </c>
    </row>
    <row r="271" spans="1:18">
      <c r="A271">
        <v>36</v>
      </c>
      <c r="B271">
        <v>1</v>
      </c>
      <c r="C271">
        <v>3</v>
      </c>
      <c r="D271">
        <v>8</v>
      </c>
      <c r="E271">
        <v>4</v>
      </c>
      <c r="F271">
        <v>4.1102545762845404</v>
      </c>
      <c r="G271">
        <v>93</v>
      </c>
      <c r="H271">
        <v>7</v>
      </c>
      <c r="I271">
        <v>91</v>
      </c>
      <c r="J271">
        <v>2</v>
      </c>
      <c r="K271">
        <v>1</v>
      </c>
      <c r="L271" s="2">
        <f t="shared" si="24"/>
        <v>45292</v>
      </c>
      <c r="M271" s="2">
        <f t="shared" ca="1" si="25"/>
        <v>45329</v>
      </c>
      <c r="N271" s="2">
        <f t="shared" ca="1" si="26"/>
        <v>45349</v>
      </c>
      <c r="O271" s="3">
        <f t="shared" ca="1" si="27"/>
        <v>37</v>
      </c>
      <c r="P271" s="3">
        <f t="shared" ca="1" si="28"/>
        <v>20</v>
      </c>
      <c r="Q271" s="1" t="str">
        <f>IF(K271=1,"Joined",IF(H271&gt;=70,"Dropped at Offer",IF(H271&gt;=50,"Dropped at Interview","Dropped at Screening")))</f>
        <v>Joined</v>
      </c>
      <c r="R271" s="1" t="str">
        <f t="shared" ca="1" si="29"/>
        <v>Feb-2024</v>
      </c>
    </row>
    <row r="272" spans="1:18">
      <c r="A272">
        <v>45</v>
      </c>
      <c r="B272">
        <v>1</v>
      </c>
      <c r="C272">
        <v>2</v>
      </c>
      <c r="D272">
        <v>12</v>
      </c>
      <c r="E272">
        <v>1</v>
      </c>
      <c r="F272">
        <v>42.135146085860299</v>
      </c>
      <c r="G272">
        <v>41</v>
      </c>
      <c r="H272">
        <v>79</v>
      </c>
      <c r="I272">
        <v>60</v>
      </c>
      <c r="J272">
        <v>2</v>
      </c>
      <c r="K272">
        <v>0</v>
      </c>
      <c r="L272" s="2">
        <f t="shared" si="24"/>
        <v>45292</v>
      </c>
      <c r="M272" s="2">
        <f t="shared" ca="1" si="25"/>
        <v>45328</v>
      </c>
      <c r="N272" s="2" t="str">
        <f t="shared" ca="1" si="26"/>
        <v>N/A</v>
      </c>
      <c r="O272" s="3">
        <f t="shared" ca="1" si="27"/>
        <v>36</v>
      </c>
      <c r="P272" s="3" t="str">
        <f t="shared" ca="1" si="28"/>
        <v>N/A</v>
      </c>
      <c r="Q272" s="1" t="str">
        <f>IF(K272=1,"Joined",IF(H272&gt;=70,"Dropped at Offer",IF(H272&gt;=50,"Dropped at Interview","Dropped at Screening")))</f>
        <v>Dropped at Offer</v>
      </c>
      <c r="R272" s="1" t="str">
        <f t="shared" ca="1" si="29"/>
        <v>Feb-2024</v>
      </c>
    </row>
    <row r="273" spans="1:18">
      <c r="A273">
        <v>39</v>
      </c>
      <c r="B273">
        <v>0</v>
      </c>
      <c r="C273">
        <v>3</v>
      </c>
      <c r="D273">
        <v>3</v>
      </c>
      <c r="E273">
        <v>4</v>
      </c>
      <c r="F273">
        <v>16.569096994629199</v>
      </c>
      <c r="G273">
        <v>4</v>
      </c>
      <c r="H273">
        <v>17</v>
      </c>
      <c r="I273">
        <v>13</v>
      </c>
      <c r="J273">
        <v>2</v>
      </c>
      <c r="K273">
        <v>0</v>
      </c>
      <c r="L273" s="2">
        <f t="shared" si="24"/>
        <v>45292</v>
      </c>
      <c r="M273" s="2">
        <f t="shared" ca="1" si="25"/>
        <v>45332</v>
      </c>
      <c r="N273" s="2" t="str">
        <f t="shared" ca="1" si="26"/>
        <v>N/A</v>
      </c>
      <c r="O273" s="3">
        <f t="shared" ca="1" si="27"/>
        <v>40</v>
      </c>
      <c r="P273" s="3" t="str">
        <f t="shared" ca="1" si="28"/>
        <v>N/A</v>
      </c>
      <c r="Q273" s="1" t="str">
        <f>IF(K273=1,"Joined",IF(H273&gt;=70,"Dropped at Offer",IF(H273&gt;=50,"Dropped at Interview","Dropped at Screening")))</f>
        <v>Dropped at Screening</v>
      </c>
      <c r="R273" s="1" t="str">
        <f t="shared" ca="1" si="29"/>
        <v>Feb-2024</v>
      </c>
    </row>
    <row r="274" spans="1:18">
      <c r="A274">
        <v>31</v>
      </c>
      <c r="B274">
        <v>0</v>
      </c>
      <c r="C274">
        <v>1</v>
      </c>
      <c r="D274">
        <v>5</v>
      </c>
      <c r="E274">
        <v>2</v>
      </c>
      <c r="F274">
        <v>21.084844637988802</v>
      </c>
      <c r="G274">
        <v>10</v>
      </c>
      <c r="H274">
        <v>32</v>
      </c>
      <c r="I274">
        <v>67</v>
      </c>
      <c r="J274">
        <v>1</v>
      </c>
      <c r="K274">
        <v>0</v>
      </c>
      <c r="L274" s="2">
        <f t="shared" si="24"/>
        <v>45292</v>
      </c>
      <c r="M274" s="2">
        <f t="shared" ca="1" si="25"/>
        <v>45309</v>
      </c>
      <c r="N274" s="2" t="str">
        <f t="shared" ca="1" si="26"/>
        <v>N/A</v>
      </c>
      <c r="O274" s="3">
        <f t="shared" ca="1" si="27"/>
        <v>17</v>
      </c>
      <c r="P274" s="3" t="str">
        <f t="shared" ca="1" si="28"/>
        <v>N/A</v>
      </c>
      <c r="Q274" s="1" t="str">
        <f>IF(K274=1,"Joined",IF(H274&gt;=70,"Dropped at Offer",IF(H274&gt;=50,"Dropped at Interview","Dropped at Screening")))</f>
        <v>Dropped at Screening</v>
      </c>
      <c r="R274" s="1" t="str">
        <f t="shared" ca="1" si="29"/>
        <v>Jan-2024</v>
      </c>
    </row>
    <row r="275" spans="1:18">
      <c r="A275">
        <v>49</v>
      </c>
      <c r="B275">
        <v>1</v>
      </c>
      <c r="C275">
        <v>1</v>
      </c>
      <c r="D275">
        <v>15</v>
      </c>
      <c r="E275">
        <v>2</v>
      </c>
      <c r="F275">
        <v>26.1375095804806</v>
      </c>
      <c r="G275">
        <v>64</v>
      </c>
      <c r="H275">
        <v>0</v>
      </c>
      <c r="I275">
        <v>52</v>
      </c>
      <c r="J275">
        <v>2</v>
      </c>
      <c r="K275">
        <v>0</v>
      </c>
      <c r="L275" s="2">
        <f t="shared" si="24"/>
        <v>45292</v>
      </c>
      <c r="M275" s="2">
        <f t="shared" ca="1" si="25"/>
        <v>45323</v>
      </c>
      <c r="N275" s="2" t="str">
        <f t="shared" ca="1" si="26"/>
        <v>N/A</v>
      </c>
      <c r="O275" s="3">
        <f t="shared" ca="1" si="27"/>
        <v>31</v>
      </c>
      <c r="P275" s="3" t="str">
        <f t="shared" ca="1" si="28"/>
        <v>N/A</v>
      </c>
      <c r="Q275" s="1" t="str">
        <f>IF(K275=1,"Joined",IF(H275&gt;=70,"Dropped at Offer",IF(H275&gt;=50,"Dropped at Interview","Dropped at Screening")))</f>
        <v>Dropped at Screening</v>
      </c>
      <c r="R275" s="1" t="str">
        <f t="shared" ca="1" si="29"/>
        <v>Feb-2024</v>
      </c>
    </row>
    <row r="276" spans="1:18">
      <c r="A276">
        <v>26</v>
      </c>
      <c r="B276">
        <v>1</v>
      </c>
      <c r="C276">
        <v>2</v>
      </c>
      <c r="D276">
        <v>6</v>
      </c>
      <c r="E276">
        <v>5</v>
      </c>
      <c r="F276">
        <v>42.972661710477503</v>
      </c>
      <c r="G276">
        <v>33</v>
      </c>
      <c r="H276">
        <v>75</v>
      </c>
      <c r="I276">
        <v>83</v>
      </c>
      <c r="J276">
        <v>2</v>
      </c>
      <c r="K276">
        <v>0</v>
      </c>
      <c r="L276" s="2">
        <f t="shared" si="24"/>
        <v>45292</v>
      </c>
      <c r="M276" s="2">
        <f t="shared" ca="1" si="25"/>
        <v>45320</v>
      </c>
      <c r="N276" s="2" t="str">
        <f t="shared" ca="1" si="26"/>
        <v>N/A</v>
      </c>
      <c r="O276" s="3">
        <f t="shared" ca="1" si="27"/>
        <v>28</v>
      </c>
      <c r="P276" s="3" t="str">
        <f t="shared" ca="1" si="28"/>
        <v>N/A</v>
      </c>
      <c r="Q276" s="1" t="str">
        <f>IF(K276=1,"Joined",IF(H276&gt;=70,"Dropped at Offer",IF(H276&gt;=50,"Dropped at Interview","Dropped at Screening")))</f>
        <v>Dropped at Offer</v>
      </c>
      <c r="R276" s="1" t="str">
        <f t="shared" ca="1" si="29"/>
        <v>Jan-2024</v>
      </c>
    </row>
    <row r="277" spans="1:18">
      <c r="A277">
        <v>21</v>
      </c>
      <c r="B277">
        <v>1</v>
      </c>
      <c r="C277">
        <v>2</v>
      </c>
      <c r="D277">
        <v>12</v>
      </c>
      <c r="E277">
        <v>4</v>
      </c>
      <c r="F277">
        <v>33.541661078074199</v>
      </c>
      <c r="G277">
        <v>0</v>
      </c>
      <c r="H277">
        <v>5</v>
      </c>
      <c r="I277">
        <v>33</v>
      </c>
      <c r="J277">
        <v>1</v>
      </c>
      <c r="K277">
        <v>0</v>
      </c>
      <c r="L277" s="2">
        <f t="shared" si="24"/>
        <v>45292</v>
      </c>
      <c r="M277" s="2">
        <f t="shared" ca="1" si="25"/>
        <v>45327</v>
      </c>
      <c r="N277" s="2" t="str">
        <f t="shared" ca="1" si="26"/>
        <v>N/A</v>
      </c>
      <c r="O277" s="3">
        <f t="shared" ca="1" si="27"/>
        <v>35</v>
      </c>
      <c r="P277" s="3" t="str">
        <f t="shared" ca="1" si="28"/>
        <v>N/A</v>
      </c>
      <c r="Q277" s="1" t="str">
        <f>IF(K277=1,"Joined",IF(H277&gt;=70,"Dropped at Offer",IF(H277&gt;=50,"Dropped at Interview","Dropped at Screening")))</f>
        <v>Dropped at Screening</v>
      </c>
      <c r="R277" s="1" t="str">
        <f t="shared" ca="1" si="29"/>
        <v>Feb-2024</v>
      </c>
    </row>
    <row r="278" spans="1:18">
      <c r="A278">
        <v>22</v>
      </c>
      <c r="B278">
        <v>0</v>
      </c>
      <c r="C278">
        <v>2</v>
      </c>
      <c r="D278">
        <v>10</v>
      </c>
      <c r="E278">
        <v>5</v>
      </c>
      <c r="F278">
        <v>31.7532314928905</v>
      </c>
      <c r="G278">
        <v>82</v>
      </c>
      <c r="H278">
        <v>40</v>
      </c>
      <c r="I278">
        <v>75</v>
      </c>
      <c r="J278">
        <v>3</v>
      </c>
      <c r="K278">
        <v>0</v>
      </c>
      <c r="L278" s="2">
        <f t="shared" si="24"/>
        <v>45292</v>
      </c>
      <c r="M278" s="2">
        <f t="shared" ca="1" si="25"/>
        <v>45306</v>
      </c>
      <c r="N278" s="2" t="str">
        <f t="shared" ca="1" si="26"/>
        <v>N/A</v>
      </c>
      <c r="O278" s="3">
        <f t="shared" ca="1" si="27"/>
        <v>14</v>
      </c>
      <c r="P278" s="3" t="str">
        <f t="shared" ca="1" si="28"/>
        <v>N/A</v>
      </c>
      <c r="Q278" s="1" t="str">
        <f>IF(K278=1,"Joined",IF(H278&gt;=70,"Dropped at Offer",IF(H278&gt;=50,"Dropped at Interview","Dropped at Screening")))</f>
        <v>Dropped at Screening</v>
      </c>
      <c r="R278" s="1" t="str">
        <f t="shared" ca="1" si="29"/>
        <v>Jan-2024</v>
      </c>
    </row>
    <row r="279" spans="1:18">
      <c r="A279">
        <v>36</v>
      </c>
      <c r="B279">
        <v>1</v>
      </c>
      <c r="C279">
        <v>4</v>
      </c>
      <c r="D279">
        <v>5</v>
      </c>
      <c r="E279">
        <v>3</v>
      </c>
      <c r="F279">
        <v>9.7836049977955302</v>
      </c>
      <c r="G279">
        <v>1</v>
      </c>
      <c r="H279">
        <v>54</v>
      </c>
      <c r="I279">
        <v>96</v>
      </c>
      <c r="J279">
        <v>1</v>
      </c>
      <c r="K279">
        <v>1</v>
      </c>
      <c r="L279" s="2">
        <f t="shared" si="24"/>
        <v>45292</v>
      </c>
      <c r="M279" s="2">
        <f t="shared" ca="1" si="25"/>
        <v>45319</v>
      </c>
      <c r="N279" s="2">
        <f t="shared" ca="1" si="26"/>
        <v>45346</v>
      </c>
      <c r="O279" s="3">
        <f t="shared" ca="1" si="27"/>
        <v>27</v>
      </c>
      <c r="P279" s="3">
        <f t="shared" ca="1" si="28"/>
        <v>27</v>
      </c>
      <c r="Q279" s="1" t="str">
        <f>IF(K279=1,"Joined",IF(H279&gt;=70,"Dropped at Offer",IF(H279&gt;=50,"Dropped at Interview","Dropped at Screening")))</f>
        <v>Joined</v>
      </c>
      <c r="R279" s="1" t="str">
        <f t="shared" ca="1" si="29"/>
        <v>Jan-2024</v>
      </c>
    </row>
    <row r="280" spans="1:18">
      <c r="A280">
        <v>24</v>
      </c>
      <c r="B280">
        <v>0</v>
      </c>
      <c r="C280">
        <v>4</v>
      </c>
      <c r="D280">
        <v>7</v>
      </c>
      <c r="E280">
        <v>2</v>
      </c>
      <c r="F280">
        <v>26.659494585491402</v>
      </c>
      <c r="G280">
        <v>84</v>
      </c>
      <c r="H280">
        <v>4</v>
      </c>
      <c r="I280">
        <v>23</v>
      </c>
      <c r="J280">
        <v>1</v>
      </c>
      <c r="K280">
        <v>1</v>
      </c>
      <c r="L280" s="2">
        <f t="shared" si="24"/>
        <v>45292</v>
      </c>
      <c r="M280" s="2">
        <f t="shared" ca="1" si="25"/>
        <v>45332</v>
      </c>
      <c r="N280" s="2">
        <f t="shared" ca="1" si="26"/>
        <v>45360</v>
      </c>
      <c r="O280" s="3">
        <f t="shared" ca="1" si="27"/>
        <v>40</v>
      </c>
      <c r="P280" s="3">
        <f t="shared" ca="1" si="28"/>
        <v>28</v>
      </c>
      <c r="Q280" s="1" t="str">
        <f>IF(K280=1,"Joined",IF(H280&gt;=70,"Dropped at Offer",IF(H280&gt;=50,"Dropped at Interview","Dropped at Screening")))</f>
        <v>Joined</v>
      </c>
      <c r="R280" s="1" t="str">
        <f t="shared" ca="1" si="29"/>
        <v>Feb-2024</v>
      </c>
    </row>
    <row r="281" spans="1:18">
      <c r="A281">
        <v>36</v>
      </c>
      <c r="B281">
        <v>1</v>
      </c>
      <c r="C281">
        <v>4</v>
      </c>
      <c r="D281">
        <v>3</v>
      </c>
      <c r="E281">
        <v>5</v>
      </c>
      <c r="F281">
        <v>36.769050858932701</v>
      </c>
      <c r="G281">
        <v>19</v>
      </c>
      <c r="H281">
        <v>58</v>
      </c>
      <c r="I281">
        <v>19</v>
      </c>
      <c r="J281">
        <v>1</v>
      </c>
      <c r="K281">
        <v>1</v>
      </c>
      <c r="L281" s="2">
        <f t="shared" si="24"/>
        <v>45292</v>
      </c>
      <c r="M281" s="2">
        <f t="shared" ca="1" si="25"/>
        <v>45325</v>
      </c>
      <c r="N281" s="2">
        <f t="shared" ca="1" si="26"/>
        <v>45355</v>
      </c>
      <c r="O281" s="3">
        <f t="shared" ca="1" si="27"/>
        <v>33</v>
      </c>
      <c r="P281" s="3">
        <f t="shared" ca="1" si="28"/>
        <v>30</v>
      </c>
      <c r="Q281" s="1" t="str">
        <f>IF(K281=1,"Joined",IF(H281&gt;=70,"Dropped at Offer",IF(H281&gt;=50,"Dropped at Interview","Dropped at Screening")))</f>
        <v>Joined</v>
      </c>
      <c r="R281" s="1" t="str">
        <f t="shared" ca="1" si="29"/>
        <v>Feb-2024</v>
      </c>
    </row>
    <row r="282" spans="1:18">
      <c r="A282">
        <v>43</v>
      </c>
      <c r="B282">
        <v>0</v>
      </c>
      <c r="C282">
        <v>3</v>
      </c>
      <c r="D282">
        <v>11</v>
      </c>
      <c r="E282">
        <v>3</v>
      </c>
      <c r="F282">
        <v>49.663044151524502</v>
      </c>
      <c r="G282">
        <v>60</v>
      </c>
      <c r="H282">
        <v>79</v>
      </c>
      <c r="I282">
        <v>68</v>
      </c>
      <c r="J282">
        <v>3</v>
      </c>
      <c r="K282">
        <v>1</v>
      </c>
      <c r="L282" s="2">
        <f t="shared" si="24"/>
        <v>45292</v>
      </c>
      <c r="M282" s="2">
        <f t="shared" ca="1" si="25"/>
        <v>45322</v>
      </c>
      <c r="N282" s="2">
        <f t="shared" ca="1" si="26"/>
        <v>45332</v>
      </c>
      <c r="O282" s="3">
        <f t="shared" ca="1" si="27"/>
        <v>30</v>
      </c>
      <c r="P282" s="3">
        <f t="shared" ca="1" si="28"/>
        <v>10</v>
      </c>
      <c r="Q282" s="1" t="str">
        <f>IF(K282=1,"Joined",IF(H282&gt;=70,"Dropped at Offer",IF(H282&gt;=50,"Dropped at Interview","Dropped at Screening")))</f>
        <v>Joined</v>
      </c>
      <c r="R282" s="1" t="str">
        <f t="shared" ca="1" si="29"/>
        <v>Jan-2024</v>
      </c>
    </row>
    <row r="283" spans="1:18">
      <c r="A283">
        <v>36</v>
      </c>
      <c r="B283">
        <v>1</v>
      </c>
      <c r="C283">
        <v>2</v>
      </c>
      <c r="D283">
        <v>14</v>
      </c>
      <c r="E283">
        <v>5</v>
      </c>
      <c r="F283">
        <v>11.070315460667601</v>
      </c>
      <c r="G283">
        <v>86</v>
      </c>
      <c r="H283">
        <v>17</v>
      </c>
      <c r="I283">
        <v>29</v>
      </c>
      <c r="J283">
        <v>2</v>
      </c>
      <c r="K283">
        <v>0</v>
      </c>
      <c r="L283" s="2">
        <f t="shared" si="24"/>
        <v>45292</v>
      </c>
      <c r="M283" s="2">
        <f t="shared" ca="1" si="25"/>
        <v>45307</v>
      </c>
      <c r="N283" s="2" t="str">
        <f t="shared" ca="1" si="26"/>
        <v>N/A</v>
      </c>
      <c r="O283" s="3">
        <f t="shared" ca="1" si="27"/>
        <v>15</v>
      </c>
      <c r="P283" s="3" t="str">
        <f t="shared" ca="1" si="28"/>
        <v>N/A</v>
      </c>
      <c r="Q283" s="1" t="str">
        <f>IF(K283=1,"Joined",IF(H283&gt;=70,"Dropped at Offer",IF(H283&gt;=50,"Dropped at Interview","Dropped at Screening")))</f>
        <v>Dropped at Screening</v>
      </c>
      <c r="R283" s="1" t="str">
        <f t="shared" ca="1" si="29"/>
        <v>Jan-2024</v>
      </c>
    </row>
    <row r="284" spans="1:18">
      <c r="A284">
        <v>46</v>
      </c>
      <c r="B284">
        <v>1</v>
      </c>
      <c r="C284">
        <v>2</v>
      </c>
      <c r="D284">
        <v>0</v>
      </c>
      <c r="E284">
        <v>4</v>
      </c>
      <c r="F284">
        <v>1.47716765336133</v>
      </c>
      <c r="G284">
        <v>20</v>
      </c>
      <c r="H284">
        <v>48</v>
      </c>
      <c r="I284">
        <v>87</v>
      </c>
      <c r="J284">
        <v>2</v>
      </c>
      <c r="K284">
        <v>0</v>
      </c>
      <c r="L284" s="2">
        <f t="shared" si="24"/>
        <v>45292</v>
      </c>
      <c r="M284" s="2">
        <f t="shared" ca="1" si="25"/>
        <v>45333</v>
      </c>
      <c r="N284" s="2" t="str">
        <f t="shared" ca="1" si="26"/>
        <v>N/A</v>
      </c>
      <c r="O284" s="3">
        <f t="shared" ca="1" si="27"/>
        <v>41</v>
      </c>
      <c r="P284" s="3" t="str">
        <f t="shared" ca="1" si="28"/>
        <v>N/A</v>
      </c>
      <c r="Q284" s="1" t="str">
        <f>IF(K284=1,"Joined",IF(H284&gt;=70,"Dropped at Offer",IF(H284&gt;=50,"Dropped at Interview","Dropped at Screening")))</f>
        <v>Dropped at Screening</v>
      </c>
      <c r="R284" s="1" t="str">
        <f t="shared" ca="1" si="29"/>
        <v>Feb-2024</v>
      </c>
    </row>
    <row r="285" spans="1:18">
      <c r="A285">
        <v>36</v>
      </c>
      <c r="B285">
        <v>1</v>
      </c>
      <c r="C285">
        <v>2</v>
      </c>
      <c r="D285">
        <v>6</v>
      </c>
      <c r="E285">
        <v>4</v>
      </c>
      <c r="F285">
        <v>4.76507167992348</v>
      </c>
      <c r="G285">
        <v>87</v>
      </c>
      <c r="H285">
        <v>81</v>
      </c>
      <c r="I285">
        <v>6</v>
      </c>
      <c r="J285">
        <v>1</v>
      </c>
      <c r="K285">
        <v>1</v>
      </c>
      <c r="L285" s="2">
        <f t="shared" si="24"/>
        <v>45292</v>
      </c>
      <c r="M285" s="2">
        <f t="shared" ca="1" si="25"/>
        <v>45307</v>
      </c>
      <c r="N285" s="2">
        <f t="shared" ca="1" si="26"/>
        <v>45314</v>
      </c>
      <c r="O285" s="3">
        <f t="shared" ca="1" si="27"/>
        <v>15</v>
      </c>
      <c r="P285" s="3">
        <f t="shared" ca="1" si="28"/>
        <v>7</v>
      </c>
      <c r="Q285" s="1" t="str">
        <f>IF(K285=1,"Joined",IF(H285&gt;=70,"Dropped at Offer",IF(H285&gt;=50,"Dropped at Interview","Dropped at Screening")))</f>
        <v>Joined</v>
      </c>
      <c r="R285" s="1" t="str">
        <f t="shared" ca="1" si="29"/>
        <v>Jan-2024</v>
      </c>
    </row>
    <row r="286" spans="1:18">
      <c r="A286">
        <v>21</v>
      </c>
      <c r="B286">
        <v>1</v>
      </c>
      <c r="C286">
        <v>3</v>
      </c>
      <c r="D286">
        <v>2</v>
      </c>
      <c r="E286">
        <v>4</v>
      </c>
      <c r="F286">
        <v>19.7926232590989</v>
      </c>
      <c r="G286">
        <v>67</v>
      </c>
      <c r="H286">
        <v>64</v>
      </c>
      <c r="I286">
        <v>35</v>
      </c>
      <c r="J286">
        <v>2</v>
      </c>
      <c r="K286">
        <v>0</v>
      </c>
      <c r="L286" s="2">
        <f t="shared" si="24"/>
        <v>45292</v>
      </c>
      <c r="M286" s="2">
        <f t="shared" ca="1" si="25"/>
        <v>45335</v>
      </c>
      <c r="N286" s="2" t="str">
        <f t="shared" ca="1" si="26"/>
        <v>N/A</v>
      </c>
      <c r="O286" s="3">
        <f t="shared" ca="1" si="27"/>
        <v>43</v>
      </c>
      <c r="P286" s="3" t="str">
        <f t="shared" ca="1" si="28"/>
        <v>N/A</v>
      </c>
      <c r="Q286" s="1" t="str">
        <f>IF(K286=1,"Joined",IF(H286&gt;=70,"Dropped at Offer",IF(H286&gt;=50,"Dropped at Interview","Dropped at Screening")))</f>
        <v>Dropped at Interview</v>
      </c>
      <c r="R286" s="1" t="str">
        <f t="shared" ca="1" si="29"/>
        <v>Feb-2024</v>
      </c>
    </row>
    <row r="287" spans="1:18">
      <c r="A287">
        <v>21</v>
      </c>
      <c r="B287">
        <v>1</v>
      </c>
      <c r="C287">
        <v>1</v>
      </c>
      <c r="D287">
        <v>13</v>
      </c>
      <c r="E287">
        <v>4</v>
      </c>
      <c r="F287">
        <v>42.0272323872993</v>
      </c>
      <c r="G287">
        <v>11</v>
      </c>
      <c r="H287">
        <v>82</v>
      </c>
      <c r="I287">
        <v>37</v>
      </c>
      <c r="J287">
        <v>2</v>
      </c>
      <c r="K287">
        <v>0</v>
      </c>
      <c r="L287" s="2">
        <f t="shared" si="24"/>
        <v>45292</v>
      </c>
      <c r="M287" s="2">
        <f t="shared" ca="1" si="25"/>
        <v>45317</v>
      </c>
      <c r="N287" s="2" t="str">
        <f t="shared" ca="1" si="26"/>
        <v>N/A</v>
      </c>
      <c r="O287" s="3">
        <f t="shared" ca="1" si="27"/>
        <v>25</v>
      </c>
      <c r="P287" s="3" t="str">
        <f t="shared" ca="1" si="28"/>
        <v>N/A</v>
      </c>
      <c r="Q287" s="1" t="str">
        <f>IF(K287=1,"Joined",IF(H287&gt;=70,"Dropped at Offer",IF(H287&gt;=50,"Dropped at Interview","Dropped at Screening")))</f>
        <v>Dropped at Offer</v>
      </c>
      <c r="R287" s="1" t="str">
        <f t="shared" ca="1" si="29"/>
        <v>Jan-2024</v>
      </c>
    </row>
    <row r="288" spans="1:18">
      <c r="A288">
        <v>47</v>
      </c>
      <c r="B288">
        <v>0</v>
      </c>
      <c r="C288">
        <v>2</v>
      </c>
      <c r="D288">
        <v>5</v>
      </c>
      <c r="E288">
        <v>1</v>
      </c>
      <c r="F288">
        <v>1.3571040884122501</v>
      </c>
      <c r="G288">
        <v>21</v>
      </c>
      <c r="H288">
        <v>53</v>
      </c>
      <c r="I288">
        <v>79</v>
      </c>
      <c r="J288">
        <v>3</v>
      </c>
      <c r="K288">
        <v>0</v>
      </c>
      <c r="L288" s="2">
        <f t="shared" si="24"/>
        <v>45292</v>
      </c>
      <c r="M288" s="2">
        <f t="shared" ca="1" si="25"/>
        <v>45310</v>
      </c>
      <c r="N288" s="2" t="str">
        <f t="shared" ca="1" si="26"/>
        <v>N/A</v>
      </c>
      <c r="O288" s="3">
        <f t="shared" ca="1" si="27"/>
        <v>18</v>
      </c>
      <c r="P288" s="3" t="str">
        <f t="shared" ca="1" si="28"/>
        <v>N/A</v>
      </c>
      <c r="Q288" s="1" t="str">
        <f>IF(K288=1,"Joined",IF(H288&gt;=70,"Dropped at Offer",IF(H288&gt;=50,"Dropped at Interview","Dropped at Screening")))</f>
        <v>Dropped at Interview</v>
      </c>
      <c r="R288" s="1" t="str">
        <f t="shared" ca="1" si="29"/>
        <v>Jan-2024</v>
      </c>
    </row>
    <row r="289" spans="1:18">
      <c r="A289">
        <v>41</v>
      </c>
      <c r="B289">
        <v>1</v>
      </c>
      <c r="C289">
        <v>1</v>
      </c>
      <c r="D289">
        <v>1</v>
      </c>
      <c r="E289">
        <v>3</v>
      </c>
      <c r="F289">
        <v>23.836529644292</v>
      </c>
      <c r="G289">
        <v>19</v>
      </c>
      <c r="H289">
        <v>60</v>
      </c>
      <c r="I289">
        <v>51</v>
      </c>
      <c r="J289">
        <v>1</v>
      </c>
      <c r="K289">
        <v>0</v>
      </c>
      <c r="L289" s="2">
        <f t="shared" si="24"/>
        <v>45292</v>
      </c>
      <c r="M289" s="2">
        <f t="shared" ca="1" si="25"/>
        <v>45312</v>
      </c>
      <c r="N289" s="2" t="str">
        <f t="shared" ca="1" si="26"/>
        <v>N/A</v>
      </c>
      <c r="O289" s="3">
        <f t="shared" ca="1" si="27"/>
        <v>20</v>
      </c>
      <c r="P289" s="3" t="str">
        <f t="shared" ca="1" si="28"/>
        <v>N/A</v>
      </c>
      <c r="Q289" s="1" t="str">
        <f>IF(K289=1,"Joined",IF(H289&gt;=70,"Dropped at Offer",IF(H289&gt;=50,"Dropped at Interview","Dropped at Screening")))</f>
        <v>Dropped at Interview</v>
      </c>
      <c r="R289" s="1" t="str">
        <f t="shared" ca="1" si="29"/>
        <v>Jan-2024</v>
      </c>
    </row>
    <row r="290" spans="1:18">
      <c r="A290">
        <v>42</v>
      </c>
      <c r="B290">
        <v>1</v>
      </c>
      <c r="C290">
        <v>2</v>
      </c>
      <c r="D290">
        <v>8</v>
      </c>
      <c r="E290">
        <v>3</v>
      </c>
      <c r="F290">
        <v>17.4615307670697</v>
      </c>
      <c r="G290">
        <v>81</v>
      </c>
      <c r="H290">
        <v>7</v>
      </c>
      <c r="I290">
        <v>14</v>
      </c>
      <c r="J290">
        <v>1</v>
      </c>
      <c r="K290">
        <v>1</v>
      </c>
      <c r="L290" s="2">
        <f t="shared" si="24"/>
        <v>45292</v>
      </c>
      <c r="M290" s="2">
        <f t="shared" ca="1" si="25"/>
        <v>45326</v>
      </c>
      <c r="N290" s="2">
        <f t="shared" ca="1" si="26"/>
        <v>45356</v>
      </c>
      <c r="O290" s="3">
        <f t="shared" ca="1" si="27"/>
        <v>34</v>
      </c>
      <c r="P290" s="3">
        <f t="shared" ca="1" si="28"/>
        <v>30</v>
      </c>
      <c r="Q290" s="1" t="str">
        <f>IF(K290=1,"Joined",IF(H290&gt;=70,"Dropped at Offer",IF(H290&gt;=50,"Dropped at Interview","Dropped at Screening")))</f>
        <v>Joined</v>
      </c>
      <c r="R290" s="1" t="str">
        <f t="shared" ca="1" si="29"/>
        <v>Feb-2024</v>
      </c>
    </row>
    <row r="291" spans="1:18">
      <c r="A291">
        <v>24</v>
      </c>
      <c r="B291">
        <v>1</v>
      </c>
      <c r="C291">
        <v>3</v>
      </c>
      <c r="D291">
        <v>0</v>
      </c>
      <c r="E291">
        <v>4</v>
      </c>
      <c r="F291">
        <v>3.6240855049863701</v>
      </c>
      <c r="G291">
        <v>0</v>
      </c>
      <c r="H291">
        <v>2</v>
      </c>
      <c r="I291">
        <v>45</v>
      </c>
      <c r="J291">
        <v>1</v>
      </c>
      <c r="K291">
        <v>0</v>
      </c>
      <c r="L291" s="2">
        <f t="shared" si="24"/>
        <v>45292</v>
      </c>
      <c r="M291" s="2">
        <f t="shared" ca="1" si="25"/>
        <v>45317</v>
      </c>
      <c r="N291" s="2" t="str">
        <f t="shared" ca="1" si="26"/>
        <v>N/A</v>
      </c>
      <c r="O291" s="3">
        <f t="shared" ca="1" si="27"/>
        <v>25</v>
      </c>
      <c r="P291" s="3" t="str">
        <f t="shared" ca="1" si="28"/>
        <v>N/A</v>
      </c>
      <c r="Q291" s="1" t="str">
        <f>IF(K291=1,"Joined",IF(H291&gt;=70,"Dropped at Offer",IF(H291&gt;=50,"Dropped at Interview","Dropped at Screening")))</f>
        <v>Dropped at Screening</v>
      </c>
      <c r="R291" s="1" t="str">
        <f t="shared" ca="1" si="29"/>
        <v>Jan-2024</v>
      </c>
    </row>
    <row r="292" spans="1:18">
      <c r="A292">
        <v>20</v>
      </c>
      <c r="B292">
        <v>0</v>
      </c>
      <c r="C292">
        <v>3</v>
      </c>
      <c r="D292">
        <v>5</v>
      </c>
      <c r="E292">
        <v>1</v>
      </c>
      <c r="F292">
        <v>23.511814333630799</v>
      </c>
      <c r="G292">
        <v>29</v>
      </c>
      <c r="H292">
        <v>24</v>
      </c>
      <c r="I292">
        <v>22</v>
      </c>
      <c r="J292">
        <v>3</v>
      </c>
      <c r="K292">
        <v>0</v>
      </c>
      <c r="L292" s="2">
        <f t="shared" si="24"/>
        <v>45292</v>
      </c>
      <c r="M292" s="2">
        <f t="shared" ca="1" si="25"/>
        <v>45326</v>
      </c>
      <c r="N292" s="2" t="str">
        <f t="shared" ca="1" si="26"/>
        <v>N/A</v>
      </c>
      <c r="O292" s="3">
        <f t="shared" ca="1" si="27"/>
        <v>34</v>
      </c>
      <c r="P292" s="3" t="str">
        <f t="shared" ca="1" si="28"/>
        <v>N/A</v>
      </c>
      <c r="Q292" s="1" t="str">
        <f>IF(K292=1,"Joined",IF(H292&gt;=70,"Dropped at Offer",IF(H292&gt;=50,"Dropped at Interview","Dropped at Screening")))</f>
        <v>Dropped at Screening</v>
      </c>
      <c r="R292" s="1" t="str">
        <f t="shared" ca="1" si="29"/>
        <v>Feb-2024</v>
      </c>
    </row>
    <row r="293" spans="1:18">
      <c r="A293">
        <v>20</v>
      </c>
      <c r="B293">
        <v>1</v>
      </c>
      <c r="C293">
        <v>2</v>
      </c>
      <c r="D293">
        <v>5</v>
      </c>
      <c r="E293">
        <v>4</v>
      </c>
      <c r="F293">
        <v>13.7374353668359</v>
      </c>
      <c r="G293">
        <v>96</v>
      </c>
      <c r="H293">
        <v>68</v>
      </c>
      <c r="I293">
        <v>11</v>
      </c>
      <c r="J293">
        <v>2</v>
      </c>
      <c r="K293">
        <v>0</v>
      </c>
      <c r="L293" s="2">
        <f t="shared" si="24"/>
        <v>45292</v>
      </c>
      <c r="M293" s="2">
        <f t="shared" ca="1" si="25"/>
        <v>45335</v>
      </c>
      <c r="N293" s="2" t="str">
        <f t="shared" ca="1" si="26"/>
        <v>N/A</v>
      </c>
      <c r="O293" s="3">
        <f t="shared" ca="1" si="27"/>
        <v>43</v>
      </c>
      <c r="P293" s="3" t="str">
        <f t="shared" ca="1" si="28"/>
        <v>N/A</v>
      </c>
      <c r="Q293" s="1" t="str">
        <f>IF(K293=1,"Joined",IF(H293&gt;=70,"Dropped at Offer",IF(H293&gt;=50,"Dropped at Interview","Dropped at Screening")))</f>
        <v>Dropped at Interview</v>
      </c>
      <c r="R293" s="1" t="str">
        <f t="shared" ca="1" si="29"/>
        <v>Feb-2024</v>
      </c>
    </row>
    <row r="294" spans="1:18">
      <c r="A294">
        <v>38</v>
      </c>
      <c r="B294">
        <v>0</v>
      </c>
      <c r="C294">
        <v>4</v>
      </c>
      <c r="D294">
        <v>4</v>
      </c>
      <c r="E294">
        <v>1</v>
      </c>
      <c r="F294">
        <v>18.5942417173503</v>
      </c>
      <c r="G294">
        <v>23</v>
      </c>
      <c r="H294">
        <v>54</v>
      </c>
      <c r="I294">
        <v>92</v>
      </c>
      <c r="J294">
        <v>2</v>
      </c>
      <c r="K294">
        <v>0</v>
      </c>
      <c r="L294" s="2">
        <f t="shared" si="24"/>
        <v>45292</v>
      </c>
      <c r="M294" s="2">
        <f t="shared" ca="1" si="25"/>
        <v>45309</v>
      </c>
      <c r="N294" s="2" t="str">
        <f t="shared" ca="1" si="26"/>
        <v>N/A</v>
      </c>
      <c r="O294" s="3">
        <f t="shared" ca="1" si="27"/>
        <v>17</v>
      </c>
      <c r="P294" s="3" t="str">
        <f t="shared" ca="1" si="28"/>
        <v>N/A</v>
      </c>
      <c r="Q294" s="1" t="str">
        <f>IF(K294=1,"Joined",IF(H294&gt;=70,"Dropped at Offer",IF(H294&gt;=50,"Dropped at Interview","Dropped at Screening")))</f>
        <v>Dropped at Interview</v>
      </c>
      <c r="R294" s="1" t="str">
        <f t="shared" ca="1" si="29"/>
        <v>Jan-2024</v>
      </c>
    </row>
    <row r="295" spans="1:18">
      <c r="A295">
        <v>49</v>
      </c>
      <c r="B295">
        <v>1</v>
      </c>
      <c r="C295">
        <v>2</v>
      </c>
      <c r="D295">
        <v>15</v>
      </c>
      <c r="E295">
        <v>4</v>
      </c>
      <c r="F295">
        <v>36.280765239214603</v>
      </c>
      <c r="G295">
        <v>13</v>
      </c>
      <c r="H295">
        <v>39</v>
      </c>
      <c r="I295">
        <v>43</v>
      </c>
      <c r="J295">
        <v>2</v>
      </c>
      <c r="K295">
        <v>0</v>
      </c>
      <c r="L295" s="2">
        <f t="shared" si="24"/>
        <v>45292</v>
      </c>
      <c r="M295" s="2">
        <f t="shared" ca="1" si="25"/>
        <v>45329</v>
      </c>
      <c r="N295" s="2" t="str">
        <f t="shared" ca="1" si="26"/>
        <v>N/A</v>
      </c>
      <c r="O295" s="3">
        <f t="shared" ca="1" si="27"/>
        <v>37</v>
      </c>
      <c r="P295" s="3" t="str">
        <f t="shared" ca="1" si="28"/>
        <v>N/A</v>
      </c>
      <c r="Q295" s="1" t="str">
        <f>IF(K295=1,"Joined",IF(H295&gt;=70,"Dropped at Offer",IF(H295&gt;=50,"Dropped at Interview","Dropped at Screening")))</f>
        <v>Dropped at Screening</v>
      </c>
      <c r="R295" s="1" t="str">
        <f t="shared" ca="1" si="29"/>
        <v>Feb-2024</v>
      </c>
    </row>
    <row r="296" spans="1:18">
      <c r="A296">
        <v>21</v>
      </c>
      <c r="B296">
        <v>1</v>
      </c>
      <c r="C296">
        <v>1</v>
      </c>
      <c r="D296">
        <v>12</v>
      </c>
      <c r="E296">
        <v>2</v>
      </c>
      <c r="F296">
        <v>27.077549195548301</v>
      </c>
      <c r="G296">
        <v>35</v>
      </c>
      <c r="H296">
        <v>82</v>
      </c>
      <c r="I296">
        <v>14</v>
      </c>
      <c r="J296">
        <v>3</v>
      </c>
      <c r="K296">
        <v>0</v>
      </c>
      <c r="L296" s="2">
        <f t="shared" si="24"/>
        <v>45292</v>
      </c>
      <c r="M296" s="2">
        <f t="shared" ca="1" si="25"/>
        <v>45307</v>
      </c>
      <c r="N296" s="2" t="str">
        <f t="shared" ca="1" si="26"/>
        <v>N/A</v>
      </c>
      <c r="O296" s="3">
        <f t="shared" ca="1" si="27"/>
        <v>15</v>
      </c>
      <c r="P296" s="3" t="str">
        <f t="shared" ca="1" si="28"/>
        <v>N/A</v>
      </c>
      <c r="Q296" s="1" t="str">
        <f>IF(K296=1,"Joined",IF(H296&gt;=70,"Dropped at Offer",IF(H296&gt;=50,"Dropped at Interview","Dropped at Screening")))</f>
        <v>Dropped at Offer</v>
      </c>
      <c r="R296" s="1" t="str">
        <f t="shared" ca="1" si="29"/>
        <v>Jan-2024</v>
      </c>
    </row>
    <row r="297" spans="1:18">
      <c r="A297">
        <v>40</v>
      </c>
      <c r="B297">
        <v>0</v>
      </c>
      <c r="C297">
        <v>2</v>
      </c>
      <c r="D297">
        <v>4</v>
      </c>
      <c r="E297">
        <v>2</v>
      </c>
      <c r="F297">
        <v>7.2323714496406604</v>
      </c>
      <c r="G297">
        <v>68</v>
      </c>
      <c r="H297">
        <v>81</v>
      </c>
      <c r="I297">
        <v>92</v>
      </c>
      <c r="J297">
        <v>3</v>
      </c>
      <c r="K297">
        <v>0</v>
      </c>
      <c r="L297" s="2">
        <f t="shared" si="24"/>
        <v>45292</v>
      </c>
      <c r="M297" s="2">
        <f t="shared" ca="1" si="25"/>
        <v>45329</v>
      </c>
      <c r="N297" s="2" t="str">
        <f t="shared" ca="1" si="26"/>
        <v>N/A</v>
      </c>
      <c r="O297" s="3">
        <f t="shared" ca="1" si="27"/>
        <v>37</v>
      </c>
      <c r="P297" s="3" t="str">
        <f t="shared" ca="1" si="28"/>
        <v>N/A</v>
      </c>
      <c r="Q297" s="1" t="str">
        <f>IF(K297=1,"Joined",IF(H297&gt;=70,"Dropped at Offer",IF(H297&gt;=50,"Dropped at Interview","Dropped at Screening")))</f>
        <v>Dropped at Offer</v>
      </c>
      <c r="R297" s="1" t="str">
        <f t="shared" ca="1" si="29"/>
        <v>Feb-2024</v>
      </c>
    </row>
    <row r="298" spans="1:18">
      <c r="A298">
        <v>31</v>
      </c>
      <c r="B298">
        <v>1</v>
      </c>
      <c r="C298">
        <v>2</v>
      </c>
      <c r="D298">
        <v>0</v>
      </c>
      <c r="E298">
        <v>5</v>
      </c>
      <c r="F298">
        <v>49.070727021181902</v>
      </c>
      <c r="G298">
        <v>74</v>
      </c>
      <c r="H298">
        <v>49</v>
      </c>
      <c r="I298">
        <v>48</v>
      </c>
      <c r="J298">
        <v>2</v>
      </c>
      <c r="K298">
        <v>0</v>
      </c>
      <c r="L298" s="2">
        <f t="shared" si="24"/>
        <v>45292</v>
      </c>
      <c r="M298" s="2">
        <f t="shared" ca="1" si="25"/>
        <v>45326</v>
      </c>
      <c r="N298" s="2" t="str">
        <f t="shared" ca="1" si="26"/>
        <v>N/A</v>
      </c>
      <c r="O298" s="3">
        <f t="shared" ca="1" si="27"/>
        <v>34</v>
      </c>
      <c r="P298" s="3" t="str">
        <f t="shared" ca="1" si="28"/>
        <v>N/A</v>
      </c>
      <c r="Q298" s="1" t="str">
        <f>IF(K298=1,"Joined",IF(H298&gt;=70,"Dropped at Offer",IF(H298&gt;=50,"Dropped at Interview","Dropped at Screening")))</f>
        <v>Dropped at Screening</v>
      </c>
      <c r="R298" s="1" t="str">
        <f t="shared" ca="1" si="29"/>
        <v>Feb-2024</v>
      </c>
    </row>
    <row r="299" spans="1:18">
      <c r="A299">
        <v>45</v>
      </c>
      <c r="B299">
        <v>0</v>
      </c>
      <c r="C299">
        <v>1</v>
      </c>
      <c r="D299">
        <v>9</v>
      </c>
      <c r="E299">
        <v>4</v>
      </c>
      <c r="F299">
        <v>32.795538285486899</v>
      </c>
      <c r="G299">
        <v>23</v>
      </c>
      <c r="H299">
        <v>94</v>
      </c>
      <c r="I299">
        <v>20</v>
      </c>
      <c r="J299">
        <v>1</v>
      </c>
      <c r="K299">
        <v>1</v>
      </c>
      <c r="L299" s="2">
        <f t="shared" si="24"/>
        <v>45292</v>
      </c>
      <c r="M299" s="2">
        <f t="shared" ca="1" si="25"/>
        <v>45333</v>
      </c>
      <c r="N299" s="2">
        <f t="shared" ca="1" si="26"/>
        <v>45357</v>
      </c>
      <c r="O299" s="3">
        <f t="shared" ca="1" si="27"/>
        <v>41</v>
      </c>
      <c r="P299" s="3">
        <f t="shared" ca="1" si="28"/>
        <v>24</v>
      </c>
      <c r="Q299" s="1" t="str">
        <f>IF(K299=1,"Joined",IF(H299&gt;=70,"Dropped at Offer",IF(H299&gt;=50,"Dropped at Interview","Dropped at Screening")))</f>
        <v>Joined</v>
      </c>
      <c r="R299" s="1" t="str">
        <f t="shared" ca="1" si="29"/>
        <v>Feb-2024</v>
      </c>
    </row>
    <row r="300" spans="1:18">
      <c r="A300">
        <v>25</v>
      </c>
      <c r="B300">
        <v>0</v>
      </c>
      <c r="C300">
        <v>4</v>
      </c>
      <c r="D300">
        <v>11</v>
      </c>
      <c r="E300">
        <v>3</v>
      </c>
      <c r="F300">
        <v>39.293421283126499</v>
      </c>
      <c r="G300">
        <v>59</v>
      </c>
      <c r="H300">
        <v>32</v>
      </c>
      <c r="I300">
        <v>14</v>
      </c>
      <c r="J300">
        <v>1</v>
      </c>
      <c r="K300">
        <v>1</v>
      </c>
      <c r="L300" s="2">
        <f t="shared" si="24"/>
        <v>45292</v>
      </c>
      <c r="M300" s="2">
        <f t="shared" ca="1" si="25"/>
        <v>45316</v>
      </c>
      <c r="N300" s="2">
        <f t="shared" ca="1" si="26"/>
        <v>45346</v>
      </c>
      <c r="O300" s="3">
        <f t="shared" ca="1" si="27"/>
        <v>24</v>
      </c>
      <c r="P300" s="3">
        <f t="shared" ca="1" si="28"/>
        <v>30</v>
      </c>
      <c r="Q300" s="1" t="str">
        <f>IF(K300=1,"Joined",IF(H300&gt;=70,"Dropped at Offer",IF(H300&gt;=50,"Dropped at Interview","Dropped at Screening")))</f>
        <v>Joined</v>
      </c>
      <c r="R300" s="1" t="str">
        <f t="shared" ca="1" si="29"/>
        <v>Jan-2024</v>
      </c>
    </row>
    <row r="301" spans="1:18">
      <c r="A301">
        <v>42</v>
      </c>
      <c r="B301">
        <v>1</v>
      </c>
      <c r="C301">
        <v>2</v>
      </c>
      <c r="D301">
        <v>4</v>
      </c>
      <c r="E301">
        <v>5</v>
      </c>
      <c r="F301">
        <v>4.9606575004185398</v>
      </c>
      <c r="G301">
        <v>94</v>
      </c>
      <c r="H301">
        <v>17</v>
      </c>
      <c r="I301">
        <v>13</v>
      </c>
      <c r="J301">
        <v>3</v>
      </c>
      <c r="K301">
        <v>0</v>
      </c>
      <c r="L301" s="2">
        <f t="shared" si="24"/>
        <v>45292</v>
      </c>
      <c r="M301" s="2">
        <f t="shared" ca="1" si="25"/>
        <v>45309</v>
      </c>
      <c r="N301" s="2" t="str">
        <f t="shared" ca="1" si="26"/>
        <v>N/A</v>
      </c>
      <c r="O301" s="3">
        <f t="shared" ca="1" si="27"/>
        <v>17</v>
      </c>
      <c r="P301" s="3" t="str">
        <f t="shared" ca="1" si="28"/>
        <v>N/A</v>
      </c>
      <c r="Q301" s="1" t="str">
        <f>IF(K301=1,"Joined",IF(H301&gt;=70,"Dropped at Offer",IF(H301&gt;=50,"Dropped at Interview","Dropped at Screening")))</f>
        <v>Dropped at Screening</v>
      </c>
      <c r="R301" s="1" t="str">
        <f t="shared" ca="1" si="29"/>
        <v>Jan-2024</v>
      </c>
    </row>
    <row r="302" spans="1:18">
      <c r="A302">
        <v>23</v>
      </c>
      <c r="B302">
        <v>0</v>
      </c>
      <c r="C302">
        <v>3</v>
      </c>
      <c r="D302">
        <v>1</v>
      </c>
      <c r="E302">
        <v>2</v>
      </c>
      <c r="F302">
        <v>3.3529189730009401</v>
      </c>
      <c r="G302">
        <v>54</v>
      </c>
      <c r="H302">
        <v>56</v>
      </c>
      <c r="I302">
        <v>41</v>
      </c>
      <c r="J302">
        <v>2</v>
      </c>
      <c r="K302">
        <v>0</v>
      </c>
      <c r="L302" s="2">
        <f t="shared" si="24"/>
        <v>45292</v>
      </c>
      <c r="M302" s="2">
        <f t="shared" ca="1" si="25"/>
        <v>45314</v>
      </c>
      <c r="N302" s="2" t="str">
        <f t="shared" ca="1" si="26"/>
        <v>N/A</v>
      </c>
      <c r="O302" s="3">
        <f t="shared" ca="1" si="27"/>
        <v>22</v>
      </c>
      <c r="P302" s="3" t="str">
        <f t="shared" ca="1" si="28"/>
        <v>N/A</v>
      </c>
      <c r="Q302" s="1" t="str">
        <f>IF(K302=1,"Joined",IF(H302&gt;=70,"Dropped at Offer",IF(H302&gt;=50,"Dropped at Interview","Dropped at Screening")))</f>
        <v>Dropped at Interview</v>
      </c>
      <c r="R302" s="1" t="str">
        <f t="shared" ca="1" si="29"/>
        <v>Jan-2024</v>
      </c>
    </row>
    <row r="303" spans="1:18">
      <c r="A303">
        <v>42</v>
      </c>
      <c r="B303">
        <v>1</v>
      </c>
      <c r="C303">
        <v>2</v>
      </c>
      <c r="D303">
        <v>6</v>
      </c>
      <c r="E303">
        <v>4</v>
      </c>
      <c r="F303">
        <v>1.9724025184040499</v>
      </c>
      <c r="G303">
        <v>76</v>
      </c>
      <c r="H303">
        <v>15</v>
      </c>
      <c r="I303">
        <v>79</v>
      </c>
      <c r="J303">
        <v>1</v>
      </c>
      <c r="K303">
        <v>1</v>
      </c>
      <c r="L303" s="2">
        <f t="shared" si="24"/>
        <v>45292</v>
      </c>
      <c r="M303" s="2">
        <f t="shared" ca="1" si="25"/>
        <v>45324</v>
      </c>
      <c r="N303" s="2">
        <f t="shared" ca="1" si="26"/>
        <v>45353</v>
      </c>
      <c r="O303" s="3">
        <f t="shared" ca="1" si="27"/>
        <v>32</v>
      </c>
      <c r="P303" s="3">
        <f t="shared" ca="1" si="28"/>
        <v>29</v>
      </c>
      <c r="Q303" s="1" t="str">
        <f>IF(K303=1,"Joined",IF(H303&gt;=70,"Dropped at Offer",IF(H303&gt;=50,"Dropped at Interview","Dropped at Screening")))</f>
        <v>Joined</v>
      </c>
      <c r="R303" s="1" t="str">
        <f t="shared" ca="1" si="29"/>
        <v>Feb-2024</v>
      </c>
    </row>
    <row r="304" spans="1:18">
      <c r="A304">
        <v>30</v>
      </c>
      <c r="B304">
        <v>1</v>
      </c>
      <c r="C304">
        <v>1</v>
      </c>
      <c r="D304">
        <v>2</v>
      </c>
      <c r="E304">
        <v>5</v>
      </c>
      <c r="F304">
        <v>10.4397013886722</v>
      </c>
      <c r="G304">
        <v>79</v>
      </c>
      <c r="H304">
        <v>79</v>
      </c>
      <c r="I304">
        <v>14</v>
      </c>
      <c r="J304">
        <v>2</v>
      </c>
      <c r="K304">
        <v>0</v>
      </c>
      <c r="L304" s="2">
        <f t="shared" si="24"/>
        <v>45292</v>
      </c>
      <c r="M304" s="2">
        <f t="shared" ca="1" si="25"/>
        <v>45318</v>
      </c>
      <c r="N304" s="2" t="str">
        <f t="shared" ca="1" si="26"/>
        <v>N/A</v>
      </c>
      <c r="O304" s="3">
        <f t="shared" ca="1" si="27"/>
        <v>26</v>
      </c>
      <c r="P304" s="3" t="str">
        <f t="shared" ca="1" si="28"/>
        <v>N/A</v>
      </c>
      <c r="Q304" s="1" t="str">
        <f>IF(K304=1,"Joined",IF(H304&gt;=70,"Dropped at Offer",IF(H304&gt;=50,"Dropped at Interview","Dropped at Screening")))</f>
        <v>Dropped at Offer</v>
      </c>
      <c r="R304" s="1" t="str">
        <f t="shared" ca="1" si="29"/>
        <v>Jan-2024</v>
      </c>
    </row>
    <row r="305" spans="1:18">
      <c r="A305">
        <v>43</v>
      </c>
      <c r="B305">
        <v>0</v>
      </c>
      <c r="C305">
        <v>2</v>
      </c>
      <c r="D305">
        <v>12</v>
      </c>
      <c r="E305">
        <v>4</v>
      </c>
      <c r="F305">
        <v>21.720419885924699</v>
      </c>
      <c r="G305">
        <v>23</v>
      </c>
      <c r="H305">
        <v>37</v>
      </c>
      <c r="I305">
        <v>62</v>
      </c>
      <c r="J305">
        <v>3</v>
      </c>
      <c r="K305">
        <v>0</v>
      </c>
      <c r="L305" s="2">
        <f t="shared" si="24"/>
        <v>45292</v>
      </c>
      <c r="M305" s="2">
        <f t="shared" ca="1" si="25"/>
        <v>45334</v>
      </c>
      <c r="N305" s="2" t="str">
        <f t="shared" ca="1" si="26"/>
        <v>N/A</v>
      </c>
      <c r="O305" s="3">
        <f t="shared" ca="1" si="27"/>
        <v>42</v>
      </c>
      <c r="P305" s="3" t="str">
        <f t="shared" ca="1" si="28"/>
        <v>N/A</v>
      </c>
      <c r="Q305" s="1" t="str">
        <f>IF(K305=1,"Joined",IF(H305&gt;=70,"Dropped at Offer",IF(H305&gt;=50,"Dropped at Interview","Dropped at Screening")))</f>
        <v>Dropped at Screening</v>
      </c>
      <c r="R305" s="1" t="str">
        <f t="shared" ca="1" si="29"/>
        <v>Feb-2024</v>
      </c>
    </row>
    <row r="306" spans="1:18">
      <c r="A306">
        <v>46</v>
      </c>
      <c r="B306">
        <v>0</v>
      </c>
      <c r="C306">
        <v>1</v>
      </c>
      <c r="D306">
        <v>14</v>
      </c>
      <c r="E306">
        <v>2</v>
      </c>
      <c r="F306">
        <v>47.791306670141097</v>
      </c>
      <c r="G306">
        <v>76</v>
      </c>
      <c r="H306">
        <v>40</v>
      </c>
      <c r="I306">
        <v>67</v>
      </c>
      <c r="J306">
        <v>2</v>
      </c>
      <c r="K306">
        <v>0</v>
      </c>
      <c r="L306" s="2">
        <f t="shared" si="24"/>
        <v>45292</v>
      </c>
      <c r="M306" s="2">
        <f t="shared" ca="1" si="25"/>
        <v>45325</v>
      </c>
      <c r="N306" s="2" t="str">
        <f t="shared" ca="1" si="26"/>
        <v>N/A</v>
      </c>
      <c r="O306" s="3">
        <f t="shared" ca="1" si="27"/>
        <v>33</v>
      </c>
      <c r="P306" s="3" t="str">
        <f t="shared" ca="1" si="28"/>
        <v>N/A</v>
      </c>
      <c r="Q306" s="1" t="str">
        <f>IF(K306=1,"Joined",IF(H306&gt;=70,"Dropped at Offer",IF(H306&gt;=50,"Dropped at Interview","Dropped at Screening")))</f>
        <v>Dropped at Screening</v>
      </c>
      <c r="R306" s="1" t="str">
        <f t="shared" ca="1" si="29"/>
        <v>Feb-2024</v>
      </c>
    </row>
    <row r="307" spans="1:18">
      <c r="A307">
        <v>36</v>
      </c>
      <c r="B307">
        <v>0</v>
      </c>
      <c r="C307">
        <v>2</v>
      </c>
      <c r="D307">
        <v>3</v>
      </c>
      <c r="E307">
        <v>5</v>
      </c>
      <c r="F307">
        <v>23.852982963288799</v>
      </c>
      <c r="G307">
        <v>23</v>
      </c>
      <c r="H307">
        <v>6</v>
      </c>
      <c r="I307">
        <v>26</v>
      </c>
      <c r="J307">
        <v>2</v>
      </c>
      <c r="K307">
        <v>0</v>
      </c>
      <c r="L307" s="2">
        <f t="shared" si="24"/>
        <v>45292</v>
      </c>
      <c r="M307" s="2">
        <f t="shared" ca="1" si="25"/>
        <v>45335</v>
      </c>
      <c r="N307" s="2" t="str">
        <f t="shared" ca="1" si="26"/>
        <v>N/A</v>
      </c>
      <c r="O307" s="3">
        <f t="shared" ca="1" si="27"/>
        <v>43</v>
      </c>
      <c r="P307" s="3" t="str">
        <f t="shared" ca="1" si="28"/>
        <v>N/A</v>
      </c>
      <c r="Q307" s="1" t="str">
        <f>IF(K307=1,"Joined",IF(H307&gt;=70,"Dropped at Offer",IF(H307&gt;=50,"Dropped at Interview","Dropped at Screening")))</f>
        <v>Dropped at Screening</v>
      </c>
      <c r="R307" s="1" t="str">
        <f t="shared" ca="1" si="29"/>
        <v>Feb-2024</v>
      </c>
    </row>
    <row r="308" spans="1:18">
      <c r="A308">
        <v>50</v>
      </c>
      <c r="B308">
        <v>0</v>
      </c>
      <c r="C308">
        <v>4</v>
      </c>
      <c r="D308">
        <v>2</v>
      </c>
      <c r="E308">
        <v>2</v>
      </c>
      <c r="F308">
        <v>15.5127552686264</v>
      </c>
      <c r="G308">
        <v>53</v>
      </c>
      <c r="H308">
        <v>77</v>
      </c>
      <c r="I308">
        <v>86</v>
      </c>
      <c r="J308">
        <v>3</v>
      </c>
      <c r="K308">
        <v>0</v>
      </c>
      <c r="L308" s="2">
        <f t="shared" si="24"/>
        <v>45292</v>
      </c>
      <c r="M308" s="2">
        <f t="shared" ca="1" si="25"/>
        <v>45306</v>
      </c>
      <c r="N308" s="2" t="str">
        <f t="shared" ca="1" si="26"/>
        <v>N/A</v>
      </c>
      <c r="O308" s="3">
        <f t="shared" ca="1" si="27"/>
        <v>14</v>
      </c>
      <c r="P308" s="3" t="str">
        <f t="shared" ca="1" si="28"/>
        <v>N/A</v>
      </c>
      <c r="Q308" s="1" t="str">
        <f>IF(K308=1,"Joined",IF(H308&gt;=70,"Dropped at Offer",IF(H308&gt;=50,"Dropped at Interview","Dropped at Screening")))</f>
        <v>Dropped at Offer</v>
      </c>
      <c r="R308" s="1" t="str">
        <f t="shared" ca="1" si="29"/>
        <v>Jan-2024</v>
      </c>
    </row>
    <row r="309" spans="1:18">
      <c r="A309">
        <v>25</v>
      </c>
      <c r="B309">
        <v>1</v>
      </c>
      <c r="C309">
        <v>2</v>
      </c>
      <c r="D309">
        <v>2</v>
      </c>
      <c r="E309">
        <v>1</v>
      </c>
      <c r="F309">
        <v>29.096762675983101</v>
      </c>
      <c r="G309">
        <v>25</v>
      </c>
      <c r="H309">
        <v>52</v>
      </c>
      <c r="I309">
        <v>92</v>
      </c>
      <c r="J309">
        <v>2</v>
      </c>
      <c r="K309">
        <v>0</v>
      </c>
      <c r="L309" s="2">
        <f t="shared" si="24"/>
        <v>45292</v>
      </c>
      <c r="M309" s="2">
        <f t="shared" ca="1" si="25"/>
        <v>45327</v>
      </c>
      <c r="N309" s="2" t="str">
        <f t="shared" ca="1" si="26"/>
        <v>N/A</v>
      </c>
      <c r="O309" s="3">
        <f t="shared" ca="1" si="27"/>
        <v>35</v>
      </c>
      <c r="P309" s="3" t="str">
        <f t="shared" ca="1" si="28"/>
        <v>N/A</v>
      </c>
      <c r="Q309" s="1" t="str">
        <f>IF(K309=1,"Joined",IF(H309&gt;=70,"Dropped at Offer",IF(H309&gt;=50,"Dropped at Interview","Dropped at Screening")))</f>
        <v>Dropped at Interview</v>
      </c>
      <c r="R309" s="1" t="str">
        <f t="shared" ca="1" si="29"/>
        <v>Feb-2024</v>
      </c>
    </row>
    <row r="310" spans="1:18">
      <c r="A310">
        <v>43</v>
      </c>
      <c r="B310">
        <v>1</v>
      </c>
      <c r="C310">
        <v>2</v>
      </c>
      <c r="D310">
        <v>3</v>
      </c>
      <c r="E310">
        <v>2</v>
      </c>
      <c r="F310">
        <v>6.5967289067394601</v>
      </c>
      <c r="G310">
        <v>65</v>
      </c>
      <c r="H310">
        <v>62</v>
      </c>
      <c r="I310">
        <v>52</v>
      </c>
      <c r="J310">
        <v>1</v>
      </c>
      <c r="K310">
        <v>0</v>
      </c>
      <c r="L310" s="2">
        <f t="shared" si="24"/>
        <v>45292</v>
      </c>
      <c r="M310" s="2">
        <f t="shared" ca="1" si="25"/>
        <v>45317</v>
      </c>
      <c r="N310" s="2" t="str">
        <f t="shared" ca="1" si="26"/>
        <v>N/A</v>
      </c>
      <c r="O310" s="3">
        <f t="shared" ca="1" si="27"/>
        <v>25</v>
      </c>
      <c r="P310" s="3" t="str">
        <f t="shared" ca="1" si="28"/>
        <v>N/A</v>
      </c>
      <c r="Q310" s="1" t="str">
        <f>IF(K310=1,"Joined",IF(H310&gt;=70,"Dropped at Offer",IF(H310&gt;=50,"Dropped at Interview","Dropped at Screening")))</f>
        <v>Dropped at Interview</v>
      </c>
      <c r="R310" s="1" t="str">
        <f t="shared" ca="1" si="29"/>
        <v>Jan-2024</v>
      </c>
    </row>
    <row r="311" spans="1:18">
      <c r="A311">
        <v>24</v>
      </c>
      <c r="B311">
        <v>0</v>
      </c>
      <c r="C311">
        <v>1</v>
      </c>
      <c r="D311">
        <v>4</v>
      </c>
      <c r="E311">
        <v>4</v>
      </c>
      <c r="F311">
        <v>31.4752945502491</v>
      </c>
      <c r="G311">
        <v>79</v>
      </c>
      <c r="H311">
        <v>88</v>
      </c>
      <c r="I311">
        <v>51</v>
      </c>
      <c r="J311">
        <v>3</v>
      </c>
      <c r="K311">
        <v>0</v>
      </c>
      <c r="L311" s="2">
        <f t="shared" si="24"/>
        <v>45292</v>
      </c>
      <c r="M311" s="2">
        <f t="shared" ca="1" si="25"/>
        <v>45309</v>
      </c>
      <c r="N311" s="2" t="str">
        <f t="shared" ca="1" si="26"/>
        <v>N/A</v>
      </c>
      <c r="O311" s="3">
        <f t="shared" ca="1" si="27"/>
        <v>17</v>
      </c>
      <c r="P311" s="3" t="str">
        <f t="shared" ca="1" si="28"/>
        <v>N/A</v>
      </c>
      <c r="Q311" s="1" t="str">
        <f>IF(K311=1,"Joined",IF(H311&gt;=70,"Dropped at Offer",IF(H311&gt;=50,"Dropped at Interview","Dropped at Screening")))</f>
        <v>Dropped at Offer</v>
      </c>
      <c r="R311" s="1" t="str">
        <f t="shared" ca="1" si="29"/>
        <v>Jan-2024</v>
      </c>
    </row>
    <row r="312" spans="1:18">
      <c r="A312">
        <v>39</v>
      </c>
      <c r="B312">
        <v>1</v>
      </c>
      <c r="C312">
        <v>1</v>
      </c>
      <c r="D312">
        <v>0</v>
      </c>
      <c r="E312">
        <v>3</v>
      </c>
      <c r="F312">
        <v>29.421597716525099</v>
      </c>
      <c r="G312">
        <v>37</v>
      </c>
      <c r="H312">
        <v>31</v>
      </c>
      <c r="I312">
        <v>62</v>
      </c>
      <c r="J312">
        <v>3</v>
      </c>
      <c r="K312">
        <v>0</v>
      </c>
      <c r="L312" s="2">
        <f t="shared" si="24"/>
        <v>45292</v>
      </c>
      <c r="M312" s="2">
        <f t="shared" ca="1" si="25"/>
        <v>45336</v>
      </c>
      <c r="N312" s="2" t="str">
        <f t="shared" ca="1" si="26"/>
        <v>N/A</v>
      </c>
      <c r="O312" s="3">
        <f t="shared" ca="1" si="27"/>
        <v>44</v>
      </c>
      <c r="P312" s="3" t="str">
        <f t="shared" ca="1" si="28"/>
        <v>N/A</v>
      </c>
      <c r="Q312" s="1" t="str">
        <f>IF(K312=1,"Joined",IF(H312&gt;=70,"Dropped at Offer",IF(H312&gt;=50,"Dropped at Interview","Dropped at Screening")))</f>
        <v>Dropped at Screening</v>
      </c>
      <c r="R312" s="1" t="str">
        <f t="shared" ca="1" si="29"/>
        <v>Feb-2024</v>
      </c>
    </row>
    <row r="313" spans="1:18">
      <c r="A313">
        <v>21</v>
      </c>
      <c r="B313">
        <v>1</v>
      </c>
      <c r="C313">
        <v>1</v>
      </c>
      <c r="D313">
        <v>3</v>
      </c>
      <c r="E313">
        <v>2</v>
      </c>
      <c r="F313">
        <v>40.599651670285397</v>
      </c>
      <c r="G313">
        <v>64</v>
      </c>
      <c r="H313">
        <v>37</v>
      </c>
      <c r="I313">
        <v>72</v>
      </c>
      <c r="J313">
        <v>3</v>
      </c>
      <c r="K313">
        <v>0</v>
      </c>
      <c r="L313" s="2">
        <f t="shared" si="24"/>
        <v>45292</v>
      </c>
      <c r="M313" s="2">
        <f t="shared" ca="1" si="25"/>
        <v>45325</v>
      </c>
      <c r="N313" s="2" t="str">
        <f t="shared" ca="1" si="26"/>
        <v>N/A</v>
      </c>
      <c r="O313" s="3">
        <f t="shared" ca="1" si="27"/>
        <v>33</v>
      </c>
      <c r="P313" s="3" t="str">
        <f t="shared" ca="1" si="28"/>
        <v>N/A</v>
      </c>
      <c r="Q313" s="1" t="str">
        <f>IF(K313=1,"Joined",IF(H313&gt;=70,"Dropped at Offer",IF(H313&gt;=50,"Dropped at Interview","Dropped at Screening")))</f>
        <v>Dropped at Screening</v>
      </c>
      <c r="R313" s="1" t="str">
        <f t="shared" ca="1" si="29"/>
        <v>Feb-2024</v>
      </c>
    </row>
    <row r="314" spans="1:18">
      <c r="A314">
        <v>25</v>
      </c>
      <c r="B314">
        <v>1</v>
      </c>
      <c r="C314">
        <v>2</v>
      </c>
      <c r="D314">
        <v>11</v>
      </c>
      <c r="E314">
        <v>3</v>
      </c>
      <c r="F314">
        <v>50.334380580851203</v>
      </c>
      <c r="G314">
        <v>74</v>
      </c>
      <c r="H314">
        <v>21</v>
      </c>
      <c r="I314">
        <v>52</v>
      </c>
      <c r="J314">
        <v>2</v>
      </c>
      <c r="K314">
        <v>0</v>
      </c>
      <c r="L314" s="2">
        <f t="shared" si="24"/>
        <v>45292</v>
      </c>
      <c r="M314" s="2">
        <f t="shared" ca="1" si="25"/>
        <v>45330</v>
      </c>
      <c r="N314" s="2" t="str">
        <f t="shared" ca="1" si="26"/>
        <v>N/A</v>
      </c>
      <c r="O314" s="3">
        <f t="shared" ca="1" si="27"/>
        <v>38</v>
      </c>
      <c r="P314" s="3" t="str">
        <f t="shared" ca="1" si="28"/>
        <v>N/A</v>
      </c>
      <c r="Q314" s="1" t="str">
        <f>IF(K314=1,"Joined",IF(H314&gt;=70,"Dropped at Offer",IF(H314&gt;=50,"Dropped at Interview","Dropped at Screening")))</f>
        <v>Dropped at Screening</v>
      </c>
      <c r="R314" s="1" t="str">
        <f t="shared" ca="1" si="29"/>
        <v>Feb-2024</v>
      </c>
    </row>
    <row r="315" spans="1:18">
      <c r="A315">
        <v>41</v>
      </c>
      <c r="B315">
        <v>1</v>
      </c>
      <c r="C315">
        <v>1</v>
      </c>
      <c r="D315">
        <v>11</v>
      </c>
      <c r="E315">
        <v>1</v>
      </c>
      <c r="F315">
        <v>13.5436735858055</v>
      </c>
      <c r="G315">
        <v>50</v>
      </c>
      <c r="H315">
        <v>15</v>
      </c>
      <c r="I315">
        <v>56</v>
      </c>
      <c r="J315">
        <v>1</v>
      </c>
      <c r="K315">
        <v>0</v>
      </c>
      <c r="L315" s="2">
        <f t="shared" si="24"/>
        <v>45292</v>
      </c>
      <c r="M315" s="2">
        <f t="shared" ca="1" si="25"/>
        <v>45311</v>
      </c>
      <c r="N315" s="2" t="str">
        <f t="shared" ca="1" si="26"/>
        <v>N/A</v>
      </c>
      <c r="O315" s="3">
        <f t="shared" ca="1" si="27"/>
        <v>19</v>
      </c>
      <c r="P315" s="3" t="str">
        <f t="shared" ca="1" si="28"/>
        <v>N/A</v>
      </c>
      <c r="Q315" s="1" t="str">
        <f>IF(K315=1,"Joined",IF(H315&gt;=70,"Dropped at Offer",IF(H315&gt;=50,"Dropped at Interview","Dropped at Screening")))</f>
        <v>Dropped at Screening</v>
      </c>
      <c r="R315" s="1" t="str">
        <f t="shared" ca="1" si="29"/>
        <v>Jan-2024</v>
      </c>
    </row>
    <row r="316" spans="1:18">
      <c r="A316">
        <v>30</v>
      </c>
      <c r="B316">
        <v>0</v>
      </c>
      <c r="C316">
        <v>2</v>
      </c>
      <c r="D316">
        <v>10</v>
      </c>
      <c r="E316">
        <v>5</v>
      </c>
      <c r="F316">
        <v>26.482822540188</v>
      </c>
      <c r="G316">
        <v>34</v>
      </c>
      <c r="H316">
        <v>51</v>
      </c>
      <c r="I316">
        <v>51</v>
      </c>
      <c r="J316">
        <v>3</v>
      </c>
      <c r="K316">
        <v>0</v>
      </c>
      <c r="L316" s="2">
        <f t="shared" si="24"/>
        <v>45292</v>
      </c>
      <c r="M316" s="2">
        <f t="shared" ca="1" si="25"/>
        <v>45317</v>
      </c>
      <c r="N316" s="2" t="str">
        <f t="shared" ca="1" si="26"/>
        <v>N/A</v>
      </c>
      <c r="O316" s="3">
        <f t="shared" ca="1" si="27"/>
        <v>25</v>
      </c>
      <c r="P316" s="3" t="str">
        <f t="shared" ca="1" si="28"/>
        <v>N/A</v>
      </c>
      <c r="Q316" s="1" t="str">
        <f>IF(K316=1,"Joined",IF(H316&gt;=70,"Dropped at Offer",IF(H316&gt;=50,"Dropped at Interview","Dropped at Screening")))</f>
        <v>Dropped at Interview</v>
      </c>
      <c r="R316" s="1" t="str">
        <f t="shared" ca="1" si="29"/>
        <v>Jan-2024</v>
      </c>
    </row>
    <row r="317" spans="1:18">
      <c r="A317">
        <v>50</v>
      </c>
      <c r="B317">
        <v>0</v>
      </c>
      <c r="C317">
        <v>2</v>
      </c>
      <c r="D317">
        <v>7</v>
      </c>
      <c r="E317">
        <v>5</v>
      </c>
      <c r="F317">
        <v>46.443270315950102</v>
      </c>
      <c r="G317">
        <v>42</v>
      </c>
      <c r="H317">
        <v>28</v>
      </c>
      <c r="I317">
        <v>42</v>
      </c>
      <c r="J317">
        <v>1</v>
      </c>
      <c r="K317">
        <v>0</v>
      </c>
      <c r="L317" s="2">
        <f t="shared" si="24"/>
        <v>45292</v>
      </c>
      <c r="M317" s="2">
        <f t="shared" ca="1" si="25"/>
        <v>45310</v>
      </c>
      <c r="N317" s="2" t="str">
        <f t="shared" ca="1" si="26"/>
        <v>N/A</v>
      </c>
      <c r="O317" s="3">
        <f t="shared" ca="1" si="27"/>
        <v>18</v>
      </c>
      <c r="P317" s="3" t="str">
        <f t="shared" ca="1" si="28"/>
        <v>N/A</v>
      </c>
      <c r="Q317" s="1" t="str">
        <f>IF(K317=1,"Joined",IF(H317&gt;=70,"Dropped at Offer",IF(H317&gt;=50,"Dropped at Interview","Dropped at Screening")))</f>
        <v>Dropped at Screening</v>
      </c>
      <c r="R317" s="1" t="str">
        <f t="shared" ca="1" si="29"/>
        <v>Jan-2024</v>
      </c>
    </row>
    <row r="318" spans="1:18">
      <c r="A318">
        <v>35</v>
      </c>
      <c r="B318">
        <v>1</v>
      </c>
      <c r="C318">
        <v>2</v>
      </c>
      <c r="D318">
        <v>9</v>
      </c>
      <c r="E318">
        <v>3</v>
      </c>
      <c r="F318">
        <v>40.259494221141999</v>
      </c>
      <c r="G318">
        <v>28</v>
      </c>
      <c r="H318">
        <v>15</v>
      </c>
      <c r="I318">
        <v>6</v>
      </c>
      <c r="J318">
        <v>3</v>
      </c>
      <c r="K318">
        <v>0</v>
      </c>
      <c r="L318" s="2">
        <f t="shared" si="24"/>
        <v>45292</v>
      </c>
      <c r="M318" s="2">
        <f t="shared" ca="1" si="25"/>
        <v>45336</v>
      </c>
      <c r="N318" s="2" t="str">
        <f t="shared" ca="1" si="26"/>
        <v>N/A</v>
      </c>
      <c r="O318" s="3">
        <f t="shared" ca="1" si="27"/>
        <v>44</v>
      </c>
      <c r="P318" s="3" t="str">
        <f t="shared" ca="1" si="28"/>
        <v>N/A</v>
      </c>
      <c r="Q318" s="1" t="str">
        <f>IF(K318=1,"Joined",IF(H318&gt;=70,"Dropped at Offer",IF(H318&gt;=50,"Dropped at Interview","Dropped at Screening")))</f>
        <v>Dropped at Screening</v>
      </c>
      <c r="R318" s="1" t="str">
        <f t="shared" ca="1" si="29"/>
        <v>Feb-2024</v>
      </c>
    </row>
    <row r="319" spans="1:18">
      <c r="A319">
        <v>35</v>
      </c>
      <c r="B319">
        <v>0</v>
      </c>
      <c r="C319">
        <v>1</v>
      </c>
      <c r="D319">
        <v>6</v>
      </c>
      <c r="E319">
        <v>5</v>
      </c>
      <c r="F319">
        <v>25.370315155040299</v>
      </c>
      <c r="G319">
        <v>36</v>
      </c>
      <c r="H319">
        <v>75</v>
      </c>
      <c r="I319">
        <v>41</v>
      </c>
      <c r="J319">
        <v>3</v>
      </c>
      <c r="K319">
        <v>0</v>
      </c>
      <c r="L319" s="2">
        <f t="shared" si="24"/>
        <v>45292</v>
      </c>
      <c r="M319" s="2">
        <f t="shared" ca="1" si="25"/>
        <v>45313</v>
      </c>
      <c r="N319" s="2" t="str">
        <f t="shared" ca="1" si="26"/>
        <v>N/A</v>
      </c>
      <c r="O319" s="3">
        <f t="shared" ca="1" si="27"/>
        <v>21</v>
      </c>
      <c r="P319" s="3" t="str">
        <f t="shared" ca="1" si="28"/>
        <v>N/A</v>
      </c>
      <c r="Q319" s="1" t="str">
        <f>IF(K319=1,"Joined",IF(H319&gt;=70,"Dropped at Offer",IF(H319&gt;=50,"Dropped at Interview","Dropped at Screening")))</f>
        <v>Dropped at Offer</v>
      </c>
      <c r="R319" s="1" t="str">
        <f t="shared" ca="1" si="29"/>
        <v>Jan-2024</v>
      </c>
    </row>
    <row r="320" spans="1:18">
      <c r="A320">
        <v>20</v>
      </c>
      <c r="B320">
        <v>0</v>
      </c>
      <c r="C320">
        <v>2</v>
      </c>
      <c r="D320">
        <v>8</v>
      </c>
      <c r="E320">
        <v>2</v>
      </c>
      <c r="F320">
        <v>48.2685824807388</v>
      </c>
      <c r="G320">
        <v>80</v>
      </c>
      <c r="H320">
        <v>16</v>
      </c>
      <c r="I320">
        <v>3</v>
      </c>
      <c r="J320">
        <v>2</v>
      </c>
      <c r="K320">
        <v>0</v>
      </c>
      <c r="L320" s="2">
        <f t="shared" si="24"/>
        <v>45292</v>
      </c>
      <c r="M320" s="2">
        <f t="shared" ca="1" si="25"/>
        <v>45328</v>
      </c>
      <c r="N320" s="2" t="str">
        <f t="shared" ca="1" si="26"/>
        <v>N/A</v>
      </c>
      <c r="O320" s="3">
        <f t="shared" ca="1" si="27"/>
        <v>36</v>
      </c>
      <c r="P320" s="3" t="str">
        <f t="shared" ca="1" si="28"/>
        <v>N/A</v>
      </c>
      <c r="Q320" s="1" t="str">
        <f>IF(K320=1,"Joined",IF(H320&gt;=70,"Dropped at Offer",IF(H320&gt;=50,"Dropped at Interview","Dropped at Screening")))</f>
        <v>Dropped at Screening</v>
      </c>
      <c r="R320" s="1" t="str">
        <f t="shared" ca="1" si="29"/>
        <v>Feb-2024</v>
      </c>
    </row>
    <row r="321" spans="1:18">
      <c r="A321">
        <v>28</v>
      </c>
      <c r="B321">
        <v>0</v>
      </c>
      <c r="C321">
        <v>4</v>
      </c>
      <c r="D321">
        <v>4</v>
      </c>
      <c r="E321">
        <v>3</v>
      </c>
      <c r="F321">
        <v>3.86183467584046</v>
      </c>
      <c r="G321">
        <v>57</v>
      </c>
      <c r="H321">
        <v>100</v>
      </c>
      <c r="I321">
        <v>68</v>
      </c>
      <c r="J321">
        <v>3</v>
      </c>
      <c r="K321">
        <v>0</v>
      </c>
      <c r="L321" s="2">
        <f t="shared" si="24"/>
        <v>45292</v>
      </c>
      <c r="M321" s="2">
        <f t="shared" ca="1" si="25"/>
        <v>45306</v>
      </c>
      <c r="N321" s="2" t="str">
        <f t="shared" ca="1" si="26"/>
        <v>N/A</v>
      </c>
      <c r="O321" s="3">
        <f t="shared" ca="1" si="27"/>
        <v>14</v>
      </c>
      <c r="P321" s="3" t="str">
        <f t="shared" ca="1" si="28"/>
        <v>N/A</v>
      </c>
      <c r="Q321" s="1" t="str">
        <f>IF(K321=1,"Joined",IF(H321&gt;=70,"Dropped at Offer",IF(H321&gt;=50,"Dropped at Interview","Dropped at Screening")))</f>
        <v>Dropped at Offer</v>
      </c>
      <c r="R321" s="1" t="str">
        <f t="shared" ca="1" si="29"/>
        <v>Jan-2024</v>
      </c>
    </row>
    <row r="322" spans="1:18">
      <c r="A322">
        <v>47</v>
      </c>
      <c r="B322">
        <v>1</v>
      </c>
      <c r="C322">
        <v>2</v>
      </c>
      <c r="D322">
        <v>12</v>
      </c>
      <c r="E322">
        <v>4</v>
      </c>
      <c r="F322">
        <v>47.549930985629203</v>
      </c>
      <c r="G322">
        <v>53</v>
      </c>
      <c r="H322">
        <v>63</v>
      </c>
      <c r="I322">
        <v>4</v>
      </c>
      <c r="J322">
        <v>2</v>
      </c>
      <c r="K322">
        <v>0</v>
      </c>
      <c r="L322" s="2">
        <f t="shared" ref="L322:L385" si="30">DATE(2024,1,1)</f>
        <v>45292</v>
      </c>
      <c r="M322" s="2">
        <f t="shared" ref="M322:M385" ca="1" si="31">L322+RANDBETWEEN(14,45)</f>
        <v>45308</v>
      </c>
      <c r="N322" s="2" t="str">
        <f t="shared" ref="N322:N385" ca="1" si="32">IF(K322=1, M322+RANDBETWEEN(7,30), "N/A")</f>
        <v>N/A</v>
      </c>
      <c r="O322" s="3">
        <f t="shared" ref="O322:O385" ca="1" si="33">IF(AND(M322&lt;&gt;"",L322&lt;&gt;""), M322-L322, "N/A")</f>
        <v>16</v>
      </c>
      <c r="P322" s="3" t="str">
        <f t="shared" ref="P322:Q385" ca="1" si="34">IF(AND(K322=1, N322&lt;&gt;"", M322&lt;&gt;""), N322 - M322, "N/A")</f>
        <v>N/A</v>
      </c>
      <c r="Q322" s="1" t="str">
        <f>IF(K322=1,"Joined",IF(H322&gt;=70,"Dropped at Offer",IF(H322&gt;=50,"Dropped at Interview","Dropped at Screening")))</f>
        <v>Dropped at Interview</v>
      </c>
      <c r="R322" s="1" t="str">
        <f t="shared" ref="R322:R385" ca="1" si="35">TEXT(M322,"MMM-YYYY")</f>
        <v>Jan-2024</v>
      </c>
    </row>
    <row r="323" spans="1:18">
      <c r="A323">
        <v>46</v>
      </c>
      <c r="B323">
        <v>1</v>
      </c>
      <c r="C323">
        <v>2</v>
      </c>
      <c r="D323">
        <v>14</v>
      </c>
      <c r="E323">
        <v>2</v>
      </c>
      <c r="F323">
        <v>3.5253696191403199</v>
      </c>
      <c r="G323">
        <v>38</v>
      </c>
      <c r="H323">
        <v>90</v>
      </c>
      <c r="I323">
        <v>74</v>
      </c>
      <c r="J323">
        <v>1</v>
      </c>
      <c r="K323">
        <v>1</v>
      </c>
      <c r="L323" s="2">
        <f t="shared" si="30"/>
        <v>45292</v>
      </c>
      <c r="M323" s="2">
        <f t="shared" ca="1" si="31"/>
        <v>45315</v>
      </c>
      <c r="N323" s="2">
        <f t="shared" ca="1" si="32"/>
        <v>45333</v>
      </c>
      <c r="O323" s="3">
        <f t="shared" ca="1" si="33"/>
        <v>23</v>
      </c>
      <c r="P323" s="3">
        <f t="shared" ca="1" si="34"/>
        <v>18</v>
      </c>
      <c r="Q323" s="1" t="str">
        <f>IF(K323=1,"Joined",IF(H323&gt;=70,"Dropped at Offer",IF(H323&gt;=50,"Dropped at Interview","Dropped at Screening")))</f>
        <v>Joined</v>
      </c>
      <c r="R323" s="1" t="str">
        <f t="shared" ca="1" si="35"/>
        <v>Jan-2024</v>
      </c>
    </row>
    <row r="324" spans="1:18">
      <c r="A324">
        <v>25</v>
      </c>
      <c r="B324">
        <v>1</v>
      </c>
      <c r="C324">
        <v>1</v>
      </c>
      <c r="D324">
        <v>9</v>
      </c>
      <c r="E324">
        <v>2</v>
      </c>
      <c r="F324">
        <v>28.3652372057342</v>
      </c>
      <c r="G324">
        <v>41</v>
      </c>
      <c r="H324">
        <v>88</v>
      </c>
      <c r="I324">
        <v>91</v>
      </c>
      <c r="J324">
        <v>2</v>
      </c>
      <c r="K324">
        <v>0</v>
      </c>
      <c r="L324" s="2">
        <f t="shared" si="30"/>
        <v>45292</v>
      </c>
      <c r="M324" s="2">
        <f t="shared" ca="1" si="31"/>
        <v>45329</v>
      </c>
      <c r="N324" s="2" t="str">
        <f t="shared" ca="1" si="32"/>
        <v>N/A</v>
      </c>
      <c r="O324" s="3">
        <f t="shared" ca="1" si="33"/>
        <v>37</v>
      </c>
      <c r="P324" s="3" t="str">
        <f t="shared" ca="1" si="34"/>
        <v>N/A</v>
      </c>
      <c r="Q324" s="1" t="str">
        <f>IF(K324=1,"Joined",IF(H324&gt;=70,"Dropped at Offer",IF(H324&gt;=50,"Dropped at Interview","Dropped at Screening")))</f>
        <v>Dropped at Offer</v>
      </c>
      <c r="R324" s="1" t="str">
        <f t="shared" ca="1" si="35"/>
        <v>Feb-2024</v>
      </c>
    </row>
    <row r="325" spans="1:18">
      <c r="A325">
        <v>35</v>
      </c>
      <c r="B325">
        <v>0</v>
      </c>
      <c r="C325">
        <v>4</v>
      </c>
      <c r="D325">
        <v>3</v>
      </c>
      <c r="E325">
        <v>2</v>
      </c>
      <c r="F325">
        <v>45.522047400054198</v>
      </c>
      <c r="G325">
        <v>27</v>
      </c>
      <c r="H325">
        <v>12</v>
      </c>
      <c r="I325">
        <v>79</v>
      </c>
      <c r="J325">
        <v>1</v>
      </c>
      <c r="K325">
        <v>1</v>
      </c>
      <c r="L325" s="2">
        <f t="shared" si="30"/>
        <v>45292</v>
      </c>
      <c r="M325" s="2">
        <f t="shared" ca="1" si="31"/>
        <v>45325</v>
      </c>
      <c r="N325" s="2">
        <f t="shared" ca="1" si="32"/>
        <v>45343</v>
      </c>
      <c r="O325" s="3">
        <f t="shared" ca="1" si="33"/>
        <v>33</v>
      </c>
      <c r="P325" s="3">
        <f t="shared" ca="1" si="34"/>
        <v>18</v>
      </c>
      <c r="Q325" s="1" t="str">
        <f>IF(K325=1,"Joined",IF(H325&gt;=70,"Dropped at Offer",IF(H325&gt;=50,"Dropped at Interview","Dropped at Screening")))</f>
        <v>Joined</v>
      </c>
      <c r="R325" s="1" t="str">
        <f t="shared" ca="1" si="35"/>
        <v>Feb-2024</v>
      </c>
    </row>
    <row r="326" spans="1:18">
      <c r="A326">
        <v>48</v>
      </c>
      <c r="B326">
        <v>1</v>
      </c>
      <c r="C326">
        <v>2</v>
      </c>
      <c r="D326">
        <v>7</v>
      </c>
      <c r="E326">
        <v>4</v>
      </c>
      <c r="F326">
        <v>14.1360471780651</v>
      </c>
      <c r="G326">
        <v>28</v>
      </c>
      <c r="H326">
        <v>71</v>
      </c>
      <c r="I326">
        <v>40</v>
      </c>
      <c r="J326">
        <v>2</v>
      </c>
      <c r="K326">
        <v>0</v>
      </c>
      <c r="L326" s="2">
        <f t="shared" si="30"/>
        <v>45292</v>
      </c>
      <c r="M326" s="2">
        <f t="shared" ca="1" si="31"/>
        <v>45333</v>
      </c>
      <c r="N326" s="2" t="str">
        <f t="shared" ca="1" si="32"/>
        <v>N/A</v>
      </c>
      <c r="O326" s="3">
        <f t="shared" ca="1" si="33"/>
        <v>41</v>
      </c>
      <c r="P326" s="3" t="str">
        <f t="shared" ca="1" si="34"/>
        <v>N/A</v>
      </c>
      <c r="Q326" s="1" t="str">
        <f>IF(K326=1,"Joined",IF(H326&gt;=70,"Dropped at Offer",IF(H326&gt;=50,"Dropped at Interview","Dropped at Screening")))</f>
        <v>Dropped at Offer</v>
      </c>
      <c r="R326" s="1" t="str">
        <f t="shared" ca="1" si="35"/>
        <v>Feb-2024</v>
      </c>
    </row>
    <row r="327" spans="1:18">
      <c r="A327">
        <v>22</v>
      </c>
      <c r="B327">
        <v>1</v>
      </c>
      <c r="C327">
        <v>2</v>
      </c>
      <c r="D327">
        <v>8</v>
      </c>
      <c r="E327">
        <v>1</v>
      </c>
      <c r="F327">
        <v>24.6124249472579</v>
      </c>
      <c r="G327">
        <v>42</v>
      </c>
      <c r="H327">
        <v>55</v>
      </c>
      <c r="I327">
        <v>93</v>
      </c>
      <c r="J327">
        <v>1</v>
      </c>
      <c r="K327">
        <v>1</v>
      </c>
      <c r="L327" s="2">
        <f t="shared" si="30"/>
        <v>45292</v>
      </c>
      <c r="M327" s="2">
        <f t="shared" ca="1" si="31"/>
        <v>45316</v>
      </c>
      <c r="N327" s="2">
        <f t="shared" ca="1" si="32"/>
        <v>45329</v>
      </c>
      <c r="O327" s="3">
        <f t="shared" ca="1" si="33"/>
        <v>24</v>
      </c>
      <c r="P327" s="3">
        <f t="shared" ca="1" si="34"/>
        <v>13</v>
      </c>
      <c r="Q327" s="1" t="str">
        <f>IF(K327=1,"Joined",IF(H327&gt;=70,"Dropped at Offer",IF(H327&gt;=50,"Dropped at Interview","Dropped at Screening")))</f>
        <v>Joined</v>
      </c>
      <c r="R327" s="1" t="str">
        <f t="shared" ca="1" si="35"/>
        <v>Jan-2024</v>
      </c>
    </row>
    <row r="328" spans="1:18">
      <c r="A328">
        <v>39</v>
      </c>
      <c r="B328">
        <v>0</v>
      </c>
      <c r="C328">
        <v>3</v>
      </c>
      <c r="D328">
        <v>12</v>
      </c>
      <c r="E328">
        <v>5</v>
      </c>
      <c r="F328">
        <v>17.216443956848298</v>
      </c>
      <c r="G328">
        <v>2</v>
      </c>
      <c r="H328">
        <v>4</v>
      </c>
      <c r="I328">
        <v>3</v>
      </c>
      <c r="J328">
        <v>2</v>
      </c>
      <c r="K328">
        <v>0</v>
      </c>
      <c r="L328" s="2">
        <f t="shared" si="30"/>
        <v>45292</v>
      </c>
      <c r="M328" s="2">
        <f t="shared" ca="1" si="31"/>
        <v>45311</v>
      </c>
      <c r="N328" s="2" t="str">
        <f t="shared" ca="1" si="32"/>
        <v>N/A</v>
      </c>
      <c r="O328" s="3">
        <f t="shared" ca="1" si="33"/>
        <v>19</v>
      </c>
      <c r="P328" s="3" t="str">
        <f t="shared" ca="1" si="34"/>
        <v>N/A</v>
      </c>
      <c r="Q328" s="1" t="str">
        <f>IF(K328=1,"Joined",IF(H328&gt;=70,"Dropped at Offer",IF(H328&gt;=50,"Dropped at Interview","Dropped at Screening")))</f>
        <v>Dropped at Screening</v>
      </c>
      <c r="R328" s="1" t="str">
        <f t="shared" ca="1" si="35"/>
        <v>Jan-2024</v>
      </c>
    </row>
    <row r="329" spans="1:18">
      <c r="A329">
        <v>47</v>
      </c>
      <c r="B329">
        <v>1</v>
      </c>
      <c r="C329">
        <v>2</v>
      </c>
      <c r="D329">
        <v>6</v>
      </c>
      <c r="E329">
        <v>3</v>
      </c>
      <c r="F329">
        <v>48.607195853817501</v>
      </c>
      <c r="G329">
        <v>9</v>
      </c>
      <c r="H329">
        <v>11</v>
      </c>
      <c r="I329">
        <v>1</v>
      </c>
      <c r="J329">
        <v>3</v>
      </c>
      <c r="K329">
        <v>0</v>
      </c>
      <c r="L329" s="2">
        <f t="shared" si="30"/>
        <v>45292</v>
      </c>
      <c r="M329" s="2">
        <f t="shared" ca="1" si="31"/>
        <v>45327</v>
      </c>
      <c r="N329" s="2" t="str">
        <f t="shared" ca="1" si="32"/>
        <v>N/A</v>
      </c>
      <c r="O329" s="3">
        <f t="shared" ca="1" si="33"/>
        <v>35</v>
      </c>
      <c r="P329" s="3" t="str">
        <f t="shared" ca="1" si="34"/>
        <v>N/A</v>
      </c>
      <c r="Q329" s="1" t="str">
        <f>IF(K329=1,"Joined",IF(H329&gt;=70,"Dropped at Offer",IF(H329&gt;=50,"Dropped at Interview","Dropped at Screening")))</f>
        <v>Dropped at Screening</v>
      </c>
      <c r="R329" s="1" t="str">
        <f t="shared" ca="1" si="35"/>
        <v>Feb-2024</v>
      </c>
    </row>
    <row r="330" spans="1:18">
      <c r="A330">
        <v>46</v>
      </c>
      <c r="B330">
        <v>1</v>
      </c>
      <c r="C330">
        <v>2</v>
      </c>
      <c r="D330">
        <v>13</v>
      </c>
      <c r="E330">
        <v>1</v>
      </c>
      <c r="F330">
        <v>42.182279737654497</v>
      </c>
      <c r="G330">
        <v>58</v>
      </c>
      <c r="H330">
        <v>40</v>
      </c>
      <c r="I330">
        <v>66</v>
      </c>
      <c r="J330">
        <v>3</v>
      </c>
      <c r="K330">
        <v>0</v>
      </c>
      <c r="L330" s="2">
        <f t="shared" si="30"/>
        <v>45292</v>
      </c>
      <c r="M330" s="2">
        <f t="shared" ca="1" si="31"/>
        <v>45334</v>
      </c>
      <c r="N330" s="2" t="str">
        <f t="shared" ca="1" si="32"/>
        <v>N/A</v>
      </c>
      <c r="O330" s="3">
        <f t="shared" ca="1" si="33"/>
        <v>42</v>
      </c>
      <c r="P330" s="3" t="str">
        <f t="shared" ca="1" si="34"/>
        <v>N/A</v>
      </c>
      <c r="Q330" s="1" t="str">
        <f>IF(K330=1,"Joined",IF(H330&gt;=70,"Dropped at Offer",IF(H330&gt;=50,"Dropped at Interview","Dropped at Screening")))</f>
        <v>Dropped at Screening</v>
      </c>
      <c r="R330" s="1" t="str">
        <f t="shared" ca="1" si="35"/>
        <v>Feb-2024</v>
      </c>
    </row>
    <row r="331" spans="1:18">
      <c r="A331">
        <v>23</v>
      </c>
      <c r="B331">
        <v>0</v>
      </c>
      <c r="C331">
        <v>2</v>
      </c>
      <c r="D331">
        <v>15</v>
      </c>
      <c r="E331">
        <v>3</v>
      </c>
      <c r="F331">
        <v>36.450075566318901</v>
      </c>
      <c r="G331">
        <v>13</v>
      </c>
      <c r="H331">
        <v>2</v>
      </c>
      <c r="I331">
        <v>20</v>
      </c>
      <c r="J331">
        <v>2</v>
      </c>
      <c r="K331">
        <v>0</v>
      </c>
      <c r="L331" s="2">
        <f t="shared" si="30"/>
        <v>45292</v>
      </c>
      <c r="M331" s="2">
        <f t="shared" ca="1" si="31"/>
        <v>45306</v>
      </c>
      <c r="N331" s="2" t="str">
        <f t="shared" ca="1" si="32"/>
        <v>N/A</v>
      </c>
      <c r="O331" s="3">
        <f t="shared" ca="1" si="33"/>
        <v>14</v>
      </c>
      <c r="P331" s="3" t="str">
        <f t="shared" ca="1" si="34"/>
        <v>N/A</v>
      </c>
      <c r="Q331" s="1" t="str">
        <f>IF(K331=1,"Joined",IF(H331&gt;=70,"Dropped at Offer",IF(H331&gt;=50,"Dropped at Interview","Dropped at Screening")))</f>
        <v>Dropped at Screening</v>
      </c>
      <c r="R331" s="1" t="str">
        <f t="shared" ca="1" si="35"/>
        <v>Jan-2024</v>
      </c>
    </row>
    <row r="332" spans="1:18">
      <c r="A332">
        <v>38</v>
      </c>
      <c r="B332">
        <v>0</v>
      </c>
      <c r="C332">
        <v>2</v>
      </c>
      <c r="D332">
        <v>6</v>
      </c>
      <c r="E332">
        <v>5</v>
      </c>
      <c r="F332">
        <v>30.381349330755398</v>
      </c>
      <c r="G332">
        <v>75</v>
      </c>
      <c r="H332">
        <v>98</v>
      </c>
      <c r="I332">
        <v>69</v>
      </c>
      <c r="J332">
        <v>2</v>
      </c>
      <c r="K332">
        <v>1</v>
      </c>
      <c r="L332" s="2">
        <f t="shared" si="30"/>
        <v>45292</v>
      </c>
      <c r="M332" s="2">
        <f t="shared" ca="1" si="31"/>
        <v>45308</v>
      </c>
      <c r="N332" s="2">
        <f t="shared" ca="1" si="32"/>
        <v>45325</v>
      </c>
      <c r="O332" s="3">
        <f t="shared" ca="1" si="33"/>
        <v>16</v>
      </c>
      <c r="P332" s="3">
        <f t="shared" ca="1" si="34"/>
        <v>17</v>
      </c>
      <c r="Q332" s="1" t="str">
        <f>IF(K332=1,"Joined",IF(H332&gt;=70,"Dropped at Offer",IF(H332&gt;=50,"Dropped at Interview","Dropped at Screening")))</f>
        <v>Joined</v>
      </c>
      <c r="R332" s="1" t="str">
        <f t="shared" ca="1" si="35"/>
        <v>Jan-2024</v>
      </c>
    </row>
    <row r="333" spans="1:18">
      <c r="A333">
        <v>45</v>
      </c>
      <c r="B333">
        <v>0</v>
      </c>
      <c r="C333">
        <v>4</v>
      </c>
      <c r="D333">
        <v>15</v>
      </c>
      <c r="E333">
        <v>4</v>
      </c>
      <c r="F333">
        <v>42.029589466207398</v>
      </c>
      <c r="G333">
        <v>46</v>
      </c>
      <c r="H333">
        <v>32</v>
      </c>
      <c r="I333">
        <v>42</v>
      </c>
      <c r="J333">
        <v>2</v>
      </c>
      <c r="K333">
        <v>0</v>
      </c>
      <c r="L333" s="2">
        <f t="shared" si="30"/>
        <v>45292</v>
      </c>
      <c r="M333" s="2">
        <f t="shared" ca="1" si="31"/>
        <v>45325</v>
      </c>
      <c r="N333" s="2" t="str">
        <f t="shared" ca="1" si="32"/>
        <v>N/A</v>
      </c>
      <c r="O333" s="3">
        <f t="shared" ca="1" si="33"/>
        <v>33</v>
      </c>
      <c r="P333" s="3" t="str">
        <f t="shared" ca="1" si="34"/>
        <v>N/A</v>
      </c>
      <c r="Q333" s="1" t="str">
        <f>IF(K333=1,"Joined",IF(H333&gt;=70,"Dropped at Offer",IF(H333&gt;=50,"Dropped at Interview","Dropped at Screening")))</f>
        <v>Dropped at Screening</v>
      </c>
      <c r="R333" s="1" t="str">
        <f t="shared" ca="1" si="35"/>
        <v>Feb-2024</v>
      </c>
    </row>
    <row r="334" spans="1:18">
      <c r="A334">
        <v>22</v>
      </c>
      <c r="B334">
        <v>1</v>
      </c>
      <c r="C334">
        <v>3</v>
      </c>
      <c r="D334">
        <v>4</v>
      </c>
      <c r="E334">
        <v>2</v>
      </c>
      <c r="F334">
        <v>20.6133520761773</v>
      </c>
      <c r="G334">
        <v>41</v>
      </c>
      <c r="H334">
        <v>85</v>
      </c>
      <c r="I334">
        <v>81</v>
      </c>
      <c r="J334">
        <v>3</v>
      </c>
      <c r="K334">
        <v>0</v>
      </c>
      <c r="L334" s="2">
        <f t="shared" si="30"/>
        <v>45292</v>
      </c>
      <c r="M334" s="2">
        <f t="shared" ca="1" si="31"/>
        <v>45319</v>
      </c>
      <c r="N334" s="2" t="str">
        <f t="shared" ca="1" si="32"/>
        <v>N/A</v>
      </c>
      <c r="O334" s="3">
        <f t="shared" ca="1" si="33"/>
        <v>27</v>
      </c>
      <c r="P334" s="3" t="str">
        <f t="shared" ca="1" si="34"/>
        <v>N/A</v>
      </c>
      <c r="Q334" s="1" t="str">
        <f>IF(K334=1,"Joined",IF(H334&gt;=70,"Dropped at Offer",IF(H334&gt;=50,"Dropped at Interview","Dropped at Screening")))</f>
        <v>Dropped at Offer</v>
      </c>
      <c r="R334" s="1" t="str">
        <f t="shared" ca="1" si="35"/>
        <v>Jan-2024</v>
      </c>
    </row>
    <row r="335" spans="1:18">
      <c r="A335">
        <v>50</v>
      </c>
      <c r="B335">
        <v>1</v>
      </c>
      <c r="C335">
        <v>2</v>
      </c>
      <c r="D335">
        <v>3</v>
      </c>
      <c r="E335">
        <v>2</v>
      </c>
      <c r="F335">
        <v>23.377592755302999</v>
      </c>
      <c r="G335">
        <v>93</v>
      </c>
      <c r="H335">
        <v>49</v>
      </c>
      <c r="I335">
        <v>68</v>
      </c>
      <c r="J335">
        <v>2</v>
      </c>
      <c r="K335">
        <v>0</v>
      </c>
      <c r="L335" s="2">
        <f t="shared" si="30"/>
        <v>45292</v>
      </c>
      <c r="M335" s="2">
        <f t="shared" ca="1" si="31"/>
        <v>45332</v>
      </c>
      <c r="N335" s="2" t="str">
        <f t="shared" ca="1" si="32"/>
        <v>N/A</v>
      </c>
      <c r="O335" s="3">
        <f t="shared" ca="1" si="33"/>
        <v>40</v>
      </c>
      <c r="P335" s="3" t="str">
        <f t="shared" ca="1" si="34"/>
        <v>N/A</v>
      </c>
      <c r="Q335" s="1" t="str">
        <f>IF(K335=1,"Joined",IF(H335&gt;=70,"Dropped at Offer",IF(H335&gt;=50,"Dropped at Interview","Dropped at Screening")))</f>
        <v>Dropped at Screening</v>
      </c>
      <c r="R335" s="1" t="str">
        <f t="shared" ca="1" si="35"/>
        <v>Feb-2024</v>
      </c>
    </row>
    <row r="336" spans="1:18">
      <c r="A336">
        <v>38</v>
      </c>
      <c r="B336">
        <v>1</v>
      </c>
      <c r="C336">
        <v>1</v>
      </c>
      <c r="D336">
        <v>13</v>
      </c>
      <c r="E336">
        <v>4</v>
      </c>
      <c r="F336">
        <v>37.500086054043003</v>
      </c>
      <c r="G336">
        <v>31</v>
      </c>
      <c r="H336">
        <v>55</v>
      </c>
      <c r="I336">
        <v>8</v>
      </c>
      <c r="J336">
        <v>2</v>
      </c>
      <c r="K336">
        <v>0</v>
      </c>
      <c r="L336" s="2">
        <f t="shared" si="30"/>
        <v>45292</v>
      </c>
      <c r="M336" s="2">
        <f t="shared" ca="1" si="31"/>
        <v>45309</v>
      </c>
      <c r="N336" s="2" t="str">
        <f t="shared" ca="1" si="32"/>
        <v>N/A</v>
      </c>
      <c r="O336" s="3">
        <f t="shared" ca="1" si="33"/>
        <v>17</v>
      </c>
      <c r="P336" s="3" t="str">
        <f t="shared" ca="1" si="34"/>
        <v>N/A</v>
      </c>
      <c r="Q336" s="1" t="str">
        <f>IF(K336=1,"Joined",IF(H336&gt;=70,"Dropped at Offer",IF(H336&gt;=50,"Dropped at Interview","Dropped at Screening")))</f>
        <v>Dropped at Interview</v>
      </c>
      <c r="R336" s="1" t="str">
        <f t="shared" ca="1" si="35"/>
        <v>Jan-2024</v>
      </c>
    </row>
    <row r="337" spans="1:18">
      <c r="A337">
        <v>39</v>
      </c>
      <c r="B337">
        <v>0</v>
      </c>
      <c r="C337">
        <v>1</v>
      </c>
      <c r="D337">
        <v>9</v>
      </c>
      <c r="E337">
        <v>1</v>
      </c>
      <c r="F337">
        <v>18.8877381646857</v>
      </c>
      <c r="G337">
        <v>31</v>
      </c>
      <c r="H337">
        <v>8</v>
      </c>
      <c r="I337">
        <v>83</v>
      </c>
      <c r="J337">
        <v>3</v>
      </c>
      <c r="K337">
        <v>0</v>
      </c>
      <c r="L337" s="2">
        <f t="shared" si="30"/>
        <v>45292</v>
      </c>
      <c r="M337" s="2">
        <f t="shared" ca="1" si="31"/>
        <v>45329</v>
      </c>
      <c r="N337" s="2" t="str">
        <f t="shared" ca="1" si="32"/>
        <v>N/A</v>
      </c>
      <c r="O337" s="3">
        <f t="shared" ca="1" si="33"/>
        <v>37</v>
      </c>
      <c r="P337" s="3" t="str">
        <f t="shared" ca="1" si="34"/>
        <v>N/A</v>
      </c>
      <c r="Q337" s="1" t="str">
        <f>IF(K337=1,"Joined",IF(H337&gt;=70,"Dropped at Offer",IF(H337&gt;=50,"Dropped at Interview","Dropped at Screening")))</f>
        <v>Dropped at Screening</v>
      </c>
      <c r="R337" s="1" t="str">
        <f t="shared" ca="1" si="35"/>
        <v>Feb-2024</v>
      </c>
    </row>
    <row r="338" spans="1:18">
      <c r="A338">
        <v>26</v>
      </c>
      <c r="B338">
        <v>0</v>
      </c>
      <c r="C338">
        <v>2</v>
      </c>
      <c r="D338">
        <v>0</v>
      </c>
      <c r="E338">
        <v>1</v>
      </c>
      <c r="F338">
        <v>4.1950471024186902</v>
      </c>
      <c r="G338">
        <v>41</v>
      </c>
      <c r="H338">
        <v>81</v>
      </c>
      <c r="I338">
        <v>27</v>
      </c>
      <c r="J338">
        <v>2</v>
      </c>
      <c r="K338">
        <v>0</v>
      </c>
      <c r="L338" s="2">
        <f t="shared" si="30"/>
        <v>45292</v>
      </c>
      <c r="M338" s="2">
        <f t="shared" ca="1" si="31"/>
        <v>45321</v>
      </c>
      <c r="N338" s="2" t="str">
        <f t="shared" ca="1" si="32"/>
        <v>N/A</v>
      </c>
      <c r="O338" s="3">
        <f t="shared" ca="1" si="33"/>
        <v>29</v>
      </c>
      <c r="P338" s="3" t="str">
        <f t="shared" ca="1" si="34"/>
        <v>N/A</v>
      </c>
      <c r="Q338" s="1" t="str">
        <f>IF(K338=1,"Joined",IF(H338&gt;=70,"Dropped at Offer",IF(H338&gt;=50,"Dropped at Interview","Dropped at Screening")))</f>
        <v>Dropped at Offer</v>
      </c>
      <c r="R338" s="1" t="str">
        <f t="shared" ca="1" si="35"/>
        <v>Jan-2024</v>
      </c>
    </row>
    <row r="339" spans="1:18">
      <c r="A339">
        <v>39</v>
      </c>
      <c r="B339">
        <v>1</v>
      </c>
      <c r="C339">
        <v>3</v>
      </c>
      <c r="D339">
        <v>9</v>
      </c>
      <c r="E339">
        <v>3</v>
      </c>
      <c r="F339">
        <v>4.71673044430357</v>
      </c>
      <c r="G339">
        <v>31</v>
      </c>
      <c r="H339">
        <v>49</v>
      </c>
      <c r="I339">
        <v>25</v>
      </c>
      <c r="J339">
        <v>3</v>
      </c>
      <c r="K339">
        <v>0</v>
      </c>
      <c r="L339" s="2">
        <f t="shared" si="30"/>
        <v>45292</v>
      </c>
      <c r="M339" s="2">
        <f t="shared" ca="1" si="31"/>
        <v>45336</v>
      </c>
      <c r="N339" s="2" t="str">
        <f t="shared" ca="1" si="32"/>
        <v>N/A</v>
      </c>
      <c r="O339" s="3">
        <f t="shared" ca="1" si="33"/>
        <v>44</v>
      </c>
      <c r="P339" s="3" t="str">
        <f t="shared" ca="1" si="34"/>
        <v>N/A</v>
      </c>
      <c r="Q339" s="1" t="str">
        <f>IF(K339=1,"Joined",IF(H339&gt;=70,"Dropped at Offer",IF(H339&gt;=50,"Dropped at Interview","Dropped at Screening")))</f>
        <v>Dropped at Screening</v>
      </c>
      <c r="R339" s="1" t="str">
        <f t="shared" ca="1" si="35"/>
        <v>Feb-2024</v>
      </c>
    </row>
    <row r="340" spans="1:18">
      <c r="A340">
        <v>28</v>
      </c>
      <c r="B340">
        <v>1</v>
      </c>
      <c r="C340">
        <v>2</v>
      </c>
      <c r="D340">
        <v>9</v>
      </c>
      <c r="E340">
        <v>4</v>
      </c>
      <c r="F340">
        <v>6.7681400652851904</v>
      </c>
      <c r="G340">
        <v>25</v>
      </c>
      <c r="H340">
        <v>28</v>
      </c>
      <c r="I340">
        <v>81</v>
      </c>
      <c r="J340">
        <v>3</v>
      </c>
      <c r="K340">
        <v>0</v>
      </c>
      <c r="L340" s="2">
        <f t="shared" si="30"/>
        <v>45292</v>
      </c>
      <c r="M340" s="2">
        <f t="shared" ca="1" si="31"/>
        <v>45320</v>
      </c>
      <c r="N340" s="2" t="str">
        <f t="shared" ca="1" si="32"/>
        <v>N/A</v>
      </c>
      <c r="O340" s="3">
        <f t="shared" ca="1" si="33"/>
        <v>28</v>
      </c>
      <c r="P340" s="3" t="str">
        <f t="shared" ca="1" si="34"/>
        <v>N/A</v>
      </c>
      <c r="Q340" s="1" t="str">
        <f>IF(K340=1,"Joined",IF(H340&gt;=70,"Dropped at Offer",IF(H340&gt;=50,"Dropped at Interview","Dropped at Screening")))</f>
        <v>Dropped at Screening</v>
      </c>
      <c r="R340" s="1" t="str">
        <f t="shared" ca="1" si="35"/>
        <v>Jan-2024</v>
      </c>
    </row>
    <row r="341" spans="1:18">
      <c r="A341">
        <v>20</v>
      </c>
      <c r="B341">
        <v>0</v>
      </c>
      <c r="C341">
        <v>2</v>
      </c>
      <c r="D341">
        <v>6</v>
      </c>
      <c r="E341">
        <v>1</v>
      </c>
      <c r="F341">
        <v>44.484066167183101</v>
      </c>
      <c r="G341">
        <v>0</v>
      </c>
      <c r="H341">
        <v>38</v>
      </c>
      <c r="I341">
        <v>82</v>
      </c>
      <c r="J341">
        <v>3</v>
      </c>
      <c r="K341">
        <v>0</v>
      </c>
      <c r="L341" s="2">
        <f t="shared" si="30"/>
        <v>45292</v>
      </c>
      <c r="M341" s="2">
        <f t="shared" ca="1" si="31"/>
        <v>45328</v>
      </c>
      <c r="N341" s="2" t="str">
        <f t="shared" ca="1" si="32"/>
        <v>N/A</v>
      </c>
      <c r="O341" s="3">
        <f t="shared" ca="1" si="33"/>
        <v>36</v>
      </c>
      <c r="P341" s="3" t="str">
        <f t="shared" ca="1" si="34"/>
        <v>N/A</v>
      </c>
      <c r="Q341" s="1" t="str">
        <f>IF(K341=1,"Joined",IF(H341&gt;=70,"Dropped at Offer",IF(H341&gt;=50,"Dropped at Interview","Dropped at Screening")))</f>
        <v>Dropped at Screening</v>
      </c>
      <c r="R341" s="1" t="str">
        <f t="shared" ca="1" si="35"/>
        <v>Feb-2024</v>
      </c>
    </row>
    <row r="342" spans="1:18">
      <c r="A342">
        <v>27</v>
      </c>
      <c r="B342">
        <v>0</v>
      </c>
      <c r="C342">
        <v>3</v>
      </c>
      <c r="D342">
        <v>15</v>
      </c>
      <c r="E342">
        <v>4</v>
      </c>
      <c r="F342">
        <v>24.611321287810199</v>
      </c>
      <c r="G342">
        <v>55</v>
      </c>
      <c r="H342">
        <v>90</v>
      </c>
      <c r="I342">
        <v>2</v>
      </c>
      <c r="J342">
        <v>1</v>
      </c>
      <c r="K342">
        <v>1</v>
      </c>
      <c r="L342" s="2">
        <f t="shared" si="30"/>
        <v>45292</v>
      </c>
      <c r="M342" s="2">
        <f t="shared" ca="1" si="31"/>
        <v>45314</v>
      </c>
      <c r="N342" s="2">
        <f t="shared" ca="1" si="32"/>
        <v>45337</v>
      </c>
      <c r="O342" s="3">
        <f t="shared" ca="1" si="33"/>
        <v>22</v>
      </c>
      <c r="P342" s="3">
        <f t="shared" ca="1" si="34"/>
        <v>23</v>
      </c>
      <c r="Q342" s="1" t="str">
        <f>IF(K342=1,"Joined",IF(H342&gt;=70,"Dropped at Offer",IF(H342&gt;=50,"Dropped at Interview","Dropped at Screening")))</f>
        <v>Joined</v>
      </c>
      <c r="R342" s="1" t="str">
        <f t="shared" ca="1" si="35"/>
        <v>Jan-2024</v>
      </c>
    </row>
    <row r="343" spans="1:18">
      <c r="A343">
        <v>26</v>
      </c>
      <c r="B343">
        <v>0</v>
      </c>
      <c r="C343">
        <v>1</v>
      </c>
      <c r="D343">
        <v>0</v>
      </c>
      <c r="E343">
        <v>5</v>
      </c>
      <c r="F343">
        <v>36.644118467236801</v>
      </c>
      <c r="G343">
        <v>1</v>
      </c>
      <c r="H343">
        <v>99</v>
      </c>
      <c r="I343">
        <v>72</v>
      </c>
      <c r="J343">
        <v>2</v>
      </c>
      <c r="K343">
        <v>0</v>
      </c>
      <c r="L343" s="2">
        <f t="shared" si="30"/>
        <v>45292</v>
      </c>
      <c r="M343" s="2">
        <f t="shared" ca="1" si="31"/>
        <v>45334</v>
      </c>
      <c r="N343" s="2" t="str">
        <f t="shared" ca="1" si="32"/>
        <v>N/A</v>
      </c>
      <c r="O343" s="3">
        <f t="shared" ca="1" si="33"/>
        <v>42</v>
      </c>
      <c r="P343" s="3" t="str">
        <f t="shared" ca="1" si="34"/>
        <v>N/A</v>
      </c>
      <c r="Q343" s="1" t="str">
        <f>IF(K343=1,"Joined",IF(H343&gt;=70,"Dropped at Offer",IF(H343&gt;=50,"Dropped at Interview","Dropped at Screening")))</f>
        <v>Dropped at Offer</v>
      </c>
      <c r="R343" s="1" t="str">
        <f t="shared" ca="1" si="35"/>
        <v>Feb-2024</v>
      </c>
    </row>
    <row r="344" spans="1:18">
      <c r="A344">
        <v>37</v>
      </c>
      <c r="B344">
        <v>0</v>
      </c>
      <c r="C344">
        <v>2</v>
      </c>
      <c r="D344">
        <v>0</v>
      </c>
      <c r="E344">
        <v>2</v>
      </c>
      <c r="F344">
        <v>20.6454667802446</v>
      </c>
      <c r="G344">
        <v>80</v>
      </c>
      <c r="H344">
        <v>44</v>
      </c>
      <c r="I344">
        <v>99</v>
      </c>
      <c r="J344">
        <v>3</v>
      </c>
      <c r="K344">
        <v>0</v>
      </c>
      <c r="L344" s="2">
        <f t="shared" si="30"/>
        <v>45292</v>
      </c>
      <c r="M344" s="2">
        <f t="shared" ca="1" si="31"/>
        <v>45320</v>
      </c>
      <c r="N344" s="2" t="str">
        <f t="shared" ca="1" si="32"/>
        <v>N/A</v>
      </c>
      <c r="O344" s="3">
        <f t="shared" ca="1" si="33"/>
        <v>28</v>
      </c>
      <c r="P344" s="3" t="str">
        <f t="shared" ca="1" si="34"/>
        <v>N/A</v>
      </c>
      <c r="Q344" s="1" t="str">
        <f>IF(K344=1,"Joined",IF(H344&gt;=70,"Dropped at Offer",IF(H344&gt;=50,"Dropped at Interview","Dropped at Screening")))</f>
        <v>Dropped at Screening</v>
      </c>
      <c r="R344" s="1" t="str">
        <f t="shared" ca="1" si="35"/>
        <v>Jan-2024</v>
      </c>
    </row>
    <row r="345" spans="1:18">
      <c r="A345">
        <v>27</v>
      </c>
      <c r="B345">
        <v>1</v>
      </c>
      <c r="C345">
        <v>1</v>
      </c>
      <c r="D345">
        <v>4</v>
      </c>
      <c r="E345">
        <v>2</v>
      </c>
      <c r="F345">
        <v>13.9355473707817</v>
      </c>
      <c r="G345">
        <v>29</v>
      </c>
      <c r="H345">
        <v>16</v>
      </c>
      <c r="I345">
        <v>94</v>
      </c>
      <c r="J345">
        <v>2</v>
      </c>
      <c r="K345">
        <v>0</v>
      </c>
      <c r="L345" s="2">
        <f t="shared" si="30"/>
        <v>45292</v>
      </c>
      <c r="M345" s="2">
        <f t="shared" ca="1" si="31"/>
        <v>45323</v>
      </c>
      <c r="N345" s="2" t="str">
        <f t="shared" ca="1" si="32"/>
        <v>N/A</v>
      </c>
      <c r="O345" s="3">
        <f t="shared" ca="1" si="33"/>
        <v>31</v>
      </c>
      <c r="P345" s="3" t="str">
        <f t="shared" ca="1" si="34"/>
        <v>N/A</v>
      </c>
      <c r="Q345" s="1" t="str">
        <f>IF(K345=1,"Joined",IF(H345&gt;=70,"Dropped at Offer",IF(H345&gt;=50,"Dropped at Interview","Dropped at Screening")))</f>
        <v>Dropped at Screening</v>
      </c>
      <c r="R345" s="1" t="str">
        <f t="shared" ca="1" si="35"/>
        <v>Feb-2024</v>
      </c>
    </row>
    <row r="346" spans="1:18">
      <c r="A346">
        <v>20</v>
      </c>
      <c r="B346">
        <v>0</v>
      </c>
      <c r="C346">
        <v>4</v>
      </c>
      <c r="D346">
        <v>12</v>
      </c>
      <c r="E346">
        <v>2</v>
      </c>
      <c r="F346">
        <v>18.359608378110501</v>
      </c>
      <c r="G346">
        <v>70</v>
      </c>
      <c r="H346">
        <v>55</v>
      </c>
      <c r="I346">
        <v>48</v>
      </c>
      <c r="J346">
        <v>2</v>
      </c>
      <c r="K346">
        <v>0</v>
      </c>
      <c r="L346" s="2">
        <f t="shared" si="30"/>
        <v>45292</v>
      </c>
      <c r="M346" s="2">
        <f t="shared" ca="1" si="31"/>
        <v>45319</v>
      </c>
      <c r="N346" s="2" t="str">
        <f t="shared" ca="1" si="32"/>
        <v>N/A</v>
      </c>
      <c r="O346" s="3">
        <f t="shared" ca="1" si="33"/>
        <v>27</v>
      </c>
      <c r="P346" s="3" t="str">
        <f t="shared" ca="1" si="34"/>
        <v>N/A</v>
      </c>
      <c r="Q346" s="1" t="str">
        <f>IF(K346=1,"Joined",IF(H346&gt;=70,"Dropped at Offer",IF(H346&gt;=50,"Dropped at Interview","Dropped at Screening")))</f>
        <v>Dropped at Interview</v>
      </c>
      <c r="R346" s="1" t="str">
        <f t="shared" ca="1" si="35"/>
        <v>Jan-2024</v>
      </c>
    </row>
    <row r="347" spans="1:18">
      <c r="A347">
        <v>30</v>
      </c>
      <c r="B347">
        <v>1</v>
      </c>
      <c r="C347">
        <v>2</v>
      </c>
      <c r="D347">
        <v>8</v>
      </c>
      <c r="E347">
        <v>4</v>
      </c>
      <c r="F347">
        <v>40.709117265859099</v>
      </c>
      <c r="G347">
        <v>51</v>
      </c>
      <c r="H347">
        <v>97</v>
      </c>
      <c r="I347">
        <v>16</v>
      </c>
      <c r="J347">
        <v>1</v>
      </c>
      <c r="K347">
        <v>1</v>
      </c>
      <c r="L347" s="2">
        <f t="shared" si="30"/>
        <v>45292</v>
      </c>
      <c r="M347" s="2">
        <f t="shared" ca="1" si="31"/>
        <v>45322</v>
      </c>
      <c r="N347" s="2">
        <f t="shared" ca="1" si="32"/>
        <v>45343</v>
      </c>
      <c r="O347" s="3">
        <f t="shared" ca="1" si="33"/>
        <v>30</v>
      </c>
      <c r="P347" s="3">
        <f t="shared" ca="1" si="34"/>
        <v>21</v>
      </c>
      <c r="Q347" s="1" t="str">
        <f>IF(K347=1,"Joined",IF(H347&gt;=70,"Dropped at Offer",IF(H347&gt;=50,"Dropped at Interview","Dropped at Screening")))</f>
        <v>Joined</v>
      </c>
      <c r="R347" s="1" t="str">
        <f t="shared" ca="1" si="35"/>
        <v>Jan-2024</v>
      </c>
    </row>
    <row r="348" spans="1:18">
      <c r="A348">
        <v>47</v>
      </c>
      <c r="B348">
        <v>1</v>
      </c>
      <c r="C348">
        <v>1</v>
      </c>
      <c r="D348">
        <v>5</v>
      </c>
      <c r="E348">
        <v>4</v>
      </c>
      <c r="F348">
        <v>32.2608062515719</v>
      </c>
      <c r="G348">
        <v>90</v>
      </c>
      <c r="H348">
        <v>45</v>
      </c>
      <c r="I348">
        <v>62</v>
      </c>
      <c r="J348">
        <v>1</v>
      </c>
      <c r="K348">
        <v>1</v>
      </c>
      <c r="L348" s="2">
        <f t="shared" si="30"/>
        <v>45292</v>
      </c>
      <c r="M348" s="2">
        <f t="shared" ca="1" si="31"/>
        <v>45324</v>
      </c>
      <c r="N348" s="2">
        <f t="shared" ca="1" si="32"/>
        <v>45342</v>
      </c>
      <c r="O348" s="3">
        <f t="shared" ca="1" si="33"/>
        <v>32</v>
      </c>
      <c r="P348" s="3">
        <f t="shared" ca="1" si="34"/>
        <v>18</v>
      </c>
      <c r="Q348" s="1" t="str">
        <f>IF(K348=1,"Joined",IF(H348&gt;=70,"Dropped at Offer",IF(H348&gt;=50,"Dropped at Interview","Dropped at Screening")))</f>
        <v>Joined</v>
      </c>
      <c r="R348" s="1" t="str">
        <f t="shared" ca="1" si="35"/>
        <v>Feb-2024</v>
      </c>
    </row>
    <row r="349" spans="1:18">
      <c r="A349">
        <v>44</v>
      </c>
      <c r="B349">
        <v>1</v>
      </c>
      <c r="C349">
        <v>2</v>
      </c>
      <c r="D349">
        <v>2</v>
      </c>
      <c r="E349">
        <v>3</v>
      </c>
      <c r="F349">
        <v>47.8819889978951</v>
      </c>
      <c r="G349">
        <v>8</v>
      </c>
      <c r="H349">
        <v>66</v>
      </c>
      <c r="I349">
        <v>54</v>
      </c>
      <c r="J349">
        <v>2</v>
      </c>
      <c r="K349">
        <v>0</v>
      </c>
      <c r="L349" s="2">
        <f t="shared" si="30"/>
        <v>45292</v>
      </c>
      <c r="M349" s="2">
        <f t="shared" ca="1" si="31"/>
        <v>45316</v>
      </c>
      <c r="N349" s="2" t="str">
        <f t="shared" ca="1" si="32"/>
        <v>N/A</v>
      </c>
      <c r="O349" s="3">
        <f t="shared" ca="1" si="33"/>
        <v>24</v>
      </c>
      <c r="P349" s="3" t="str">
        <f t="shared" ca="1" si="34"/>
        <v>N/A</v>
      </c>
      <c r="Q349" s="1" t="str">
        <f>IF(K349=1,"Joined",IF(H349&gt;=70,"Dropped at Offer",IF(H349&gt;=50,"Dropped at Interview","Dropped at Screening")))</f>
        <v>Dropped at Interview</v>
      </c>
      <c r="R349" s="1" t="str">
        <f t="shared" ca="1" si="35"/>
        <v>Jan-2024</v>
      </c>
    </row>
    <row r="350" spans="1:18">
      <c r="A350">
        <v>44</v>
      </c>
      <c r="B350">
        <v>0</v>
      </c>
      <c r="C350">
        <v>2</v>
      </c>
      <c r="D350">
        <v>12</v>
      </c>
      <c r="E350">
        <v>2</v>
      </c>
      <c r="F350">
        <v>34.985238928841603</v>
      </c>
      <c r="G350">
        <v>21</v>
      </c>
      <c r="H350">
        <v>68</v>
      </c>
      <c r="I350">
        <v>22</v>
      </c>
      <c r="J350">
        <v>2</v>
      </c>
      <c r="K350">
        <v>0</v>
      </c>
      <c r="L350" s="2">
        <f t="shared" si="30"/>
        <v>45292</v>
      </c>
      <c r="M350" s="2">
        <f t="shared" ca="1" si="31"/>
        <v>45334</v>
      </c>
      <c r="N350" s="2" t="str">
        <f t="shared" ca="1" si="32"/>
        <v>N/A</v>
      </c>
      <c r="O350" s="3">
        <f t="shared" ca="1" si="33"/>
        <v>42</v>
      </c>
      <c r="P350" s="3" t="str">
        <f t="shared" ca="1" si="34"/>
        <v>N/A</v>
      </c>
      <c r="Q350" s="1" t="str">
        <f>IF(K350=1,"Joined",IF(H350&gt;=70,"Dropped at Offer",IF(H350&gt;=50,"Dropped at Interview","Dropped at Screening")))</f>
        <v>Dropped at Interview</v>
      </c>
      <c r="R350" s="1" t="str">
        <f t="shared" ca="1" si="35"/>
        <v>Feb-2024</v>
      </c>
    </row>
    <row r="351" spans="1:18">
      <c r="A351">
        <v>37</v>
      </c>
      <c r="B351">
        <v>0</v>
      </c>
      <c r="C351">
        <v>3</v>
      </c>
      <c r="D351">
        <v>2</v>
      </c>
      <c r="E351">
        <v>3</v>
      </c>
      <c r="F351">
        <v>29.509081587734698</v>
      </c>
      <c r="G351">
        <v>33</v>
      </c>
      <c r="H351">
        <v>13</v>
      </c>
      <c r="I351">
        <v>33</v>
      </c>
      <c r="J351">
        <v>2</v>
      </c>
      <c r="K351">
        <v>0</v>
      </c>
      <c r="L351" s="2">
        <f t="shared" si="30"/>
        <v>45292</v>
      </c>
      <c r="M351" s="2">
        <f t="shared" ca="1" si="31"/>
        <v>45318</v>
      </c>
      <c r="N351" s="2" t="str">
        <f t="shared" ca="1" si="32"/>
        <v>N/A</v>
      </c>
      <c r="O351" s="3">
        <f t="shared" ca="1" si="33"/>
        <v>26</v>
      </c>
      <c r="P351" s="3" t="str">
        <f t="shared" ca="1" si="34"/>
        <v>N/A</v>
      </c>
      <c r="Q351" s="1" t="str">
        <f>IF(K351=1,"Joined",IF(H351&gt;=70,"Dropped at Offer",IF(H351&gt;=50,"Dropped at Interview","Dropped at Screening")))</f>
        <v>Dropped at Screening</v>
      </c>
      <c r="R351" s="1" t="str">
        <f t="shared" ca="1" si="35"/>
        <v>Jan-2024</v>
      </c>
    </row>
    <row r="352" spans="1:18">
      <c r="A352">
        <v>42</v>
      </c>
      <c r="B352">
        <v>0</v>
      </c>
      <c r="C352">
        <v>3</v>
      </c>
      <c r="D352">
        <v>6</v>
      </c>
      <c r="E352">
        <v>2</v>
      </c>
      <c r="F352">
        <v>31.509800449291699</v>
      </c>
      <c r="G352">
        <v>48</v>
      </c>
      <c r="H352">
        <v>66</v>
      </c>
      <c r="I352">
        <v>68</v>
      </c>
      <c r="J352">
        <v>2</v>
      </c>
      <c r="K352">
        <v>1</v>
      </c>
      <c r="L352" s="2">
        <f t="shared" si="30"/>
        <v>45292</v>
      </c>
      <c r="M352" s="2">
        <f t="shared" ca="1" si="31"/>
        <v>45329</v>
      </c>
      <c r="N352" s="2">
        <f t="shared" ca="1" si="32"/>
        <v>45352</v>
      </c>
      <c r="O352" s="3">
        <f t="shared" ca="1" si="33"/>
        <v>37</v>
      </c>
      <c r="P352" s="3">
        <f t="shared" ca="1" si="34"/>
        <v>23</v>
      </c>
      <c r="Q352" s="1" t="str">
        <f>IF(K352=1,"Joined",IF(H352&gt;=70,"Dropped at Offer",IF(H352&gt;=50,"Dropped at Interview","Dropped at Screening")))</f>
        <v>Joined</v>
      </c>
      <c r="R352" s="1" t="str">
        <f t="shared" ca="1" si="35"/>
        <v>Feb-2024</v>
      </c>
    </row>
    <row r="353" spans="1:18">
      <c r="A353">
        <v>50</v>
      </c>
      <c r="B353">
        <v>0</v>
      </c>
      <c r="C353">
        <v>2</v>
      </c>
      <c r="D353">
        <v>5</v>
      </c>
      <c r="E353">
        <v>3</v>
      </c>
      <c r="F353">
        <v>48.1185719734207</v>
      </c>
      <c r="G353">
        <v>0</v>
      </c>
      <c r="H353">
        <v>22</v>
      </c>
      <c r="I353">
        <v>14</v>
      </c>
      <c r="J353">
        <v>2</v>
      </c>
      <c r="K353">
        <v>0</v>
      </c>
      <c r="L353" s="2">
        <f t="shared" si="30"/>
        <v>45292</v>
      </c>
      <c r="M353" s="2">
        <f t="shared" ca="1" si="31"/>
        <v>45311</v>
      </c>
      <c r="N353" s="2" t="str">
        <f t="shared" ca="1" si="32"/>
        <v>N/A</v>
      </c>
      <c r="O353" s="3">
        <f t="shared" ca="1" si="33"/>
        <v>19</v>
      </c>
      <c r="P353" s="3" t="str">
        <f t="shared" ca="1" si="34"/>
        <v>N/A</v>
      </c>
      <c r="Q353" s="1" t="str">
        <f>IF(K353=1,"Joined",IF(H353&gt;=70,"Dropped at Offer",IF(H353&gt;=50,"Dropped at Interview","Dropped at Screening")))</f>
        <v>Dropped at Screening</v>
      </c>
      <c r="R353" s="1" t="str">
        <f t="shared" ca="1" si="35"/>
        <v>Jan-2024</v>
      </c>
    </row>
    <row r="354" spans="1:18">
      <c r="A354">
        <v>49</v>
      </c>
      <c r="B354">
        <v>1</v>
      </c>
      <c r="C354">
        <v>1</v>
      </c>
      <c r="D354">
        <v>8</v>
      </c>
      <c r="E354">
        <v>3</v>
      </c>
      <c r="F354">
        <v>40.410046493335301</v>
      </c>
      <c r="G354">
        <v>72</v>
      </c>
      <c r="H354">
        <v>93</v>
      </c>
      <c r="I354">
        <v>46</v>
      </c>
      <c r="J354">
        <v>2</v>
      </c>
      <c r="K354">
        <v>0</v>
      </c>
      <c r="L354" s="2">
        <f t="shared" si="30"/>
        <v>45292</v>
      </c>
      <c r="M354" s="2">
        <f t="shared" ca="1" si="31"/>
        <v>45334</v>
      </c>
      <c r="N354" s="2" t="str">
        <f t="shared" ca="1" si="32"/>
        <v>N/A</v>
      </c>
      <c r="O354" s="3">
        <f t="shared" ca="1" si="33"/>
        <v>42</v>
      </c>
      <c r="P354" s="3" t="str">
        <f t="shared" ca="1" si="34"/>
        <v>N/A</v>
      </c>
      <c r="Q354" s="1" t="str">
        <f>IF(K354=1,"Joined",IF(H354&gt;=70,"Dropped at Offer",IF(H354&gt;=50,"Dropped at Interview","Dropped at Screening")))</f>
        <v>Dropped at Offer</v>
      </c>
      <c r="R354" s="1" t="str">
        <f t="shared" ca="1" si="35"/>
        <v>Feb-2024</v>
      </c>
    </row>
    <row r="355" spans="1:18">
      <c r="A355">
        <v>29</v>
      </c>
      <c r="B355">
        <v>0</v>
      </c>
      <c r="C355">
        <v>1</v>
      </c>
      <c r="D355">
        <v>5</v>
      </c>
      <c r="E355">
        <v>5</v>
      </c>
      <c r="F355">
        <v>2.20206186832189</v>
      </c>
      <c r="G355">
        <v>83</v>
      </c>
      <c r="H355">
        <v>60</v>
      </c>
      <c r="I355">
        <v>2</v>
      </c>
      <c r="J355">
        <v>2</v>
      </c>
      <c r="K355">
        <v>0</v>
      </c>
      <c r="L355" s="2">
        <f t="shared" si="30"/>
        <v>45292</v>
      </c>
      <c r="M355" s="2">
        <f t="shared" ca="1" si="31"/>
        <v>45312</v>
      </c>
      <c r="N355" s="2" t="str">
        <f t="shared" ca="1" si="32"/>
        <v>N/A</v>
      </c>
      <c r="O355" s="3">
        <f t="shared" ca="1" si="33"/>
        <v>20</v>
      </c>
      <c r="P355" s="3" t="str">
        <f t="shared" ca="1" si="34"/>
        <v>N/A</v>
      </c>
      <c r="Q355" s="1" t="str">
        <f>IF(K355=1,"Joined",IF(H355&gt;=70,"Dropped at Offer",IF(H355&gt;=50,"Dropped at Interview","Dropped at Screening")))</f>
        <v>Dropped at Interview</v>
      </c>
      <c r="R355" s="1" t="str">
        <f t="shared" ca="1" si="35"/>
        <v>Jan-2024</v>
      </c>
    </row>
    <row r="356" spans="1:18">
      <c r="A356">
        <v>22</v>
      </c>
      <c r="B356">
        <v>0</v>
      </c>
      <c r="C356">
        <v>1</v>
      </c>
      <c r="D356">
        <v>4</v>
      </c>
      <c r="E356">
        <v>3</v>
      </c>
      <c r="F356">
        <v>27.706984806784799</v>
      </c>
      <c r="G356">
        <v>52</v>
      </c>
      <c r="H356">
        <v>22</v>
      </c>
      <c r="I356">
        <v>82</v>
      </c>
      <c r="J356">
        <v>2</v>
      </c>
      <c r="K356">
        <v>0</v>
      </c>
      <c r="L356" s="2">
        <f t="shared" si="30"/>
        <v>45292</v>
      </c>
      <c r="M356" s="2">
        <f t="shared" ca="1" si="31"/>
        <v>45322</v>
      </c>
      <c r="N356" s="2" t="str">
        <f t="shared" ca="1" si="32"/>
        <v>N/A</v>
      </c>
      <c r="O356" s="3">
        <f t="shared" ca="1" si="33"/>
        <v>30</v>
      </c>
      <c r="P356" s="3" t="str">
        <f t="shared" ca="1" si="34"/>
        <v>N/A</v>
      </c>
      <c r="Q356" s="1" t="str">
        <f>IF(K356=1,"Joined",IF(H356&gt;=70,"Dropped at Offer",IF(H356&gt;=50,"Dropped at Interview","Dropped at Screening")))</f>
        <v>Dropped at Screening</v>
      </c>
      <c r="R356" s="1" t="str">
        <f t="shared" ca="1" si="35"/>
        <v>Jan-2024</v>
      </c>
    </row>
    <row r="357" spans="1:18">
      <c r="A357">
        <v>26</v>
      </c>
      <c r="B357">
        <v>1</v>
      </c>
      <c r="C357">
        <v>2</v>
      </c>
      <c r="D357">
        <v>9</v>
      </c>
      <c r="E357">
        <v>4</v>
      </c>
      <c r="F357">
        <v>35.416920577328199</v>
      </c>
      <c r="G357">
        <v>82</v>
      </c>
      <c r="H357">
        <v>26</v>
      </c>
      <c r="I357">
        <v>27</v>
      </c>
      <c r="J357">
        <v>2</v>
      </c>
      <c r="K357">
        <v>0</v>
      </c>
      <c r="L357" s="2">
        <f t="shared" si="30"/>
        <v>45292</v>
      </c>
      <c r="M357" s="2">
        <f t="shared" ca="1" si="31"/>
        <v>45326</v>
      </c>
      <c r="N357" s="2" t="str">
        <f t="shared" ca="1" si="32"/>
        <v>N/A</v>
      </c>
      <c r="O357" s="3">
        <f t="shared" ca="1" si="33"/>
        <v>34</v>
      </c>
      <c r="P357" s="3" t="str">
        <f t="shared" ca="1" si="34"/>
        <v>N/A</v>
      </c>
      <c r="Q357" s="1" t="str">
        <f>IF(K357=1,"Joined",IF(H357&gt;=70,"Dropped at Offer",IF(H357&gt;=50,"Dropped at Interview","Dropped at Screening")))</f>
        <v>Dropped at Screening</v>
      </c>
      <c r="R357" s="1" t="str">
        <f t="shared" ca="1" si="35"/>
        <v>Feb-2024</v>
      </c>
    </row>
    <row r="358" spans="1:18">
      <c r="A358">
        <v>47</v>
      </c>
      <c r="B358">
        <v>0</v>
      </c>
      <c r="C358">
        <v>3</v>
      </c>
      <c r="D358">
        <v>6</v>
      </c>
      <c r="E358">
        <v>3</v>
      </c>
      <c r="F358">
        <v>38.434923921957697</v>
      </c>
      <c r="G358">
        <v>99</v>
      </c>
      <c r="H358">
        <v>53</v>
      </c>
      <c r="I358">
        <v>2</v>
      </c>
      <c r="J358">
        <v>1</v>
      </c>
      <c r="K358">
        <v>1</v>
      </c>
      <c r="L358" s="2">
        <f t="shared" si="30"/>
        <v>45292</v>
      </c>
      <c r="M358" s="2">
        <f t="shared" ca="1" si="31"/>
        <v>45312</v>
      </c>
      <c r="N358" s="2">
        <f t="shared" ca="1" si="32"/>
        <v>45333</v>
      </c>
      <c r="O358" s="3">
        <f t="shared" ca="1" si="33"/>
        <v>20</v>
      </c>
      <c r="P358" s="3">
        <f t="shared" ca="1" si="34"/>
        <v>21</v>
      </c>
      <c r="Q358" s="1" t="str">
        <f>IF(K358=1,"Joined",IF(H358&gt;=70,"Dropped at Offer",IF(H358&gt;=50,"Dropped at Interview","Dropped at Screening")))</f>
        <v>Joined</v>
      </c>
      <c r="R358" s="1" t="str">
        <f t="shared" ca="1" si="35"/>
        <v>Jan-2024</v>
      </c>
    </row>
    <row r="359" spans="1:18">
      <c r="A359">
        <v>35</v>
      </c>
      <c r="B359">
        <v>1</v>
      </c>
      <c r="C359">
        <v>2</v>
      </c>
      <c r="D359">
        <v>0</v>
      </c>
      <c r="E359">
        <v>2</v>
      </c>
      <c r="F359">
        <v>11.6571059656968</v>
      </c>
      <c r="G359">
        <v>39</v>
      </c>
      <c r="H359">
        <v>9</v>
      </c>
      <c r="I359">
        <v>3</v>
      </c>
      <c r="J359">
        <v>2</v>
      </c>
      <c r="K359">
        <v>0</v>
      </c>
      <c r="L359" s="2">
        <f t="shared" si="30"/>
        <v>45292</v>
      </c>
      <c r="M359" s="2">
        <f t="shared" ca="1" si="31"/>
        <v>45332</v>
      </c>
      <c r="N359" s="2" t="str">
        <f t="shared" ca="1" si="32"/>
        <v>N/A</v>
      </c>
      <c r="O359" s="3">
        <f t="shared" ca="1" si="33"/>
        <v>40</v>
      </c>
      <c r="P359" s="3" t="str">
        <f t="shared" ca="1" si="34"/>
        <v>N/A</v>
      </c>
      <c r="Q359" s="1" t="str">
        <f>IF(K359=1,"Joined",IF(H359&gt;=70,"Dropped at Offer",IF(H359&gt;=50,"Dropped at Interview","Dropped at Screening")))</f>
        <v>Dropped at Screening</v>
      </c>
      <c r="R359" s="1" t="str">
        <f t="shared" ca="1" si="35"/>
        <v>Feb-2024</v>
      </c>
    </row>
    <row r="360" spans="1:18">
      <c r="A360">
        <v>45</v>
      </c>
      <c r="B360">
        <v>1</v>
      </c>
      <c r="C360">
        <v>1</v>
      </c>
      <c r="D360">
        <v>11</v>
      </c>
      <c r="E360">
        <v>3</v>
      </c>
      <c r="F360">
        <v>44.358867722567602</v>
      </c>
      <c r="G360">
        <v>44</v>
      </c>
      <c r="H360">
        <v>88</v>
      </c>
      <c r="I360">
        <v>87</v>
      </c>
      <c r="J360">
        <v>2</v>
      </c>
      <c r="K360">
        <v>0</v>
      </c>
      <c r="L360" s="2">
        <f t="shared" si="30"/>
        <v>45292</v>
      </c>
      <c r="M360" s="2">
        <f t="shared" ca="1" si="31"/>
        <v>45314</v>
      </c>
      <c r="N360" s="2" t="str">
        <f t="shared" ca="1" si="32"/>
        <v>N/A</v>
      </c>
      <c r="O360" s="3">
        <f t="shared" ca="1" si="33"/>
        <v>22</v>
      </c>
      <c r="P360" s="3" t="str">
        <f t="shared" ca="1" si="34"/>
        <v>N/A</v>
      </c>
      <c r="Q360" s="1" t="str">
        <f>IF(K360=1,"Joined",IF(H360&gt;=70,"Dropped at Offer",IF(H360&gt;=50,"Dropped at Interview","Dropped at Screening")))</f>
        <v>Dropped at Offer</v>
      </c>
      <c r="R360" s="1" t="str">
        <f t="shared" ca="1" si="35"/>
        <v>Jan-2024</v>
      </c>
    </row>
    <row r="361" spans="1:18">
      <c r="A361">
        <v>35</v>
      </c>
      <c r="B361">
        <v>1</v>
      </c>
      <c r="C361">
        <v>2</v>
      </c>
      <c r="D361">
        <v>6</v>
      </c>
      <c r="E361">
        <v>1</v>
      </c>
      <c r="F361">
        <v>48.792157358758097</v>
      </c>
      <c r="G361">
        <v>67</v>
      </c>
      <c r="H361">
        <v>76</v>
      </c>
      <c r="I361">
        <v>30</v>
      </c>
      <c r="J361">
        <v>2</v>
      </c>
      <c r="K361">
        <v>0</v>
      </c>
      <c r="L361" s="2">
        <f t="shared" si="30"/>
        <v>45292</v>
      </c>
      <c r="M361" s="2">
        <f t="shared" ca="1" si="31"/>
        <v>45325</v>
      </c>
      <c r="N361" s="2" t="str">
        <f t="shared" ca="1" si="32"/>
        <v>N/A</v>
      </c>
      <c r="O361" s="3">
        <f t="shared" ca="1" si="33"/>
        <v>33</v>
      </c>
      <c r="P361" s="3" t="str">
        <f t="shared" ca="1" si="34"/>
        <v>N/A</v>
      </c>
      <c r="Q361" s="1" t="str">
        <f>IF(K361=1,"Joined",IF(H361&gt;=70,"Dropped at Offer",IF(H361&gt;=50,"Dropped at Interview","Dropped at Screening")))</f>
        <v>Dropped at Offer</v>
      </c>
      <c r="R361" s="1" t="str">
        <f t="shared" ca="1" si="35"/>
        <v>Feb-2024</v>
      </c>
    </row>
    <row r="362" spans="1:18">
      <c r="A362">
        <v>44</v>
      </c>
      <c r="B362">
        <v>1</v>
      </c>
      <c r="C362">
        <v>3</v>
      </c>
      <c r="D362">
        <v>15</v>
      </c>
      <c r="E362">
        <v>2</v>
      </c>
      <c r="F362">
        <v>12.8357652922434</v>
      </c>
      <c r="G362">
        <v>8</v>
      </c>
      <c r="H362">
        <v>15</v>
      </c>
      <c r="I362">
        <v>44</v>
      </c>
      <c r="J362">
        <v>2</v>
      </c>
      <c r="K362">
        <v>0</v>
      </c>
      <c r="L362" s="2">
        <f t="shared" si="30"/>
        <v>45292</v>
      </c>
      <c r="M362" s="2">
        <f t="shared" ca="1" si="31"/>
        <v>45314</v>
      </c>
      <c r="N362" s="2" t="str">
        <f t="shared" ca="1" si="32"/>
        <v>N/A</v>
      </c>
      <c r="O362" s="3">
        <f t="shared" ca="1" si="33"/>
        <v>22</v>
      </c>
      <c r="P362" s="3" t="str">
        <f t="shared" ca="1" si="34"/>
        <v>N/A</v>
      </c>
      <c r="Q362" s="1" t="str">
        <f>IF(K362=1,"Joined",IF(H362&gt;=70,"Dropped at Offer",IF(H362&gt;=50,"Dropped at Interview","Dropped at Screening")))</f>
        <v>Dropped at Screening</v>
      </c>
      <c r="R362" s="1" t="str">
        <f t="shared" ca="1" si="35"/>
        <v>Jan-2024</v>
      </c>
    </row>
    <row r="363" spans="1:18">
      <c r="A363">
        <v>39</v>
      </c>
      <c r="B363">
        <v>1</v>
      </c>
      <c r="C363">
        <v>3</v>
      </c>
      <c r="D363">
        <v>2</v>
      </c>
      <c r="E363">
        <v>1</v>
      </c>
      <c r="F363">
        <v>45.130772875862199</v>
      </c>
      <c r="G363">
        <v>21</v>
      </c>
      <c r="H363">
        <v>40</v>
      </c>
      <c r="I363">
        <v>58</v>
      </c>
      <c r="J363">
        <v>2</v>
      </c>
      <c r="K363">
        <v>0</v>
      </c>
      <c r="L363" s="2">
        <f t="shared" si="30"/>
        <v>45292</v>
      </c>
      <c r="M363" s="2">
        <f t="shared" ca="1" si="31"/>
        <v>45318</v>
      </c>
      <c r="N363" s="2" t="str">
        <f t="shared" ca="1" si="32"/>
        <v>N/A</v>
      </c>
      <c r="O363" s="3">
        <f t="shared" ca="1" si="33"/>
        <v>26</v>
      </c>
      <c r="P363" s="3" t="str">
        <f t="shared" ca="1" si="34"/>
        <v>N/A</v>
      </c>
      <c r="Q363" s="1" t="str">
        <f>IF(K363=1,"Joined",IF(H363&gt;=70,"Dropped at Offer",IF(H363&gt;=50,"Dropped at Interview","Dropped at Screening")))</f>
        <v>Dropped at Screening</v>
      </c>
      <c r="R363" s="1" t="str">
        <f t="shared" ca="1" si="35"/>
        <v>Jan-2024</v>
      </c>
    </row>
    <row r="364" spans="1:18">
      <c r="A364">
        <v>47</v>
      </c>
      <c r="B364">
        <v>1</v>
      </c>
      <c r="C364">
        <v>3</v>
      </c>
      <c r="D364">
        <v>13</v>
      </c>
      <c r="E364">
        <v>2</v>
      </c>
      <c r="F364">
        <v>5.8489381258047697</v>
      </c>
      <c r="G364">
        <v>17</v>
      </c>
      <c r="H364">
        <v>97</v>
      </c>
      <c r="I364">
        <v>44</v>
      </c>
      <c r="J364">
        <v>1</v>
      </c>
      <c r="K364">
        <v>1</v>
      </c>
      <c r="L364" s="2">
        <f t="shared" si="30"/>
        <v>45292</v>
      </c>
      <c r="M364" s="2">
        <f t="shared" ca="1" si="31"/>
        <v>45319</v>
      </c>
      <c r="N364" s="2">
        <f t="shared" ca="1" si="32"/>
        <v>45348</v>
      </c>
      <c r="O364" s="3">
        <f t="shared" ca="1" si="33"/>
        <v>27</v>
      </c>
      <c r="P364" s="3">
        <f t="shared" ca="1" si="34"/>
        <v>29</v>
      </c>
      <c r="Q364" s="1" t="str">
        <f>IF(K364=1,"Joined",IF(H364&gt;=70,"Dropped at Offer",IF(H364&gt;=50,"Dropped at Interview","Dropped at Screening")))</f>
        <v>Joined</v>
      </c>
      <c r="R364" s="1" t="str">
        <f t="shared" ca="1" si="35"/>
        <v>Jan-2024</v>
      </c>
    </row>
    <row r="365" spans="1:18">
      <c r="A365">
        <v>36</v>
      </c>
      <c r="B365">
        <v>1</v>
      </c>
      <c r="C365">
        <v>2</v>
      </c>
      <c r="D365">
        <v>8</v>
      </c>
      <c r="E365">
        <v>4</v>
      </c>
      <c r="F365">
        <v>3.7853418057622501</v>
      </c>
      <c r="G365">
        <v>75</v>
      </c>
      <c r="H365">
        <v>54</v>
      </c>
      <c r="I365">
        <v>74</v>
      </c>
      <c r="J365">
        <v>3</v>
      </c>
      <c r="K365">
        <v>1</v>
      </c>
      <c r="L365" s="2">
        <f t="shared" si="30"/>
        <v>45292</v>
      </c>
      <c r="M365" s="2">
        <f t="shared" ca="1" si="31"/>
        <v>45324</v>
      </c>
      <c r="N365" s="2">
        <f t="shared" ca="1" si="32"/>
        <v>45352</v>
      </c>
      <c r="O365" s="3">
        <f t="shared" ca="1" si="33"/>
        <v>32</v>
      </c>
      <c r="P365" s="3">
        <f t="shared" ca="1" si="34"/>
        <v>28</v>
      </c>
      <c r="Q365" s="1" t="str">
        <f>IF(K365=1,"Joined",IF(H365&gt;=70,"Dropped at Offer",IF(H365&gt;=50,"Dropped at Interview","Dropped at Screening")))</f>
        <v>Joined</v>
      </c>
      <c r="R365" s="1" t="str">
        <f t="shared" ca="1" si="35"/>
        <v>Feb-2024</v>
      </c>
    </row>
    <row r="366" spans="1:18">
      <c r="A366">
        <v>21</v>
      </c>
      <c r="B366">
        <v>1</v>
      </c>
      <c r="C366">
        <v>1</v>
      </c>
      <c r="D366">
        <v>14</v>
      </c>
      <c r="E366">
        <v>4</v>
      </c>
      <c r="F366">
        <v>7.4611900051374596</v>
      </c>
      <c r="G366">
        <v>42</v>
      </c>
      <c r="H366">
        <v>100</v>
      </c>
      <c r="I366">
        <v>36</v>
      </c>
      <c r="J366">
        <v>1</v>
      </c>
      <c r="K366">
        <v>1</v>
      </c>
      <c r="L366" s="2">
        <f t="shared" si="30"/>
        <v>45292</v>
      </c>
      <c r="M366" s="2">
        <f t="shared" ca="1" si="31"/>
        <v>45311</v>
      </c>
      <c r="N366" s="2">
        <f t="shared" ca="1" si="32"/>
        <v>45319</v>
      </c>
      <c r="O366" s="3">
        <f t="shared" ca="1" si="33"/>
        <v>19</v>
      </c>
      <c r="P366" s="3">
        <f t="shared" ca="1" si="34"/>
        <v>8</v>
      </c>
      <c r="Q366" s="1" t="str">
        <f>IF(K366=1,"Joined",IF(H366&gt;=70,"Dropped at Offer",IF(H366&gt;=50,"Dropped at Interview","Dropped at Screening")))</f>
        <v>Joined</v>
      </c>
      <c r="R366" s="1" t="str">
        <f t="shared" ca="1" si="35"/>
        <v>Jan-2024</v>
      </c>
    </row>
    <row r="367" spans="1:18">
      <c r="A367">
        <v>20</v>
      </c>
      <c r="B367">
        <v>0</v>
      </c>
      <c r="C367">
        <v>3</v>
      </c>
      <c r="D367">
        <v>5</v>
      </c>
      <c r="E367">
        <v>4</v>
      </c>
      <c r="F367">
        <v>3.8870539733517999</v>
      </c>
      <c r="G367">
        <v>38</v>
      </c>
      <c r="H367">
        <v>60</v>
      </c>
      <c r="I367">
        <v>64</v>
      </c>
      <c r="J367">
        <v>3</v>
      </c>
      <c r="K367">
        <v>0</v>
      </c>
      <c r="L367" s="2">
        <f t="shared" si="30"/>
        <v>45292</v>
      </c>
      <c r="M367" s="2">
        <f t="shared" ca="1" si="31"/>
        <v>45326</v>
      </c>
      <c r="N367" s="2" t="str">
        <f t="shared" ca="1" si="32"/>
        <v>N/A</v>
      </c>
      <c r="O367" s="3">
        <f t="shared" ca="1" si="33"/>
        <v>34</v>
      </c>
      <c r="P367" s="3" t="str">
        <f t="shared" ca="1" si="34"/>
        <v>N/A</v>
      </c>
      <c r="Q367" s="1" t="str">
        <f>IF(K367=1,"Joined",IF(H367&gt;=70,"Dropped at Offer",IF(H367&gt;=50,"Dropped at Interview","Dropped at Screening")))</f>
        <v>Dropped at Interview</v>
      </c>
      <c r="R367" s="1" t="str">
        <f t="shared" ca="1" si="35"/>
        <v>Feb-2024</v>
      </c>
    </row>
    <row r="368" spans="1:18">
      <c r="A368">
        <v>35</v>
      </c>
      <c r="B368">
        <v>0</v>
      </c>
      <c r="C368">
        <v>2</v>
      </c>
      <c r="D368">
        <v>8</v>
      </c>
      <c r="E368">
        <v>1</v>
      </c>
      <c r="F368">
        <v>43.250611857788797</v>
      </c>
      <c r="G368">
        <v>72</v>
      </c>
      <c r="H368">
        <v>85</v>
      </c>
      <c r="I368">
        <v>8</v>
      </c>
      <c r="J368">
        <v>2</v>
      </c>
      <c r="K368">
        <v>0</v>
      </c>
      <c r="L368" s="2">
        <f t="shared" si="30"/>
        <v>45292</v>
      </c>
      <c r="M368" s="2">
        <f t="shared" ca="1" si="31"/>
        <v>45320</v>
      </c>
      <c r="N368" s="2" t="str">
        <f t="shared" ca="1" si="32"/>
        <v>N/A</v>
      </c>
      <c r="O368" s="3">
        <f t="shared" ca="1" si="33"/>
        <v>28</v>
      </c>
      <c r="P368" s="3" t="str">
        <f t="shared" ca="1" si="34"/>
        <v>N/A</v>
      </c>
      <c r="Q368" s="1" t="str">
        <f>IF(K368=1,"Joined",IF(H368&gt;=70,"Dropped at Offer",IF(H368&gt;=50,"Dropped at Interview","Dropped at Screening")))</f>
        <v>Dropped at Offer</v>
      </c>
      <c r="R368" s="1" t="str">
        <f t="shared" ca="1" si="35"/>
        <v>Jan-2024</v>
      </c>
    </row>
    <row r="369" spans="1:18">
      <c r="A369">
        <v>49</v>
      </c>
      <c r="B369">
        <v>0</v>
      </c>
      <c r="C369">
        <v>2</v>
      </c>
      <c r="D369">
        <v>12</v>
      </c>
      <c r="E369">
        <v>5</v>
      </c>
      <c r="F369">
        <v>3.95250722291359</v>
      </c>
      <c r="G369">
        <v>5</v>
      </c>
      <c r="H369">
        <v>80</v>
      </c>
      <c r="I369">
        <v>16</v>
      </c>
      <c r="J369">
        <v>2</v>
      </c>
      <c r="K369">
        <v>0</v>
      </c>
      <c r="L369" s="2">
        <f t="shared" si="30"/>
        <v>45292</v>
      </c>
      <c r="M369" s="2">
        <f t="shared" ca="1" si="31"/>
        <v>45306</v>
      </c>
      <c r="N369" s="2" t="str">
        <f t="shared" ca="1" si="32"/>
        <v>N/A</v>
      </c>
      <c r="O369" s="3">
        <f t="shared" ca="1" si="33"/>
        <v>14</v>
      </c>
      <c r="P369" s="3" t="str">
        <f t="shared" ca="1" si="34"/>
        <v>N/A</v>
      </c>
      <c r="Q369" s="1" t="str">
        <f>IF(K369=1,"Joined",IF(H369&gt;=70,"Dropped at Offer",IF(H369&gt;=50,"Dropped at Interview","Dropped at Screening")))</f>
        <v>Dropped at Offer</v>
      </c>
      <c r="R369" s="1" t="str">
        <f t="shared" ca="1" si="35"/>
        <v>Jan-2024</v>
      </c>
    </row>
    <row r="370" spans="1:18">
      <c r="A370">
        <v>31</v>
      </c>
      <c r="B370">
        <v>0</v>
      </c>
      <c r="C370">
        <v>3</v>
      </c>
      <c r="D370">
        <v>14</v>
      </c>
      <c r="E370">
        <v>2</v>
      </c>
      <c r="F370">
        <v>14.583209568182699</v>
      </c>
      <c r="G370">
        <v>82</v>
      </c>
      <c r="H370">
        <v>86</v>
      </c>
      <c r="I370">
        <v>64</v>
      </c>
      <c r="J370">
        <v>1</v>
      </c>
      <c r="K370">
        <v>1</v>
      </c>
      <c r="L370" s="2">
        <f t="shared" si="30"/>
        <v>45292</v>
      </c>
      <c r="M370" s="2">
        <f t="shared" ca="1" si="31"/>
        <v>45325</v>
      </c>
      <c r="N370" s="2">
        <f t="shared" ca="1" si="32"/>
        <v>45335</v>
      </c>
      <c r="O370" s="3">
        <f t="shared" ca="1" si="33"/>
        <v>33</v>
      </c>
      <c r="P370" s="3">
        <f t="shared" ca="1" si="34"/>
        <v>10</v>
      </c>
      <c r="Q370" s="1" t="str">
        <f>IF(K370=1,"Joined",IF(H370&gt;=70,"Dropped at Offer",IF(H370&gt;=50,"Dropped at Interview","Dropped at Screening")))</f>
        <v>Joined</v>
      </c>
      <c r="R370" s="1" t="str">
        <f t="shared" ca="1" si="35"/>
        <v>Feb-2024</v>
      </c>
    </row>
    <row r="371" spans="1:18">
      <c r="A371">
        <v>24</v>
      </c>
      <c r="B371">
        <v>1</v>
      </c>
      <c r="C371">
        <v>3</v>
      </c>
      <c r="D371">
        <v>4</v>
      </c>
      <c r="E371">
        <v>4</v>
      </c>
      <c r="F371">
        <v>6.1878171767928096</v>
      </c>
      <c r="G371">
        <v>47</v>
      </c>
      <c r="H371">
        <v>99</v>
      </c>
      <c r="I371">
        <v>2</v>
      </c>
      <c r="J371">
        <v>1</v>
      </c>
      <c r="K371">
        <v>1</v>
      </c>
      <c r="L371" s="2">
        <f t="shared" si="30"/>
        <v>45292</v>
      </c>
      <c r="M371" s="2">
        <f t="shared" ca="1" si="31"/>
        <v>45308</v>
      </c>
      <c r="N371" s="2">
        <f t="shared" ca="1" si="32"/>
        <v>45316</v>
      </c>
      <c r="O371" s="3">
        <f t="shared" ca="1" si="33"/>
        <v>16</v>
      </c>
      <c r="P371" s="3">
        <f t="shared" ca="1" si="34"/>
        <v>8</v>
      </c>
      <c r="Q371" s="1" t="str">
        <f>IF(K371=1,"Joined",IF(H371&gt;=70,"Dropped at Offer",IF(H371&gt;=50,"Dropped at Interview","Dropped at Screening")))</f>
        <v>Joined</v>
      </c>
      <c r="R371" s="1" t="str">
        <f t="shared" ca="1" si="35"/>
        <v>Jan-2024</v>
      </c>
    </row>
    <row r="372" spans="1:18">
      <c r="A372">
        <v>24</v>
      </c>
      <c r="B372">
        <v>0</v>
      </c>
      <c r="C372">
        <v>2</v>
      </c>
      <c r="D372">
        <v>6</v>
      </c>
      <c r="E372">
        <v>2</v>
      </c>
      <c r="F372">
        <v>15.771101815688199</v>
      </c>
      <c r="G372">
        <v>6</v>
      </c>
      <c r="H372">
        <v>48</v>
      </c>
      <c r="I372">
        <v>25</v>
      </c>
      <c r="J372">
        <v>1</v>
      </c>
      <c r="K372">
        <v>0</v>
      </c>
      <c r="L372" s="2">
        <f t="shared" si="30"/>
        <v>45292</v>
      </c>
      <c r="M372" s="2">
        <f t="shared" ca="1" si="31"/>
        <v>45308</v>
      </c>
      <c r="N372" s="2" t="str">
        <f t="shared" ca="1" si="32"/>
        <v>N/A</v>
      </c>
      <c r="O372" s="3">
        <f t="shared" ca="1" si="33"/>
        <v>16</v>
      </c>
      <c r="P372" s="3" t="str">
        <f t="shared" ca="1" si="34"/>
        <v>N/A</v>
      </c>
      <c r="Q372" s="1" t="str">
        <f>IF(K372=1,"Joined",IF(H372&gt;=70,"Dropped at Offer",IF(H372&gt;=50,"Dropped at Interview","Dropped at Screening")))</f>
        <v>Dropped at Screening</v>
      </c>
      <c r="R372" s="1" t="str">
        <f t="shared" ca="1" si="35"/>
        <v>Jan-2024</v>
      </c>
    </row>
    <row r="373" spans="1:18">
      <c r="A373">
        <v>46</v>
      </c>
      <c r="B373">
        <v>1</v>
      </c>
      <c r="C373">
        <v>2</v>
      </c>
      <c r="D373">
        <v>12</v>
      </c>
      <c r="E373">
        <v>1</v>
      </c>
      <c r="F373">
        <v>5.5279733800460198</v>
      </c>
      <c r="G373">
        <v>79</v>
      </c>
      <c r="H373">
        <v>72</v>
      </c>
      <c r="I373">
        <v>52</v>
      </c>
      <c r="J373">
        <v>1</v>
      </c>
      <c r="K373">
        <v>1</v>
      </c>
      <c r="L373" s="2">
        <f t="shared" si="30"/>
        <v>45292</v>
      </c>
      <c r="M373" s="2">
        <f t="shared" ca="1" si="31"/>
        <v>45331</v>
      </c>
      <c r="N373" s="2">
        <f t="shared" ca="1" si="32"/>
        <v>45357</v>
      </c>
      <c r="O373" s="3">
        <f t="shared" ca="1" si="33"/>
        <v>39</v>
      </c>
      <c r="P373" s="3">
        <f t="shared" ca="1" si="34"/>
        <v>26</v>
      </c>
      <c r="Q373" s="1" t="str">
        <f>IF(K373=1,"Joined",IF(H373&gt;=70,"Dropped at Offer",IF(H373&gt;=50,"Dropped at Interview","Dropped at Screening")))</f>
        <v>Joined</v>
      </c>
      <c r="R373" s="1" t="str">
        <f t="shared" ca="1" si="35"/>
        <v>Feb-2024</v>
      </c>
    </row>
    <row r="374" spans="1:18">
      <c r="A374">
        <v>42</v>
      </c>
      <c r="B374">
        <v>0</v>
      </c>
      <c r="C374">
        <v>2</v>
      </c>
      <c r="D374">
        <v>15</v>
      </c>
      <c r="E374">
        <v>5</v>
      </c>
      <c r="F374">
        <v>34.400162537150699</v>
      </c>
      <c r="G374">
        <v>68</v>
      </c>
      <c r="H374">
        <v>51</v>
      </c>
      <c r="I374">
        <v>30</v>
      </c>
      <c r="J374">
        <v>2</v>
      </c>
      <c r="K374">
        <v>0</v>
      </c>
      <c r="L374" s="2">
        <f t="shared" si="30"/>
        <v>45292</v>
      </c>
      <c r="M374" s="2">
        <f t="shared" ca="1" si="31"/>
        <v>45328</v>
      </c>
      <c r="N374" s="2" t="str">
        <f t="shared" ca="1" si="32"/>
        <v>N/A</v>
      </c>
      <c r="O374" s="3">
        <f t="shared" ca="1" si="33"/>
        <v>36</v>
      </c>
      <c r="P374" s="3" t="str">
        <f t="shared" ca="1" si="34"/>
        <v>N/A</v>
      </c>
      <c r="Q374" s="1" t="str">
        <f>IF(K374=1,"Joined",IF(H374&gt;=70,"Dropped at Offer",IF(H374&gt;=50,"Dropped at Interview","Dropped at Screening")))</f>
        <v>Dropped at Interview</v>
      </c>
      <c r="R374" s="1" t="str">
        <f t="shared" ca="1" si="35"/>
        <v>Feb-2024</v>
      </c>
    </row>
    <row r="375" spans="1:18">
      <c r="A375">
        <v>28</v>
      </c>
      <c r="B375">
        <v>0</v>
      </c>
      <c r="C375">
        <v>2</v>
      </c>
      <c r="D375">
        <v>13</v>
      </c>
      <c r="E375">
        <v>1</v>
      </c>
      <c r="F375">
        <v>7.6663408171287504</v>
      </c>
      <c r="G375">
        <v>15</v>
      </c>
      <c r="H375">
        <v>1</v>
      </c>
      <c r="I375">
        <v>25</v>
      </c>
      <c r="J375">
        <v>2</v>
      </c>
      <c r="K375">
        <v>0</v>
      </c>
      <c r="L375" s="2">
        <f t="shared" si="30"/>
        <v>45292</v>
      </c>
      <c r="M375" s="2">
        <f t="shared" ca="1" si="31"/>
        <v>45317</v>
      </c>
      <c r="N375" s="2" t="str">
        <f t="shared" ca="1" si="32"/>
        <v>N/A</v>
      </c>
      <c r="O375" s="3">
        <f t="shared" ca="1" si="33"/>
        <v>25</v>
      </c>
      <c r="P375" s="3" t="str">
        <f t="shared" ca="1" si="34"/>
        <v>N/A</v>
      </c>
      <c r="Q375" s="1" t="str">
        <f>IF(K375=1,"Joined",IF(H375&gt;=70,"Dropped at Offer",IF(H375&gt;=50,"Dropped at Interview","Dropped at Screening")))</f>
        <v>Dropped at Screening</v>
      </c>
      <c r="R375" s="1" t="str">
        <f t="shared" ca="1" si="35"/>
        <v>Jan-2024</v>
      </c>
    </row>
    <row r="376" spans="1:18">
      <c r="A376">
        <v>28</v>
      </c>
      <c r="B376">
        <v>0</v>
      </c>
      <c r="C376">
        <v>2</v>
      </c>
      <c r="D376">
        <v>3</v>
      </c>
      <c r="E376">
        <v>2</v>
      </c>
      <c r="F376">
        <v>43.592296291944301</v>
      </c>
      <c r="G376">
        <v>0</v>
      </c>
      <c r="H376">
        <v>95</v>
      </c>
      <c r="I376">
        <v>22</v>
      </c>
      <c r="J376">
        <v>2</v>
      </c>
      <c r="K376">
        <v>0</v>
      </c>
      <c r="L376" s="2">
        <f t="shared" si="30"/>
        <v>45292</v>
      </c>
      <c r="M376" s="2">
        <f t="shared" ca="1" si="31"/>
        <v>45316</v>
      </c>
      <c r="N376" s="2" t="str">
        <f t="shared" ca="1" si="32"/>
        <v>N/A</v>
      </c>
      <c r="O376" s="3">
        <f t="shared" ca="1" si="33"/>
        <v>24</v>
      </c>
      <c r="P376" s="3" t="str">
        <f t="shared" ca="1" si="34"/>
        <v>N/A</v>
      </c>
      <c r="Q376" s="1" t="str">
        <f>IF(K376=1,"Joined",IF(H376&gt;=70,"Dropped at Offer",IF(H376&gt;=50,"Dropped at Interview","Dropped at Screening")))</f>
        <v>Dropped at Offer</v>
      </c>
      <c r="R376" s="1" t="str">
        <f t="shared" ca="1" si="35"/>
        <v>Jan-2024</v>
      </c>
    </row>
    <row r="377" spans="1:18">
      <c r="A377">
        <v>22</v>
      </c>
      <c r="B377">
        <v>1</v>
      </c>
      <c r="C377">
        <v>3</v>
      </c>
      <c r="D377">
        <v>14</v>
      </c>
      <c r="E377">
        <v>5</v>
      </c>
      <c r="F377">
        <v>41.859552536331996</v>
      </c>
      <c r="G377">
        <v>36</v>
      </c>
      <c r="H377">
        <v>49</v>
      </c>
      <c r="I377">
        <v>29</v>
      </c>
      <c r="J377">
        <v>1</v>
      </c>
      <c r="K377">
        <v>1</v>
      </c>
      <c r="L377" s="2">
        <f t="shared" si="30"/>
        <v>45292</v>
      </c>
      <c r="M377" s="2">
        <f t="shared" ca="1" si="31"/>
        <v>45328</v>
      </c>
      <c r="N377" s="2">
        <f t="shared" ca="1" si="32"/>
        <v>45353</v>
      </c>
      <c r="O377" s="3">
        <f t="shared" ca="1" si="33"/>
        <v>36</v>
      </c>
      <c r="P377" s="3">
        <f t="shared" ca="1" si="34"/>
        <v>25</v>
      </c>
      <c r="Q377" s="1" t="str">
        <f>IF(K377=1,"Joined",IF(H377&gt;=70,"Dropped at Offer",IF(H377&gt;=50,"Dropped at Interview","Dropped at Screening")))</f>
        <v>Joined</v>
      </c>
      <c r="R377" s="1" t="str">
        <f t="shared" ca="1" si="35"/>
        <v>Feb-2024</v>
      </c>
    </row>
    <row r="378" spans="1:18">
      <c r="A378">
        <v>38</v>
      </c>
      <c r="B378">
        <v>0</v>
      </c>
      <c r="C378">
        <v>3</v>
      </c>
      <c r="D378">
        <v>15</v>
      </c>
      <c r="E378">
        <v>5</v>
      </c>
      <c r="F378">
        <v>1.6830842735304701</v>
      </c>
      <c r="G378">
        <v>82</v>
      </c>
      <c r="H378">
        <v>85</v>
      </c>
      <c r="I378">
        <v>9</v>
      </c>
      <c r="J378">
        <v>3</v>
      </c>
      <c r="K378">
        <v>1</v>
      </c>
      <c r="L378" s="2">
        <f t="shared" si="30"/>
        <v>45292</v>
      </c>
      <c r="M378" s="2">
        <f t="shared" ca="1" si="31"/>
        <v>45318</v>
      </c>
      <c r="N378" s="2">
        <f t="shared" ca="1" si="32"/>
        <v>45342</v>
      </c>
      <c r="O378" s="3">
        <f t="shared" ca="1" si="33"/>
        <v>26</v>
      </c>
      <c r="P378" s="3">
        <f t="shared" ca="1" si="34"/>
        <v>24</v>
      </c>
      <c r="Q378" s="1" t="str">
        <f>IF(K378=1,"Joined",IF(H378&gt;=70,"Dropped at Offer",IF(H378&gt;=50,"Dropped at Interview","Dropped at Screening")))</f>
        <v>Joined</v>
      </c>
      <c r="R378" s="1" t="str">
        <f t="shared" ca="1" si="35"/>
        <v>Jan-2024</v>
      </c>
    </row>
    <row r="379" spans="1:18">
      <c r="A379">
        <v>35</v>
      </c>
      <c r="B379">
        <v>1</v>
      </c>
      <c r="C379">
        <v>3</v>
      </c>
      <c r="D379">
        <v>6</v>
      </c>
      <c r="E379">
        <v>1</v>
      </c>
      <c r="F379">
        <v>45.786317775755698</v>
      </c>
      <c r="G379">
        <v>36</v>
      </c>
      <c r="H379">
        <v>42</v>
      </c>
      <c r="I379">
        <v>71</v>
      </c>
      <c r="J379">
        <v>2</v>
      </c>
      <c r="K379">
        <v>0</v>
      </c>
      <c r="L379" s="2">
        <f t="shared" si="30"/>
        <v>45292</v>
      </c>
      <c r="M379" s="2">
        <f t="shared" ca="1" si="31"/>
        <v>45330</v>
      </c>
      <c r="N379" s="2" t="str">
        <f t="shared" ca="1" si="32"/>
        <v>N/A</v>
      </c>
      <c r="O379" s="3">
        <f t="shared" ca="1" si="33"/>
        <v>38</v>
      </c>
      <c r="P379" s="3" t="str">
        <f t="shared" ca="1" si="34"/>
        <v>N/A</v>
      </c>
      <c r="Q379" s="1" t="str">
        <f>IF(K379=1,"Joined",IF(H379&gt;=70,"Dropped at Offer",IF(H379&gt;=50,"Dropped at Interview","Dropped at Screening")))</f>
        <v>Dropped at Screening</v>
      </c>
      <c r="R379" s="1" t="str">
        <f t="shared" ca="1" si="35"/>
        <v>Feb-2024</v>
      </c>
    </row>
    <row r="380" spans="1:18">
      <c r="A380">
        <v>35</v>
      </c>
      <c r="B380">
        <v>1</v>
      </c>
      <c r="C380">
        <v>1</v>
      </c>
      <c r="D380">
        <v>12</v>
      </c>
      <c r="E380">
        <v>4</v>
      </c>
      <c r="F380">
        <v>2.4472158371683501</v>
      </c>
      <c r="G380">
        <v>80</v>
      </c>
      <c r="H380">
        <v>76</v>
      </c>
      <c r="I380">
        <v>88</v>
      </c>
      <c r="J380">
        <v>1</v>
      </c>
      <c r="K380">
        <v>1</v>
      </c>
      <c r="L380" s="2">
        <f t="shared" si="30"/>
        <v>45292</v>
      </c>
      <c r="M380" s="2">
        <f t="shared" ca="1" si="31"/>
        <v>45327</v>
      </c>
      <c r="N380" s="2">
        <f t="shared" ca="1" si="32"/>
        <v>45350</v>
      </c>
      <c r="O380" s="3">
        <f t="shared" ca="1" si="33"/>
        <v>35</v>
      </c>
      <c r="P380" s="3">
        <f t="shared" ca="1" si="34"/>
        <v>23</v>
      </c>
      <c r="Q380" s="1" t="str">
        <f>IF(K380=1,"Joined",IF(H380&gt;=70,"Dropped at Offer",IF(H380&gt;=50,"Dropped at Interview","Dropped at Screening")))</f>
        <v>Joined</v>
      </c>
      <c r="R380" s="1" t="str">
        <f t="shared" ca="1" si="35"/>
        <v>Feb-2024</v>
      </c>
    </row>
    <row r="381" spans="1:18">
      <c r="A381">
        <v>22</v>
      </c>
      <c r="B381">
        <v>0</v>
      </c>
      <c r="C381">
        <v>3</v>
      </c>
      <c r="D381">
        <v>0</v>
      </c>
      <c r="E381">
        <v>2</v>
      </c>
      <c r="F381">
        <v>12.9822892478778</v>
      </c>
      <c r="G381">
        <v>63</v>
      </c>
      <c r="H381">
        <v>7</v>
      </c>
      <c r="I381">
        <v>63</v>
      </c>
      <c r="J381">
        <v>2</v>
      </c>
      <c r="K381">
        <v>0</v>
      </c>
      <c r="L381" s="2">
        <f t="shared" si="30"/>
        <v>45292</v>
      </c>
      <c r="M381" s="2">
        <f t="shared" ca="1" si="31"/>
        <v>45308</v>
      </c>
      <c r="N381" s="2" t="str">
        <f t="shared" ca="1" si="32"/>
        <v>N/A</v>
      </c>
      <c r="O381" s="3">
        <f t="shared" ca="1" si="33"/>
        <v>16</v>
      </c>
      <c r="P381" s="3" t="str">
        <f t="shared" ca="1" si="34"/>
        <v>N/A</v>
      </c>
      <c r="Q381" s="1" t="str">
        <f>IF(K381=1,"Joined",IF(H381&gt;=70,"Dropped at Offer",IF(H381&gt;=50,"Dropped at Interview","Dropped at Screening")))</f>
        <v>Dropped at Screening</v>
      </c>
      <c r="R381" s="1" t="str">
        <f t="shared" ca="1" si="35"/>
        <v>Jan-2024</v>
      </c>
    </row>
    <row r="382" spans="1:18">
      <c r="A382">
        <v>39</v>
      </c>
      <c r="B382">
        <v>0</v>
      </c>
      <c r="C382">
        <v>3</v>
      </c>
      <c r="D382">
        <v>6</v>
      </c>
      <c r="E382">
        <v>3</v>
      </c>
      <c r="F382">
        <v>2.6194568887997498</v>
      </c>
      <c r="G382">
        <v>89</v>
      </c>
      <c r="H382">
        <v>58</v>
      </c>
      <c r="I382">
        <v>21</v>
      </c>
      <c r="J382">
        <v>1</v>
      </c>
      <c r="K382">
        <v>1</v>
      </c>
      <c r="L382" s="2">
        <f t="shared" si="30"/>
        <v>45292</v>
      </c>
      <c r="M382" s="2">
        <f t="shared" ca="1" si="31"/>
        <v>45320</v>
      </c>
      <c r="N382" s="2">
        <f t="shared" ca="1" si="32"/>
        <v>45347</v>
      </c>
      <c r="O382" s="3">
        <f t="shared" ca="1" si="33"/>
        <v>28</v>
      </c>
      <c r="P382" s="3">
        <f t="shared" ca="1" si="34"/>
        <v>27</v>
      </c>
      <c r="Q382" s="1" t="str">
        <f>IF(K382=1,"Joined",IF(H382&gt;=70,"Dropped at Offer",IF(H382&gt;=50,"Dropped at Interview","Dropped at Screening")))</f>
        <v>Joined</v>
      </c>
      <c r="R382" s="1" t="str">
        <f t="shared" ca="1" si="35"/>
        <v>Jan-2024</v>
      </c>
    </row>
    <row r="383" spans="1:18">
      <c r="A383">
        <v>43</v>
      </c>
      <c r="B383">
        <v>0</v>
      </c>
      <c r="C383">
        <v>2</v>
      </c>
      <c r="D383">
        <v>7</v>
      </c>
      <c r="E383">
        <v>3</v>
      </c>
      <c r="F383">
        <v>17.792174351965699</v>
      </c>
      <c r="G383">
        <v>85</v>
      </c>
      <c r="H383">
        <v>64</v>
      </c>
      <c r="I383">
        <v>14</v>
      </c>
      <c r="J383">
        <v>1</v>
      </c>
      <c r="K383">
        <v>1</v>
      </c>
      <c r="L383" s="2">
        <f t="shared" si="30"/>
        <v>45292</v>
      </c>
      <c r="M383" s="2">
        <f t="shared" ca="1" si="31"/>
        <v>45308</v>
      </c>
      <c r="N383" s="2">
        <f t="shared" ca="1" si="32"/>
        <v>45323</v>
      </c>
      <c r="O383" s="3">
        <f t="shared" ca="1" si="33"/>
        <v>16</v>
      </c>
      <c r="P383" s="3">
        <f t="shared" ca="1" si="34"/>
        <v>15</v>
      </c>
      <c r="Q383" s="1" t="str">
        <f>IF(K383=1,"Joined",IF(H383&gt;=70,"Dropped at Offer",IF(H383&gt;=50,"Dropped at Interview","Dropped at Screening")))</f>
        <v>Joined</v>
      </c>
      <c r="R383" s="1" t="str">
        <f t="shared" ca="1" si="35"/>
        <v>Jan-2024</v>
      </c>
    </row>
    <row r="384" spans="1:18">
      <c r="A384">
        <v>41</v>
      </c>
      <c r="B384">
        <v>1</v>
      </c>
      <c r="C384">
        <v>3</v>
      </c>
      <c r="D384">
        <v>4</v>
      </c>
      <c r="E384">
        <v>1</v>
      </c>
      <c r="F384">
        <v>26.693326285663499</v>
      </c>
      <c r="G384">
        <v>61</v>
      </c>
      <c r="H384">
        <v>80</v>
      </c>
      <c r="I384">
        <v>55</v>
      </c>
      <c r="J384">
        <v>2</v>
      </c>
      <c r="K384">
        <v>0</v>
      </c>
      <c r="L384" s="2">
        <f t="shared" si="30"/>
        <v>45292</v>
      </c>
      <c r="M384" s="2">
        <f t="shared" ca="1" si="31"/>
        <v>45329</v>
      </c>
      <c r="N384" s="2" t="str">
        <f t="shared" ca="1" si="32"/>
        <v>N/A</v>
      </c>
      <c r="O384" s="3">
        <f t="shared" ca="1" si="33"/>
        <v>37</v>
      </c>
      <c r="P384" s="3" t="str">
        <f t="shared" ca="1" si="34"/>
        <v>N/A</v>
      </c>
      <c r="Q384" s="1" t="str">
        <f>IF(K384=1,"Joined",IF(H384&gt;=70,"Dropped at Offer",IF(H384&gt;=50,"Dropped at Interview","Dropped at Screening")))</f>
        <v>Dropped at Offer</v>
      </c>
      <c r="R384" s="1" t="str">
        <f t="shared" ca="1" si="35"/>
        <v>Feb-2024</v>
      </c>
    </row>
    <row r="385" spans="1:18">
      <c r="A385">
        <v>43</v>
      </c>
      <c r="B385">
        <v>0</v>
      </c>
      <c r="C385">
        <v>3</v>
      </c>
      <c r="D385">
        <v>1</v>
      </c>
      <c r="E385">
        <v>2</v>
      </c>
      <c r="F385">
        <v>40.832243450756899</v>
      </c>
      <c r="G385">
        <v>71</v>
      </c>
      <c r="H385">
        <v>11</v>
      </c>
      <c r="I385">
        <v>73</v>
      </c>
      <c r="J385">
        <v>2</v>
      </c>
      <c r="K385">
        <v>0</v>
      </c>
      <c r="L385" s="2">
        <f t="shared" si="30"/>
        <v>45292</v>
      </c>
      <c r="M385" s="2">
        <f t="shared" ca="1" si="31"/>
        <v>45321</v>
      </c>
      <c r="N385" s="2" t="str">
        <f t="shared" ca="1" si="32"/>
        <v>N/A</v>
      </c>
      <c r="O385" s="3">
        <f t="shared" ca="1" si="33"/>
        <v>29</v>
      </c>
      <c r="P385" s="3" t="str">
        <f t="shared" ca="1" si="34"/>
        <v>N/A</v>
      </c>
      <c r="Q385" s="1" t="str">
        <f>IF(K385=1,"Joined",IF(H385&gt;=70,"Dropped at Offer",IF(H385&gt;=50,"Dropped at Interview","Dropped at Screening")))</f>
        <v>Dropped at Screening</v>
      </c>
      <c r="R385" s="1" t="str">
        <f t="shared" ca="1" si="35"/>
        <v>Jan-2024</v>
      </c>
    </row>
    <row r="386" spans="1:18">
      <c r="A386">
        <v>20</v>
      </c>
      <c r="B386">
        <v>1</v>
      </c>
      <c r="C386">
        <v>2</v>
      </c>
      <c r="D386">
        <v>4</v>
      </c>
      <c r="E386">
        <v>2</v>
      </c>
      <c r="F386">
        <v>17.899077523491801</v>
      </c>
      <c r="G386">
        <v>60</v>
      </c>
      <c r="H386">
        <v>3</v>
      </c>
      <c r="I386">
        <v>19</v>
      </c>
      <c r="J386">
        <v>3</v>
      </c>
      <c r="K386">
        <v>0</v>
      </c>
      <c r="L386" s="2">
        <f t="shared" ref="L386:L449" si="36">DATE(2024,1,1)</f>
        <v>45292</v>
      </c>
      <c r="M386" s="2">
        <f t="shared" ref="M386:M449" ca="1" si="37">L386+RANDBETWEEN(14,45)</f>
        <v>45318</v>
      </c>
      <c r="N386" s="2" t="str">
        <f t="shared" ref="N386:N449" ca="1" si="38">IF(K386=1, M386+RANDBETWEEN(7,30), "N/A")</f>
        <v>N/A</v>
      </c>
      <c r="O386" s="3">
        <f t="shared" ref="O386:O449" ca="1" si="39">IF(AND(M386&lt;&gt;"",L386&lt;&gt;""), M386-L386, "N/A")</f>
        <v>26</v>
      </c>
      <c r="P386" s="3" t="str">
        <f t="shared" ref="P386:Q449" ca="1" si="40">IF(AND(K386=1, N386&lt;&gt;"", M386&lt;&gt;""), N386 - M386, "N/A")</f>
        <v>N/A</v>
      </c>
      <c r="Q386" s="1" t="str">
        <f>IF(K386=1,"Joined",IF(H386&gt;=70,"Dropped at Offer",IF(H386&gt;=50,"Dropped at Interview","Dropped at Screening")))</f>
        <v>Dropped at Screening</v>
      </c>
      <c r="R386" s="1" t="str">
        <f t="shared" ref="R386:R449" ca="1" si="41">TEXT(M386,"MMM-YYYY")</f>
        <v>Jan-2024</v>
      </c>
    </row>
    <row r="387" spans="1:18">
      <c r="A387">
        <v>43</v>
      </c>
      <c r="B387">
        <v>1</v>
      </c>
      <c r="C387">
        <v>2</v>
      </c>
      <c r="D387">
        <v>5</v>
      </c>
      <c r="E387">
        <v>1</v>
      </c>
      <c r="F387">
        <v>36.274501233655798</v>
      </c>
      <c r="G387">
        <v>32</v>
      </c>
      <c r="H387">
        <v>76</v>
      </c>
      <c r="I387">
        <v>46</v>
      </c>
      <c r="J387">
        <v>2</v>
      </c>
      <c r="K387">
        <v>0</v>
      </c>
      <c r="L387" s="2">
        <f t="shared" si="36"/>
        <v>45292</v>
      </c>
      <c r="M387" s="2">
        <f t="shared" ca="1" si="37"/>
        <v>45310</v>
      </c>
      <c r="N387" s="2" t="str">
        <f t="shared" ca="1" si="38"/>
        <v>N/A</v>
      </c>
      <c r="O387" s="3">
        <f t="shared" ca="1" si="39"/>
        <v>18</v>
      </c>
      <c r="P387" s="3" t="str">
        <f t="shared" ca="1" si="40"/>
        <v>N/A</v>
      </c>
      <c r="Q387" s="1" t="str">
        <f>IF(K387=1,"Joined",IF(H387&gt;=70,"Dropped at Offer",IF(H387&gt;=50,"Dropped at Interview","Dropped at Screening")))</f>
        <v>Dropped at Offer</v>
      </c>
      <c r="R387" s="1" t="str">
        <f t="shared" ca="1" si="41"/>
        <v>Jan-2024</v>
      </c>
    </row>
    <row r="388" spans="1:18">
      <c r="A388">
        <v>39</v>
      </c>
      <c r="B388">
        <v>0</v>
      </c>
      <c r="C388">
        <v>1</v>
      </c>
      <c r="D388">
        <v>11</v>
      </c>
      <c r="E388">
        <v>2</v>
      </c>
      <c r="F388">
        <v>10.375222855949</v>
      </c>
      <c r="G388">
        <v>65</v>
      </c>
      <c r="H388">
        <v>94</v>
      </c>
      <c r="I388">
        <v>86</v>
      </c>
      <c r="J388">
        <v>3</v>
      </c>
      <c r="K388">
        <v>0</v>
      </c>
      <c r="L388" s="2">
        <f t="shared" si="36"/>
        <v>45292</v>
      </c>
      <c r="M388" s="2">
        <f t="shared" ca="1" si="37"/>
        <v>45319</v>
      </c>
      <c r="N388" s="2" t="str">
        <f t="shared" ca="1" si="38"/>
        <v>N/A</v>
      </c>
      <c r="O388" s="3">
        <f t="shared" ca="1" si="39"/>
        <v>27</v>
      </c>
      <c r="P388" s="3" t="str">
        <f t="shared" ca="1" si="40"/>
        <v>N/A</v>
      </c>
      <c r="Q388" s="1" t="str">
        <f>IF(K388=1,"Joined",IF(H388&gt;=70,"Dropped at Offer",IF(H388&gt;=50,"Dropped at Interview","Dropped at Screening")))</f>
        <v>Dropped at Offer</v>
      </c>
      <c r="R388" s="1" t="str">
        <f t="shared" ca="1" si="41"/>
        <v>Jan-2024</v>
      </c>
    </row>
    <row r="389" spans="1:18">
      <c r="A389">
        <v>30</v>
      </c>
      <c r="B389">
        <v>0</v>
      </c>
      <c r="C389">
        <v>2</v>
      </c>
      <c r="D389">
        <v>1</v>
      </c>
      <c r="E389">
        <v>4</v>
      </c>
      <c r="F389">
        <v>38.5299228372063</v>
      </c>
      <c r="G389">
        <v>29</v>
      </c>
      <c r="H389">
        <v>40</v>
      </c>
      <c r="I389">
        <v>52</v>
      </c>
      <c r="J389">
        <v>3</v>
      </c>
      <c r="K389">
        <v>0</v>
      </c>
      <c r="L389" s="2">
        <f t="shared" si="36"/>
        <v>45292</v>
      </c>
      <c r="M389" s="2">
        <f t="shared" ca="1" si="37"/>
        <v>45309</v>
      </c>
      <c r="N389" s="2" t="str">
        <f t="shared" ca="1" si="38"/>
        <v>N/A</v>
      </c>
      <c r="O389" s="3">
        <f t="shared" ca="1" si="39"/>
        <v>17</v>
      </c>
      <c r="P389" s="3" t="str">
        <f t="shared" ca="1" si="40"/>
        <v>N/A</v>
      </c>
      <c r="Q389" s="1" t="str">
        <f>IF(K389=1,"Joined",IF(H389&gt;=70,"Dropped at Offer",IF(H389&gt;=50,"Dropped at Interview","Dropped at Screening")))</f>
        <v>Dropped at Screening</v>
      </c>
      <c r="R389" s="1" t="str">
        <f t="shared" ca="1" si="41"/>
        <v>Jan-2024</v>
      </c>
    </row>
    <row r="390" spans="1:18">
      <c r="A390">
        <v>36</v>
      </c>
      <c r="B390">
        <v>1</v>
      </c>
      <c r="C390">
        <v>2</v>
      </c>
      <c r="D390">
        <v>13</v>
      </c>
      <c r="E390">
        <v>1</v>
      </c>
      <c r="F390">
        <v>12.799830295461801</v>
      </c>
      <c r="G390">
        <v>19</v>
      </c>
      <c r="H390">
        <v>6</v>
      </c>
      <c r="I390">
        <v>52</v>
      </c>
      <c r="J390">
        <v>3</v>
      </c>
      <c r="K390">
        <v>0</v>
      </c>
      <c r="L390" s="2">
        <f t="shared" si="36"/>
        <v>45292</v>
      </c>
      <c r="M390" s="2">
        <f t="shared" ca="1" si="37"/>
        <v>45312</v>
      </c>
      <c r="N390" s="2" t="str">
        <f t="shared" ca="1" si="38"/>
        <v>N/A</v>
      </c>
      <c r="O390" s="3">
        <f t="shared" ca="1" si="39"/>
        <v>20</v>
      </c>
      <c r="P390" s="3" t="str">
        <f t="shared" ca="1" si="40"/>
        <v>N/A</v>
      </c>
      <c r="Q390" s="1" t="str">
        <f>IF(K390=1,"Joined",IF(H390&gt;=70,"Dropped at Offer",IF(H390&gt;=50,"Dropped at Interview","Dropped at Screening")))</f>
        <v>Dropped at Screening</v>
      </c>
      <c r="R390" s="1" t="str">
        <f t="shared" ca="1" si="41"/>
        <v>Jan-2024</v>
      </c>
    </row>
    <row r="391" spans="1:18">
      <c r="A391">
        <v>27</v>
      </c>
      <c r="B391">
        <v>1</v>
      </c>
      <c r="C391">
        <v>3</v>
      </c>
      <c r="D391">
        <v>5</v>
      </c>
      <c r="E391">
        <v>4</v>
      </c>
      <c r="F391">
        <v>8.1772377971883898</v>
      </c>
      <c r="G391">
        <v>59</v>
      </c>
      <c r="H391">
        <v>86</v>
      </c>
      <c r="I391">
        <v>0</v>
      </c>
      <c r="J391">
        <v>2</v>
      </c>
      <c r="K391">
        <v>0</v>
      </c>
      <c r="L391" s="2">
        <f t="shared" si="36"/>
        <v>45292</v>
      </c>
      <c r="M391" s="2">
        <f t="shared" ca="1" si="37"/>
        <v>45329</v>
      </c>
      <c r="N391" s="2" t="str">
        <f t="shared" ca="1" si="38"/>
        <v>N/A</v>
      </c>
      <c r="O391" s="3">
        <f t="shared" ca="1" si="39"/>
        <v>37</v>
      </c>
      <c r="P391" s="3" t="str">
        <f t="shared" ca="1" si="40"/>
        <v>N/A</v>
      </c>
      <c r="Q391" s="1" t="str">
        <f>IF(K391=1,"Joined",IF(H391&gt;=70,"Dropped at Offer",IF(H391&gt;=50,"Dropped at Interview","Dropped at Screening")))</f>
        <v>Dropped at Offer</v>
      </c>
      <c r="R391" s="1" t="str">
        <f t="shared" ca="1" si="41"/>
        <v>Feb-2024</v>
      </c>
    </row>
    <row r="392" spans="1:18">
      <c r="A392">
        <v>23</v>
      </c>
      <c r="B392">
        <v>1</v>
      </c>
      <c r="C392">
        <v>2</v>
      </c>
      <c r="D392">
        <v>5</v>
      </c>
      <c r="E392">
        <v>2</v>
      </c>
      <c r="F392">
        <v>10.2704425187027</v>
      </c>
      <c r="G392">
        <v>81</v>
      </c>
      <c r="H392">
        <v>87</v>
      </c>
      <c r="I392">
        <v>1</v>
      </c>
      <c r="J392">
        <v>1</v>
      </c>
      <c r="K392">
        <v>1</v>
      </c>
      <c r="L392" s="2">
        <f t="shared" si="36"/>
        <v>45292</v>
      </c>
      <c r="M392" s="2">
        <f t="shared" ca="1" si="37"/>
        <v>45318</v>
      </c>
      <c r="N392" s="2">
        <f t="shared" ca="1" si="38"/>
        <v>45336</v>
      </c>
      <c r="O392" s="3">
        <f t="shared" ca="1" si="39"/>
        <v>26</v>
      </c>
      <c r="P392" s="3">
        <f t="shared" ca="1" si="40"/>
        <v>18</v>
      </c>
      <c r="Q392" s="1" t="str">
        <f>IF(K392=1,"Joined",IF(H392&gt;=70,"Dropped at Offer",IF(H392&gt;=50,"Dropped at Interview","Dropped at Screening")))</f>
        <v>Joined</v>
      </c>
      <c r="R392" s="1" t="str">
        <f t="shared" ca="1" si="41"/>
        <v>Jan-2024</v>
      </c>
    </row>
    <row r="393" spans="1:18">
      <c r="A393">
        <v>25</v>
      </c>
      <c r="B393">
        <v>0</v>
      </c>
      <c r="C393">
        <v>1</v>
      </c>
      <c r="D393">
        <v>0</v>
      </c>
      <c r="E393">
        <v>1</v>
      </c>
      <c r="F393">
        <v>10.103156444092701</v>
      </c>
      <c r="G393">
        <v>73</v>
      </c>
      <c r="H393">
        <v>68</v>
      </c>
      <c r="I393">
        <v>57</v>
      </c>
      <c r="J393">
        <v>1</v>
      </c>
      <c r="K393">
        <v>1</v>
      </c>
      <c r="L393" s="2">
        <f t="shared" si="36"/>
        <v>45292</v>
      </c>
      <c r="M393" s="2">
        <f t="shared" ca="1" si="37"/>
        <v>45320</v>
      </c>
      <c r="N393" s="2">
        <f t="shared" ca="1" si="38"/>
        <v>45335</v>
      </c>
      <c r="O393" s="3">
        <f t="shared" ca="1" si="39"/>
        <v>28</v>
      </c>
      <c r="P393" s="3">
        <f t="shared" ca="1" si="40"/>
        <v>15</v>
      </c>
      <c r="Q393" s="1" t="str">
        <f>IF(K393=1,"Joined",IF(H393&gt;=70,"Dropped at Offer",IF(H393&gt;=50,"Dropped at Interview","Dropped at Screening")))</f>
        <v>Joined</v>
      </c>
      <c r="R393" s="1" t="str">
        <f t="shared" ca="1" si="41"/>
        <v>Jan-2024</v>
      </c>
    </row>
    <row r="394" spans="1:18">
      <c r="A394">
        <v>27</v>
      </c>
      <c r="B394">
        <v>1</v>
      </c>
      <c r="C394">
        <v>2</v>
      </c>
      <c r="D394">
        <v>13</v>
      </c>
      <c r="E394">
        <v>2</v>
      </c>
      <c r="F394">
        <v>26.6431439688495</v>
      </c>
      <c r="G394">
        <v>23</v>
      </c>
      <c r="H394">
        <v>68</v>
      </c>
      <c r="I394">
        <v>18</v>
      </c>
      <c r="J394">
        <v>2</v>
      </c>
      <c r="K394">
        <v>0</v>
      </c>
      <c r="L394" s="2">
        <f t="shared" si="36"/>
        <v>45292</v>
      </c>
      <c r="M394" s="2">
        <f t="shared" ca="1" si="37"/>
        <v>45315</v>
      </c>
      <c r="N394" s="2" t="str">
        <f t="shared" ca="1" si="38"/>
        <v>N/A</v>
      </c>
      <c r="O394" s="3">
        <f t="shared" ca="1" si="39"/>
        <v>23</v>
      </c>
      <c r="P394" s="3" t="str">
        <f t="shared" ca="1" si="40"/>
        <v>N/A</v>
      </c>
      <c r="Q394" s="1" t="str">
        <f>IF(K394=1,"Joined",IF(H394&gt;=70,"Dropped at Offer",IF(H394&gt;=50,"Dropped at Interview","Dropped at Screening")))</f>
        <v>Dropped at Interview</v>
      </c>
      <c r="R394" s="1" t="str">
        <f t="shared" ca="1" si="41"/>
        <v>Jan-2024</v>
      </c>
    </row>
    <row r="395" spans="1:18">
      <c r="A395">
        <v>39</v>
      </c>
      <c r="B395">
        <v>0</v>
      </c>
      <c r="C395">
        <v>1</v>
      </c>
      <c r="D395">
        <v>0</v>
      </c>
      <c r="E395">
        <v>1</v>
      </c>
      <c r="F395">
        <v>43.239879059407301</v>
      </c>
      <c r="G395">
        <v>3</v>
      </c>
      <c r="H395">
        <v>80</v>
      </c>
      <c r="I395">
        <v>61</v>
      </c>
      <c r="J395">
        <v>2</v>
      </c>
      <c r="K395">
        <v>0</v>
      </c>
      <c r="L395" s="2">
        <f t="shared" si="36"/>
        <v>45292</v>
      </c>
      <c r="M395" s="2">
        <f t="shared" ca="1" si="37"/>
        <v>45325</v>
      </c>
      <c r="N395" s="2" t="str">
        <f t="shared" ca="1" si="38"/>
        <v>N/A</v>
      </c>
      <c r="O395" s="3">
        <f t="shared" ca="1" si="39"/>
        <v>33</v>
      </c>
      <c r="P395" s="3" t="str">
        <f t="shared" ca="1" si="40"/>
        <v>N/A</v>
      </c>
      <c r="Q395" s="1" t="str">
        <f>IF(K395=1,"Joined",IF(H395&gt;=70,"Dropped at Offer",IF(H395&gt;=50,"Dropped at Interview","Dropped at Screening")))</f>
        <v>Dropped at Offer</v>
      </c>
      <c r="R395" s="1" t="str">
        <f t="shared" ca="1" si="41"/>
        <v>Feb-2024</v>
      </c>
    </row>
    <row r="396" spans="1:18">
      <c r="A396">
        <v>49</v>
      </c>
      <c r="B396">
        <v>1</v>
      </c>
      <c r="C396">
        <v>1</v>
      </c>
      <c r="D396">
        <v>13</v>
      </c>
      <c r="E396">
        <v>2</v>
      </c>
      <c r="F396">
        <v>4.9802538496252797</v>
      </c>
      <c r="G396">
        <v>36</v>
      </c>
      <c r="H396">
        <v>29</v>
      </c>
      <c r="I396">
        <v>77</v>
      </c>
      <c r="J396">
        <v>1</v>
      </c>
      <c r="K396">
        <v>1</v>
      </c>
      <c r="L396" s="2">
        <f t="shared" si="36"/>
        <v>45292</v>
      </c>
      <c r="M396" s="2">
        <f t="shared" ca="1" si="37"/>
        <v>45323</v>
      </c>
      <c r="N396" s="2">
        <f t="shared" ca="1" si="38"/>
        <v>45345</v>
      </c>
      <c r="O396" s="3">
        <f t="shared" ca="1" si="39"/>
        <v>31</v>
      </c>
      <c r="P396" s="3">
        <f t="shared" ca="1" si="40"/>
        <v>22</v>
      </c>
      <c r="Q396" s="1" t="str">
        <f>IF(K396=1,"Joined",IF(H396&gt;=70,"Dropped at Offer",IF(H396&gt;=50,"Dropped at Interview","Dropped at Screening")))</f>
        <v>Joined</v>
      </c>
      <c r="R396" s="1" t="str">
        <f t="shared" ca="1" si="41"/>
        <v>Feb-2024</v>
      </c>
    </row>
    <row r="397" spans="1:18">
      <c r="A397">
        <v>22</v>
      </c>
      <c r="B397">
        <v>1</v>
      </c>
      <c r="C397">
        <v>1</v>
      </c>
      <c r="D397">
        <v>10</v>
      </c>
      <c r="E397">
        <v>4</v>
      </c>
      <c r="F397">
        <v>36.347815924671103</v>
      </c>
      <c r="G397">
        <v>3</v>
      </c>
      <c r="H397">
        <v>72</v>
      </c>
      <c r="I397">
        <v>71</v>
      </c>
      <c r="J397">
        <v>2</v>
      </c>
      <c r="K397">
        <v>0</v>
      </c>
      <c r="L397" s="2">
        <f t="shared" si="36"/>
        <v>45292</v>
      </c>
      <c r="M397" s="2">
        <f t="shared" ca="1" si="37"/>
        <v>45307</v>
      </c>
      <c r="N397" s="2" t="str">
        <f t="shared" ca="1" si="38"/>
        <v>N/A</v>
      </c>
      <c r="O397" s="3">
        <f t="shared" ca="1" si="39"/>
        <v>15</v>
      </c>
      <c r="P397" s="3" t="str">
        <f t="shared" ca="1" si="40"/>
        <v>N/A</v>
      </c>
      <c r="Q397" s="1" t="str">
        <f>IF(K397=1,"Joined",IF(H397&gt;=70,"Dropped at Offer",IF(H397&gt;=50,"Dropped at Interview","Dropped at Screening")))</f>
        <v>Dropped at Offer</v>
      </c>
      <c r="R397" s="1" t="str">
        <f t="shared" ca="1" si="41"/>
        <v>Jan-2024</v>
      </c>
    </row>
    <row r="398" spans="1:18">
      <c r="A398">
        <v>35</v>
      </c>
      <c r="B398">
        <v>0</v>
      </c>
      <c r="C398">
        <v>1</v>
      </c>
      <c r="D398">
        <v>15</v>
      </c>
      <c r="E398">
        <v>4</v>
      </c>
      <c r="F398">
        <v>33.717322982642798</v>
      </c>
      <c r="G398">
        <v>76</v>
      </c>
      <c r="H398">
        <v>5</v>
      </c>
      <c r="I398">
        <v>11</v>
      </c>
      <c r="J398">
        <v>1</v>
      </c>
      <c r="K398">
        <v>1</v>
      </c>
      <c r="L398" s="2">
        <f t="shared" si="36"/>
        <v>45292</v>
      </c>
      <c r="M398" s="2">
        <f t="shared" ca="1" si="37"/>
        <v>45330</v>
      </c>
      <c r="N398" s="2">
        <f t="shared" ca="1" si="38"/>
        <v>45345</v>
      </c>
      <c r="O398" s="3">
        <f t="shared" ca="1" si="39"/>
        <v>38</v>
      </c>
      <c r="P398" s="3">
        <f t="shared" ca="1" si="40"/>
        <v>15</v>
      </c>
      <c r="Q398" s="1" t="str">
        <f>IF(K398=1,"Joined",IF(H398&gt;=70,"Dropped at Offer",IF(H398&gt;=50,"Dropped at Interview","Dropped at Screening")))</f>
        <v>Joined</v>
      </c>
      <c r="R398" s="1" t="str">
        <f t="shared" ca="1" si="41"/>
        <v>Feb-2024</v>
      </c>
    </row>
    <row r="399" spans="1:18">
      <c r="A399">
        <v>49</v>
      </c>
      <c r="B399">
        <v>1</v>
      </c>
      <c r="C399">
        <v>1</v>
      </c>
      <c r="D399">
        <v>9</v>
      </c>
      <c r="E399">
        <v>2</v>
      </c>
      <c r="F399">
        <v>44.625997591468099</v>
      </c>
      <c r="G399">
        <v>88</v>
      </c>
      <c r="H399">
        <v>88</v>
      </c>
      <c r="I399">
        <v>25</v>
      </c>
      <c r="J399">
        <v>2</v>
      </c>
      <c r="K399">
        <v>0</v>
      </c>
      <c r="L399" s="2">
        <f t="shared" si="36"/>
        <v>45292</v>
      </c>
      <c r="M399" s="2">
        <f t="shared" ca="1" si="37"/>
        <v>45332</v>
      </c>
      <c r="N399" s="2" t="str">
        <f t="shared" ca="1" si="38"/>
        <v>N/A</v>
      </c>
      <c r="O399" s="3">
        <f t="shared" ca="1" si="39"/>
        <v>40</v>
      </c>
      <c r="P399" s="3" t="str">
        <f t="shared" ca="1" si="40"/>
        <v>N/A</v>
      </c>
      <c r="Q399" s="1" t="str">
        <f>IF(K399=1,"Joined",IF(H399&gt;=70,"Dropped at Offer",IF(H399&gt;=50,"Dropped at Interview","Dropped at Screening")))</f>
        <v>Dropped at Offer</v>
      </c>
      <c r="R399" s="1" t="str">
        <f t="shared" ca="1" si="41"/>
        <v>Feb-2024</v>
      </c>
    </row>
    <row r="400" spans="1:18">
      <c r="A400">
        <v>44</v>
      </c>
      <c r="B400">
        <v>0</v>
      </c>
      <c r="C400">
        <v>2</v>
      </c>
      <c r="D400">
        <v>2</v>
      </c>
      <c r="E400">
        <v>1</v>
      </c>
      <c r="F400">
        <v>13.207378025345299</v>
      </c>
      <c r="G400">
        <v>76</v>
      </c>
      <c r="H400">
        <v>18</v>
      </c>
      <c r="I400">
        <v>26</v>
      </c>
      <c r="J400">
        <v>1</v>
      </c>
      <c r="K400">
        <v>0</v>
      </c>
      <c r="L400" s="2">
        <f t="shared" si="36"/>
        <v>45292</v>
      </c>
      <c r="M400" s="2">
        <f t="shared" ca="1" si="37"/>
        <v>45336</v>
      </c>
      <c r="N400" s="2" t="str">
        <f t="shared" ca="1" si="38"/>
        <v>N/A</v>
      </c>
      <c r="O400" s="3">
        <f t="shared" ca="1" si="39"/>
        <v>44</v>
      </c>
      <c r="P400" s="3" t="str">
        <f t="shared" ca="1" si="40"/>
        <v>N/A</v>
      </c>
      <c r="Q400" s="1" t="str">
        <f>IF(K400=1,"Joined",IF(H400&gt;=70,"Dropped at Offer",IF(H400&gt;=50,"Dropped at Interview","Dropped at Screening")))</f>
        <v>Dropped at Screening</v>
      </c>
      <c r="R400" s="1" t="str">
        <f t="shared" ca="1" si="41"/>
        <v>Feb-2024</v>
      </c>
    </row>
    <row r="401" spans="1:18">
      <c r="A401">
        <v>22</v>
      </c>
      <c r="B401">
        <v>0</v>
      </c>
      <c r="C401">
        <v>2</v>
      </c>
      <c r="D401">
        <v>13</v>
      </c>
      <c r="E401">
        <v>3</v>
      </c>
      <c r="F401">
        <v>23.5054929342514</v>
      </c>
      <c r="G401">
        <v>17</v>
      </c>
      <c r="H401">
        <v>79</v>
      </c>
      <c r="I401">
        <v>28</v>
      </c>
      <c r="J401">
        <v>2</v>
      </c>
      <c r="K401">
        <v>0</v>
      </c>
      <c r="L401" s="2">
        <f t="shared" si="36"/>
        <v>45292</v>
      </c>
      <c r="M401" s="2">
        <f t="shared" ca="1" si="37"/>
        <v>45306</v>
      </c>
      <c r="N401" s="2" t="str">
        <f t="shared" ca="1" si="38"/>
        <v>N/A</v>
      </c>
      <c r="O401" s="3">
        <f t="shared" ca="1" si="39"/>
        <v>14</v>
      </c>
      <c r="P401" s="3" t="str">
        <f t="shared" ca="1" si="40"/>
        <v>N/A</v>
      </c>
      <c r="Q401" s="1" t="str">
        <f>IF(K401=1,"Joined",IF(H401&gt;=70,"Dropped at Offer",IF(H401&gt;=50,"Dropped at Interview","Dropped at Screening")))</f>
        <v>Dropped at Offer</v>
      </c>
      <c r="R401" s="1" t="str">
        <f t="shared" ca="1" si="41"/>
        <v>Jan-2024</v>
      </c>
    </row>
    <row r="402" spans="1:18">
      <c r="A402">
        <v>44</v>
      </c>
      <c r="B402">
        <v>1</v>
      </c>
      <c r="C402">
        <v>3</v>
      </c>
      <c r="D402">
        <v>9</v>
      </c>
      <c r="E402">
        <v>4</v>
      </c>
      <c r="F402">
        <v>47.291368722175797</v>
      </c>
      <c r="G402">
        <v>87</v>
      </c>
      <c r="H402">
        <v>84</v>
      </c>
      <c r="I402">
        <v>14</v>
      </c>
      <c r="J402">
        <v>2</v>
      </c>
      <c r="K402">
        <v>1</v>
      </c>
      <c r="L402" s="2">
        <f t="shared" si="36"/>
        <v>45292</v>
      </c>
      <c r="M402" s="2">
        <f t="shared" ca="1" si="37"/>
        <v>45311</v>
      </c>
      <c r="N402" s="2">
        <f t="shared" ca="1" si="38"/>
        <v>45341</v>
      </c>
      <c r="O402" s="3">
        <f t="shared" ca="1" si="39"/>
        <v>19</v>
      </c>
      <c r="P402" s="3">
        <f t="shared" ca="1" si="40"/>
        <v>30</v>
      </c>
      <c r="Q402" s="1" t="str">
        <f>IF(K402=1,"Joined",IF(H402&gt;=70,"Dropped at Offer",IF(H402&gt;=50,"Dropped at Interview","Dropped at Screening")))</f>
        <v>Joined</v>
      </c>
      <c r="R402" s="1" t="str">
        <f t="shared" ca="1" si="41"/>
        <v>Jan-2024</v>
      </c>
    </row>
    <row r="403" spans="1:18">
      <c r="A403">
        <v>48</v>
      </c>
      <c r="B403">
        <v>0</v>
      </c>
      <c r="C403">
        <v>2</v>
      </c>
      <c r="D403">
        <v>9</v>
      </c>
      <c r="E403">
        <v>4</v>
      </c>
      <c r="F403">
        <v>33.999672506765798</v>
      </c>
      <c r="G403">
        <v>65</v>
      </c>
      <c r="H403">
        <v>65</v>
      </c>
      <c r="I403">
        <v>45</v>
      </c>
      <c r="J403">
        <v>1</v>
      </c>
      <c r="K403">
        <v>1</v>
      </c>
      <c r="L403" s="2">
        <f t="shared" si="36"/>
        <v>45292</v>
      </c>
      <c r="M403" s="2">
        <f t="shared" ca="1" si="37"/>
        <v>45321</v>
      </c>
      <c r="N403" s="2">
        <f t="shared" ca="1" si="38"/>
        <v>45328</v>
      </c>
      <c r="O403" s="3">
        <f t="shared" ca="1" si="39"/>
        <v>29</v>
      </c>
      <c r="P403" s="3">
        <f t="shared" ca="1" si="40"/>
        <v>7</v>
      </c>
      <c r="Q403" s="1" t="str">
        <f>IF(K403=1,"Joined",IF(H403&gt;=70,"Dropped at Offer",IF(H403&gt;=50,"Dropped at Interview","Dropped at Screening")))</f>
        <v>Joined</v>
      </c>
      <c r="R403" s="1" t="str">
        <f t="shared" ca="1" si="41"/>
        <v>Jan-2024</v>
      </c>
    </row>
    <row r="404" spans="1:18">
      <c r="A404">
        <v>37</v>
      </c>
      <c r="B404">
        <v>0</v>
      </c>
      <c r="C404">
        <v>3</v>
      </c>
      <c r="D404">
        <v>14</v>
      </c>
      <c r="E404">
        <v>3</v>
      </c>
      <c r="F404">
        <v>20.438420643079802</v>
      </c>
      <c r="G404">
        <v>47</v>
      </c>
      <c r="H404">
        <v>9</v>
      </c>
      <c r="I404">
        <v>0</v>
      </c>
      <c r="J404">
        <v>2</v>
      </c>
      <c r="K404">
        <v>0</v>
      </c>
      <c r="L404" s="2">
        <f t="shared" si="36"/>
        <v>45292</v>
      </c>
      <c r="M404" s="2">
        <f t="shared" ca="1" si="37"/>
        <v>45323</v>
      </c>
      <c r="N404" s="2" t="str">
        <f t="shared" ca="1" si="38"/>
        <v>N/A</v>
      </c>
      <c r="O404" s="3">
        <f t="shared" ca="1" si="39"/>
        <v>31</v>
      </c>
      <c r="P404" s="3" t="str">
        <f t="shared" ca="1" si="40"/>
        <v>N/A</v>
      </c>
      <c r="Q404" s="1" t="str">
        <f>IF(K404=1,"Joined",IF(H404&gt;=70,"Dropped at Offer",IF(H404&gt;=50,"Dropped at Interview","Dropped at Screening")))</f>
        <v>Dropped at Screening</v>
      </c>
      <c r="R404" s="1" t="str">
        <f t="shared" ca="1" si="41"/>
        <v>Feb-2024</v>
      </c>
    </row>
    <row r="405" spans="1:18">
      <c r="A405">
        <v>33</v>
      </c>
      <c r="B405">
        <v>1</v>
      </c>
      <c r="C405">
        <v>1</v>
      </c>
      <c r="D405">
        <v>11</v>
      </c>
      <c r="E405">
        <v>2</v>
      </c>
      <c r="F405">
        <v>7.5706191427634204</v>
      </c>
      <c r="G405">
        <v>32</v>
      </c>
      <c r="H405">
        <v>15</v>
      </c>
      <c r="I405">
        <v>59</v>
      </c>
      <c r="J405">
        <v>2</v>
      </c>
      <c r="K405">
        <v>0</v>
      </c>
      <c r="L405" s="2">
        <f t="shared" si="36"/>
        <v>45292</v>
      </c>
      <c r="M405" s="2">
        <f t="shared" ca="1" si="37"/>
        <v>45336</v>
      </c>
      <c r="N405" s="2" t="str">
        <f t="shared" ca="1" si="38"/>
        <v>N/A</v>
      </c>
      <c r="O405" s="3">
        <f t="shared" ca="1" si="39"/>
        <v>44</v>
      </c>
      <c r="P405" s="3" t="str">
        <f t="shared" ca="1" si="40"/>
        <v>N/A</v>
      </c>
      <c r="Q405" s="1" t="str">
        <f>IF(K405=1,"Joined",IF(H405&gt;=70,"Dropped at Offer",IF(H405&gt;=50,"Dropped at Interview","Dropped at Screening")))</f>
        <v>Dropped at Screening</v>
      </c>
      <c r="R405" s="1" t="str">
        <f t="shared" ca="1" si="41"/>
        <v>Feb-2024</v>
      </c>
    </row>
    <row r="406" spans="1:18">
      <c r="A406">
        <v>37</v>
      </c>
      <c r="B406">
        <v>0</v>
      </c>
      <c r="C406">
        <v>2</v>
      </c>
      <c r="D406">
        <v>2</v>
      </c>
      <c r="E406">
        <v>1</v>
      </c>
      <c r="F406">
        <v>14.124250395029501</v>
      </c>
      <c r="G406">
        <v>57</v>
      </c>
      <c r="H406">
        <v>36</v>
      </c>
      <c r="I406">
        <v>91</v>
      </c>
      <c r="J406">
        <v>1</v>
      </c>
      <c r="K406">
        <v>0</v>
      </c>
      <c r="L406" s="2">
        <f t="shared" si="36"/>
        <v>45292</v>
      </c>
      <c r="M406" s="2">
        <f t="shared" ca="1" si="37"/>
        <v>45317</v>
      </c>
      <c r="N406" s="2" t="str">
        <f t="shared" ca="1" si="38"/>
        <v>N/A</v>
      </c>
      <c r="O406" s="3">
        <f t="shared" ca="1" si="39"/>
        <v>25</v>
      </c>
      <c r="P406" s="3" t="str">
        <f t="shared" ca="1" si="40"/>
        <v>N/A</v>
      </c>
      <c r="Q406" s="1" t="str">
        <f>IF(K406=1,"Joined",IF(H406&gt;=70,"Dropped at Offer",IF(H406&gt;=50,"Dropped at Interview","Dropped at Screening")))</f>
        <v>Dropped at Screening</v>
      </c>
      <c r="R406" s="1" t="str">
        <f t="shared" ca="1" si="41"/>
        <v>Jan-2024</v>
      </c>
    </row>
    <row r="407" spans="1:18">
      <c r="A407">
        <v>21</v>
      </c>
      <c r="B407">
        <v>0</v>
      </c>
      <c r="C407">
        <v>3</v>
      </c>
      <c r="D407">
        <v>3</v>
      </c>
      <c r="E407">
        <v>2</v>
      </c>
      <c r="F407">
        <v>30.060773874469099</v>
      </c>
      <c r="G407">
        <v>82</v>
      </c>
      <c r="H407">
        <v>78</v>
      </c>
      <c r="I407">
        <v>56</v>
      </c>
      <c r="J407">
        <v>1</v>
      </c>
      <c r="K407">
        <v>1</v>
      </c>
      <c r="L407" s="2">
        <f t="shared" si="36"/>
        <v>45292</v>
      </c>
      <c r="M407" s="2">
        <f t="shared" ca="1" si="37"/>
        <v>45328</v>
      </c>
      <c r="N407" s="2">
        <f t="shared" ca="1" si="38"/>
        <v>45352</v>
      </c>
      <c r="O407" s="3">
        <f t="shared" ca="1" si="39"/>
        <v>36</v>
      </c>
      <c r="P407" s="3">
        <f t="shared" ca="1" si="40"/>
        <v>24</v>
      </c>
      <c r="Q407" s="1" t="str">
        <f>IF(K407=1,"Joined",IF(H407&gt;=70,"Dropped at Offer",IF(H407&gt;=50,"Dropped at Interview","Dropped at Screening")))</f>
        <v>Joined</v>
      </c>
      <c r="R407" s="1" t="str">
        <f t="shared" ca="1" si="41"/>
        <v>Feb-2024</v>
      </c>
    </row>
    <row r="408" spans="1:18">
      <c r="A408">
        <v>41</v>
      </c>
      <c r="B408">
        <v>0</v>
      </c>
      <c r="C408">
        <v>1</v>
      </c>
      <c r="D408">
        <v>1</v>
      </c>
      <c r="E408">
        <v>5</v>
      </c>
      <c r="F408">
        <v>36.908397378025597</v>
      </c>
      <c r="G408">
        <v>72</v>
      </c>
      <c r="H408">
        <v>76</v>
      </c>
      <c r="I408">
        <v>2</v>
      </c>
      <c r="J408">
        <v>2</v>
      </c>
      <c r="K408">
        <v>0</v>
      </c>
      <c r="L408" s="2">
        <f t="shared" si="36"/>
        <v>45292</v>
      </c>
      <c r="M408" s="2">
        <f t="shared" ca="1" si="37"/>
        <v>45322</v>
      </c>
      <c r="N408" s="2" t="str">
        <f t="shared" ca="1" si="38"/>
        <v>N/A</v>
      </c>
      <c r="O408" s="3">
        <f t="shared" ca="1" si="39"/>
        <v>30</v>
      </c>
      <c r="P408" s="3" t="str">
        <f t="shared" ca="1" si="40"/>
        <v>N/A</v>
      </c>
      <c r="Q408" s="1" t="str">
        <f>IF(K408=1,"Joined",IF(H408&gt;=70,"Dropped at Offer",IF(H408&gt;=50,"Dropped at Interview","Dropped at Screening")))</f>
        <v>Dropped at Offer</v>
      </c>
      <c r="R408" s="1" t="str">
        <f t="shared" ca="1" si="41"/>
        <v>Jan-2024</v>
      </c>
    </row>
    <row r="409" spans="1:18">
      <c r="A409">
        <v>22</v>
      </c>
      <c r="B409">
        <v>1</v>
      </c>
      <c r="C409">
        <v>2</v>
      </c>
      <c r="D409">
        <v>8</v>
      </c>
      <c r="E409">
        <v>4</v>
      </c>
      <c r="F409">
        <v>7.2210943425946699</v>
      </c>
      <c r="G409">
        <v>27</v>
      </c>
      <c r="H409">
        <v>76</v>
      </c>
      <c r="I409">
        <v>17</v>
      </c>
      <c r="J409">
        <v>2</v>
      </c>
      <c r="K409">
        <v>0</v>
      </c>
      <c r="L409" s="2">
        <f t="shared" si="36"/>
        <v>45292</v>
      </c>
      <c r="M409" s="2">
        <f t="shared" ca="1" si="37"/>
        <v>45314</v>
      </c>
      <c r="N409" s="2" t="str">
        <f t="shared" ca="1" si="38"/>
        <v>N/A</v>
      </c>
      <c r="O409" s="3">
        <f t="shared" ca="1" si="39"/>
        <v>22</v>
      </c>
      <c r="P409" s="3" t="str">
        <f t="shared" ca="1" si="40"/>
        <v>N/A</v>
      </c>
      <c r="Q409" s="1" t="str">
        <f>IF(K409=1,"Joined",IF(H409&gt;=70,"Dropped at Offer",IF(H409&gt;=50,"Dropped at Interview","Dropped at Screening")))</f>
        <v>Dropped at Offer</v>
      </c>
      <c r="R409" s="1" t="str">
        <f t="shared" ca="1" si="41"/>
        <v>Jan-2024</v>
      </c>
    </row>
    <row r="410" spans="1:18">
      <c r="A410">
        <v>35</v>
      </c>
      <c r="B410">
        <v>0</v>
      </c>
      <c r="C410">
        <v>2</v>
      </c>
      <c r="D410">
        <v>9</v>
      </c>
      <c r="E410">
        <v>5</v>
      </c>
      <c r="F410">
        <v>30.979863002202698</v>
      </c>
      <c r="G410">
        <v>34</v>
      </c>
      <c r="H410">
        <v>31</v>
      </c>
      <c r="I410">
        <v>51</v>
      </c>
      <c r="J410">
        <v>2</v>
      </c>
      <c r="K410">
        <v>0</v>
      </c>
      <c r="L410" s="2">
        <f t="shared" si="36"/>
        <v>45292</v>
      </c>
      <c r="M410" s="2">
        <f t="shared" ca="1" si="37"/>
        <v>45333</v>
      </c>
      <c r="N410" s="2" t="str">
        <f t="shared" ca="1" si="38"/>
        <v>N/A</v>
      </c>
      <c r="O410" s="3">
        <f t="shared" ca="1" si="39"/>
        <v>41</v>
      </c>
      <c r="P410" s="3" t="str">
        <f t="shared" ca="1" si="40"/>
        <v>N/A</v>
      </c>
      <c r="Q410" s="1" t="str">
        <f>IF(K410=1,"Joined",IF(H410&gt;=70,"Dropped at Offer",IF(H410&gt;=50,"Dropped at Interview","Dropped at Screening")))</f>
        <v>Dropped at Screening</v>
      </c>
      <c r="R410" s="1" t="str">
        <f t="shared" ca="1" si="41"/>
        <v>Feb-2024</v>
      </c>
    </row>
    <row r="411" spans="1:18">
      <c r="A411">
        <v>48</v>
      </c>
      <c r="B411">
        <v>1</v>
      </c>
      <c r="C411">
        <v>2</v>
      </c>
      <c r="D411">
        <v>11</v>
      </c>
      <c r="E411">
        <v>4</v>
      </c>
      <c r="F411">
        <v>28.5175639419375</v>
      </c>
      <c r="G411">
        <v>9</v>
      </c>
      <c r="H411">
        <v>46</v>
      </c>
      <c r="I411">
        <v>59</v>
      </c>
      <c r="J411">
        <v>1</v>
      </c>
      <c r="K411">
        <v>0</v>
      </c>
      <c r="L411" s="2">
        <f t="shared" si="36"/>
        <v>45292</v>
      </c>
      <c r="M411" s="2">
        <f t="shared" ca="1" si="37"/>
        <v>45332</v>
      </c>
      <c r="N411" s="2" t="str">
        <f t="shared" ca="1" si="38"/>
        <v>N/A</v>
      </c>
      <c r="O411" s="3">
        <f t="shared" ca="1" si="39"/>
        <v>40</v>
      </c>
      <c r="P411" s="3" t="str">
        <f t="shared" ca="1" si="40"/>
        <v>N/A</v>
      </c>
      <c r="Q411" s="1" t="str">
        <f>IF(K411=1,"Joined",IF(H411&gt;=70,"Dropped at Offer",IF(H411&gt;=50,"Dropped at Interview","Dropped at Screening")))</f>
        <v>Dropped at Screening</v>
      </c>
      <c r="R411" s="1" t="str">
        <f t="shared" ca="1" si="41"/>
        <v>Feb-2024</v>
      </c>
    </row>
    <row r="412" spans="1:18">
      <c r="A412">
        <v>28</v>
      </c>
      <c r="B412">
        <v>1</v>
      </c>
      <c r="C412">
        <v>1</v>
      </c>
      <c r="D412">
        <v>10</v>
      </c>
      <c r="E412">
        <v>4</v>
      </c>
      <c r="F412">
        <v>26.697772334535401</v>
      </c>
      <c r="G412">
        <v>64</v>
      </c>
      <c r="H412">
        <v>71</v>
      </c>
      <c r="I412">
        <v>33</v>
      </c>
      <c r="J412">
        <v>2</v>
      </c>
      <c r="K412">
        <v>0</v>
      </c>
      <c r="L412" s="2">
        <f t="shared" si="36"/>
        <v>45292</v>
      </c>
      <c r="M412" s="2">
        <f t="shared" ca="1" si="37"/>
        <v>45335</v>
      </c>
      <c r="N412" s="2" t="str">
        <f t="shared" ca="1" si="38"/>
        <v>N/A</v>
      </c>
      <c r="O412" s="3">
        <f t="shared" ca="1" si="39"/>
        <v>43</v>
      </c>
      <c r="P412" s="3" t="str">
        <f t="shared" ca="1" si="40"/>
        <v>N/A</v>
      </c>
      <c r="Q412" s="1" t="str">
        <f>IF(K412=1,"Joined",IF(H412&gt;=70,"Dropped at Offer",IF(H412&gt;=50,"Dropped at Interview","Dropped at Screening")))</f>
        <v>Dropped at Offer</v>
      </c>
      <c r="R412" s="1" t="str">
        <f t="shared" ca="1" si="41"/>
        <v>Feb-2024</v>
      </c>
    </row>
    <row r="413" spans="1:18">
      <c r="A413">
        <v>23</v>
      </c>
      <c r="B413">
        <v>0</v>
      </c>
      <c r="C413">
        <v>2</v>
      </c>
      <c r="D413">
        <v>13</v>
      </c>
      <c r="E413">
        <v>5</v>
      </c>
      <c r="F413">
        <v>35.506155884100302</v>
      </c>
      <c r="G413">
        <v>41</v>
      </c>
      <c r="H413">
        <v>42</v>
      </c>
      <c r="I413">
        <v>95</v>
      </c>
      <c r="J413">
        <v>1</v>
      </c>
      <c r="K413">
        <v>1</v>
      </c>
      <c r="L413" s="2">
        <f t="shared" si="36"/>
        <v>45292</v>
      </c>
      <c r="M413" s="2">
        <f t="shared" ca="1" si="37"/>
        <v>45311</v>
      </c>
      <c r="N413" s="2">
        <f t="shared" ca="1" si="38"/>
        <v>45331</v>
      </c>
      <c r="O413" s="3">
        <f t="shared" ca="1" si="39"/>
        <v>19</v>
      </c>
      <c r="P413" s="3">
        <f t="shared" ca="1" si="40"/>
        <v>20</v>
      </c>
      <c r="Q413" s="1" t="str">
        <f>IF(K413=1,"Joined",IF(H413&gt;=70,"Dropped at Offer",IF(H413&gt;=50,"Dropped at Interview","Dropped at Screening")))</f>
        <v>Joined</v>
      </c>
      <c r="R413" s="1" t="str">
        <f t="shared" ca="1" si="41"/>
        <v>Jan-2024</v>
      </c>
    </row>
    <row r="414" spans="1:18">
      <c r="A414">
        <v>20</v>
      </c>
      <c r="B414">
        <v>0</v>
      </c>
      <c r="C414">
        <v>2</v>
      </c>
      <c r="D414">
        <v>6</v>
      </c>
      <c r="E414">
        <v>5</v>
      </c>
      <c r="F414">
        <v>42.872479754173</v>
      </c>
      <c r="G414">
        <v>84</v>
      </c>
      <c r="H414">
        <v>81</v>
      </c>
      <c r="I414">
        <v>92</v>
      </c>
      <c r="J414">
        <v>3</v>
      </c>
      <c r="K414">
        <v>1</v>
      </c>
      <c r="L414" s="2">
        <f t="shared" si="36"/>
        <v>45292</v>
      </c>
      <c r="M414" s="2">
        <f t="shared" ca="1" si="37"/>
        <v>45315</v>
      </c>
      <c r="N414" s="2">
        <f t="shared" ca="1" si="38"/>
        <v>45325</v>
      </c>
      <c r="O414" s="3">
        <f t="shared" ca="1" si="39"/>
        <v>23</v>
      </c>
      <c r="P414" s="3">
        <f t="shared" ca="1" si="40"/>
        <v>10</v>
      </c>
      <c r="Q414" s="1" t="str">
        <f>IF(K414=1,"Joined",IF(H414&gt;=70,"Dropped at Offer",IF(H414&gt;=50,"Dropped at Interview","Dropped at Screening")))</f>
        <v>Joined</v>
      </c>
      <c r="R414" s="1" t="str">
        <f t="shared" ca="1" si="41"/>
        <v>Jan-2024</v>
      </c>
    </row>
    <row r="415" spans="1:18">
      <c r="A415">
        <v>23</v>
      </c>
      <c r="B415">
        <v>0</v>
      </c>
      <c r="C415">
        <v>1</v>
      </c>
      <c r="D415">
        <v>6</v>
      </c>
      <c r="E415">
        <v>2</v>
      </c>
      <c r="F415">
        <v>17.1494841588434</v>
      </c>
      <c r="G415">
        <v>8</v>
      </c>
      <c r="H415">
        <v>35</v>
      </c>
      <c r="I415">
        <v>88</v>
      </c>
      <c r="J415">
        <v>2</v>
      </c>
      <c r="K415">
        <v>0</v>
      </c>
      <c r="L415" s="2">
        <f t="shared" si="36"/>
        <v>45292</v>
      </c>
      <c r="M415" s="2">
        <f t="shared" ca="1" si="37"/>
        <v>45327</v>
      </c>
      <c r="N415" s="2" t="str">
        <f t="shared" ca="1" si="38"/>
        <v>N/A</v>
      </c>
      <c r="O415" s="3">
        <f t="shared" ca="1" si="39"/>
        <v>35</v>
      </c>
      <c r="P415" s="3" t="str">
        <f t="shared" ca="1" si="40"/>
        <v>N/A</v>
      </c>
      <c r="Q415" s="1" t="str">
        <f>IF(K415=1,"Joined",IF(H415&gt;=70,"Dropped at Offer",IF(H415&gt;=50,"Dropped at Interview","Dropped at Screening")))</f>
        <v>Dropped at Screening</v>
      </c>
      <c r="R415" s="1" t="str">
        <f t="shared" ca="1" si="41"/>
        <v>Feb-2024</v>
      </c>
    </row>
    <row r="416" spans="1:18">
      <c r="A416">
        <v>20</v>
      </c>
      <c r="B416">
        <v>1</v>
      </c>
      <c r="C416">
        <v>2</v>
      </c>
      <c r="D416">
        <v>14</v>
      </c>
      <c r="E416">
        <v>5</v>
      </c>
      <c r="F416">
        <v>45.450609505547902</v>
      </c>
      <c r="G416">
        <v>59</v>
      </c>
      <c r="H416">
        <v>25</v>
      </c>
      <c r="I416">
        <v>59</v>
      </c>
      <c r="J416">
        <v>3</v>
      </c>
      <c r="K416">
        <v>0</v>
      </c>
      <c r="L416" s="2">
        <f t="shared" si="36"/>
        <v>45292</v>
      </c>
      <c r="M416" s="2">
        <f t="shared" ca="1" si="37"/>
        <v>45311</v>
      </c>
      <c r="N416" s="2" t="str">
        <f t="shared" ca="1" si="38"/>
        <v>N/A</v>
      </c>
      <c r="O416" s="3">
        <f t="shared" ca="1" si="39"/>
        <v>19</v>
      </c>
      <c r="P416" s="3" t="str">
        <f t="shared" ca="1" si="40"/>
        <v>N/A</v>
      </c>
      <c r="Q416" s="1" t="str">
        <f>IF(K416=1,"Joined",IF(H416&gt;=70,"Dropped at Offer",IF(H416&gt;=50,"Dropped at Interview","Dropped at Screening")))</f>
        <v>Dropped at Screening</v>
      </c>
      <c r="R416" s="1" t="str">
        <f t="shared" ca="1" si="41"/>
        <v>Jan-2024</v>
      </c>
    </row>
    <row r="417" spans="1:18">
      <c r="A417">
        <v>33</v>
      </c>
      <c r="B417">
        <v>0</v>
      </c>
      <c r="C417">
        <v>3</v>
      </c>
      <c r="D417">
        <v>5</v>
      </c>
      <c r="E417">
        <v>2</v>
      </c>
      <c r="F417">
        <v>9.0316806309275304</v>
      </c>
      <c r="G417">
        <v>14</v>
      </c>
      <c r="H417">
        <v>9</v>
      </c>
      <c r="I417">
        <v>25</v>
      </c>
      <c r="J417">
        <v>2</v>
      </c>
      <c r="K417">
        <v>0</v>
      </c>
      <c r="L417" s="2">
        <f t="shared" si="36"/>
        <v>45292</v>
      </c>
      <c r="M417" s="2">
        <f t="shared" ca="1" si="37"/>
        <v>45329</v>
      </c>
      <c r="N417" s="2" t="str">
        <f t="shared" ca="1" si="38"/>
        <v>N/A</v>
      </c>
      <c r="O417" s="3">
        <f t="shared" ca="1" si="39"/>
        <v>37</v>
      </c>
      <c r="P417" s="3" t="str">
        <f t="shared" ca="1" si="40"/>
        <v>N/A</v>
      </c>
      <c r="Q417" s="1" t="str">
        <f>IF(K417=1,"Joined",IF(H417&gt;=70,"Dropped at Offer",IF(H417&gt;=50,"Dropped at Interview","Dropped at Screening")))</f>
        <v>Dropped at Screening</v>
      </c>
      <c r="R417" s="1" t="str">
        <f t="shared" ca="1" si="41"/>
        <v>Feb-2024</v>
      </c>
    </row>
    <row r="418" spans="1:18">
      <c r="A418">
        <v>40</v>
      </c>
      <c r="B418">
        <v>0</v>
      </c>
      <c r="C418">
        <v>4</v>
      </c>
      <c r="D418">
        <v>14</v>
      </c>
      <c r="E418">
        <v>2</v>
      </c>
      <c r="F418">
        <v>9.6511934875582099</v>
      </c>
      <c r="G418">
        <v>98</v>
      </c>
      <c r="H418">
        <v>30</v>
      </c>
      <c r="I418">
        <v>71</v>
      </c>
      <c r="J418">
        <v>2</v>
      </c>
      <c r="K418">
        <v>1</v>
      </c>
      <c r="L418" s="2">
        <f t="shared" si="36"/>
        <v>45292</v>
      </c>
      <c r="M418" s="2">
        <f t="shared" ca="1" si="37"/>
        <v>45317</v>
      </c>
      <c r="N418" s="2">
        <f t="shared" ca="1" si="38"/>
        <v>45331</v>
      </c>
      <c r="O418" s="3">
        <f t="shared" ca="1" si="39"/>
        <v>25</v>
      </c>
      <c r="P418" s="3">
        <f t="shared" ca="1" si="40"/>
        <v>14</v>
      </c>
      <c r="Q418" s="1" t="str">
        <f>IF(K418=1,"Joined",IF(H418&gt;=70,"Dropped at Offer",IF(H418&gt;=50,"Dropped at Interview","Dropped at Screening")))</f>
        <v>Joined</v>
      </c>
      <c r="R418" s="1" t="str">
        <f t="shared" ca="1" si="41"/>
        <v>Jan-2024</v>
      </c>
    </row>
    <row r="419" spans="1:18">
      <c r="A419">
        <v>35</v>
      </c>
      <c r="B419">
        <v>0</v>
      </c>
      <c r="C419">
        <v>2</v>
      </c>
      <c r="D419">
        <v>2</v>
      </c>
      <c r="E419">
        <v>2</v>
      </c>
      <c r="F419">
        <v>14.338603181196101</v>
      </c>
      <c r="G419">
        <v>56</v>
      </c>
      <c r="H419">
        <v>96</v>
      </c>
      <c r="I419">
        <v>18</v>
      </c>
      <c r="J419">
        <v>2</v>
      </c>
      <c r="K419">
        <v>0</v>
      </c>
      <c r="L419" s="2">
        <f t="shared" si="36"/>
        <v>45292</v>
      </c>
      <c r="M419" s="2">
        <f t="shared" ca="1" si="37"/>
        <v>45313</v>
      </c>
      <c r="N419" s="2" t="str">
        <f t="shared" ca="1" si="38"/>
        <v>N/A</v>
      </c>
      <c r="O419" s="3">
        <f t="shared" ca="1" si="39"/>
        <v>21</v>
      </c>
      <c r="P419" s="3" t="str">
        <f t="shared" ca="1" si="40"/>
        <v>N/A</v>
      </c>
      <c r="Q419" s="1" t="str">
        <f>IF(K419=1,"Joined",IF(H419&gt;=70,"Dropped at Offer",IF(H419&gt;=50,"Dropped at Interview","Dropped at Screening")))</f>
        <v>Dropped at Offer</v>
      </c>
      <c r="R419" s="1" t="str">
        <f t="shared" ca="1" si="41"/>
        <v>Jan-2024</v>
      </c>
    </row>
    <row r="420" spans="1:18">
      <c r="A420">
        <v>39</v>
      </c>
      <c r="B420">
        <v>0</v>
      </c>
      <c r="C420">
        <v>3</v>
      </c>
      <c r="D420">
        <v>5</v>
      </c>
      <c r="E420">
        <v>4</v>
      </c>
      <c r="F420">
        <v>6.9765434773538901</v>
      </c>
      <c r="G420">
        <v>68</v>
      </c>
      <c r="H420">
        <v>28</v>
      </c>
      <c r="I420">
        <v>21</v>
      </c>
      <c r="J420">
        <v>2</v>
      </c>
      <c r="K420">
        <v>0</v>
      </c>
      <c r="L420" s="2">
        <f t="shared" si="36"/>
        <v>45292</v>
      </c>
      <c r="M420" s="2">
        <f t="shared" ca="1" si="37"/>
        <v>45325</v>
      </c>
      <c r="N420" s="2" t="str">
        <f t="shared" ca="1" si="38"/>
        <v>N/A</v>
      </c>
      <c r="O420" s="3">
        <f t="shared" ca="1" si="39"/>
        <v>33</v>
      </c>
      <c r="P420" s="3" t="str">
        <f t="shared" ca="1" si="40"/>
        <v>N/A</v>
      </c>
      <c r="Q420" s="1" t="str">
        <f>IF(K420=1,"Joined",IF(H420&gt;=70,"Dropped at Offer",IF(H420&gt;=50,"Dropped at Interview","Dropped at Screening")))</f>
        <v>Dropped at Screening</v>
      </c>
      <c r="R420" s="1" t="str">
        <f t="shared" ca="1" si="41"/>
        <v>Feb-2024</v>
      </c>
    </row>
    <row r="421" spans="1:18">
      <c r="A421">
        <v>43</v>
      </c>
      <c r="B421">
        <v>0</v>
      </c>
      <c r="C421">
        <v>2</v>
      </c>
      <c r="D421">
        <v>14</v>
      </c>
      <c r="E421">
        <v>4</v>
      </c>
      <c r="F421">
        <v>12.5159612341438</v>
      </c>
      <c r="G421">
        <v>21</v>
      </c>
      <c r="H421">
        <v>4</v>
      </c>
      <c r="I421">
        <v>92</v>
      </c>
      <c r="J421">
        <v>2</v>
      </c>
      <c r="K421">
        <v>0</v>
      </c>
      <c r="L421" s="2">
        <f t="shared" si="36"/>
        <v>45292</v>
      </c>
      <c r="M421" s="2">
        <f t="shared" ca="1" si="37"/>
        <v>45337</v>
      </c>
      <c r="N421" s="2" t="str">
        <f t="shared" ca="1" si="38"/>
        <v>N/A</v>
      </c>
      <c r="O421" s="3">
        <f t="shared" ca="1" si="39"/>
        <v>45</v>
      </c>
      <c r="P421" s="3" t="str">
        <f t="shared" ca="1" si="40"/>
        <v>N/A</v>
      </c>
      <c r="Q421" s="1" t="str">
        <f>IF(K421=1,"Joined",IF(H421&gt;=70,"Dropped at Offer",IF(H421&gt;=50,"Dropped at Interview","Dropped at Screening")))</f>
        <v>Dropped at Screening</v>
      </c>
      <c r="R421" s="1" t="str">
        <f t="shared" ca="1" si="41"/>
        <v>Feb-2024</v>
      </c>
    </row>
    <row r="422" spans="1:18">
      <c r="A422">
        <v>27</v>
      </c>
      <c r="B422">
        <v>1</v>
      </c>
      <c r="C422">
        <v>2</v>
      </c>
      <c r="D422">
        <v>13</v>
      </c>
      <c r="E422">
        <v>5</v>
      </c>
      <c r="F422">
        <v>6.3205881451422297</v>
      </c>
      <c r="G422">
        <v>63</v>
      </c>
      <c r="H422">
        <v>76</v>
      </c>
      <c r="I422">
        <v>32</v>
      </c>
      <c r="J422">
        <v>2</v>
      </c>
      <c r="K422">
        <v>0</v>
      </c>
      <c r="L422" s="2">
        <f t="shared" si="36"/>
        <v>45292</v>
      </c>
      <c r="M422" s="2">
        <f t="shared" ca="1" si="37"/>
        <v>45311</v>
      </c>
      <c r="N422" s="2" t="str">
        <f t="shared" ca="1" si="38"/>
        <v>N/A</v>
      </c>
      <c r="O422" s="3">
        <f t="shared" ca="1" si="39"/>
        <v>19</v>
      </c>
      <c r="P422" s="3" t="str">
        <f t="shared" ca="1" si="40"/>
        <v>N/A</v>
      </c>
      <c r="Q422" s="1" t="str">
        <f>IF(K422=1,"Joined",IF(H422&gt;=70,"Dropped at Offer",IF(H422&gt;=50,"Dropped at Interview","Dropped at Screening")))</f>
        <v>Dropped at Offer</v>
      </c>
      <c r="R422" s="1" t="str">
        <f t="shared" ca="1" si="41"/>
        <v>Jan-2024</v>
      </c>
    </row>
    <row r="423" spans="1:18">
      <c r="A423">
        <v>26</v>
      </c>
      <c r="B423">
        <v>1</v>
      </c>
      <c r="C423">
        <v>1</v>
      </c>
      <c r="D423">
        <v>11</v>
      </c>
      <c r="E423">
        <v>4</v>
      </c>
      <c r="F423">
        <v>42.087620849269499</v>
      </c>
      <c r="G423">
        <v>40</v>
      </c>
      <c r="H423">
        <v>0</v>
      </c>
      <c r="I423">
        <v>37</v>
      </c>
      <c r="J423">
        <v>2</v>
      </c>
      <c r="K423">
        <v>0</v>
      </c>
      <c r="L423" s="2">
        <f t="shared" si="36"/>
        <v>45292</v>
      </c>
      <c r="M423" s="2">
        <f t="shared" ca="1" si="37"/>
        <v>45331</v>
      </c>
      <c r="N423" s="2" t="str">
        <f t="shared" ca="1" si="38"/>
        <v>N/A</v>
      </c>
      <c r="O423" s="3">
        <f t="shared" ca="1" si="39"/>
        <v>39</v>
      </c>
      <c r="P423" s="3" t="str">
        <f t="shared" ca="1" si="40"/>
        <v>N/A</v>
      </c>
      <c r="Q423" s="1" t="str">
        <f>IF(K423=1,"Joined",IF(H423&gt;=70,"Dropped at Offer",IF(H423&gt;=50,"Dropped at Interview","Dropped at Screening")))</f>
        <v>Dropped at Screening</v>
      </c>
      <c r="R423" s="1" t="str">
        <f t="shared" ca="1" si="41"/>
        <v>Feb-2024</v>
      </c>
    </row>
    <row r="424" spans="1:18">
      <c r="A424">
        <v>22</v>
      </c>
      <c r="B424">
        <v>0</v>
      </c>
      <c r="C424">
        <v>3</v>
      </c>
      <c r="D424">
        <v>7</v>
      </c>
      <c r="E424">
        <v>5</v>
      </c>
      <c r="F424">
        <v>7.9484495943312297</v>
      </c>
      <c r="G424">
        <v>86</v>
      </c>
      <c r="H424">
        <v>86</v>
      </c>
      <c r="I424">
        <v>34</v>
      </c>
      <c r="J424">
        <v>2</v>
      </c>
      <c r="K424">
        <v>1</v>
      </c>
      <c r="L424" s="2">
        <f t="shared" si="36"/>
        <v>45292</v>
      </c>
      <c r="M424" s="2">
        <f t="shared" ca="1" si="37"/>
        <v>45327</v>
      </c>
      <c r="N424" s="2">
        <f t="shared" ca="1" si="38"/>
        <v>45345</v>
      </c>
      <c r="O424" s="3">
        <f t="shared" ca="1" si="39"/>
        <v>35</v>
      </c>
      <c r="P424" s="3">
        <f t="shared" ca="1" si="40"/>
        <v>18</v>
      </c>
      <c r="Q424" s="1" t="str">
        <f>IF(K424=1,"Joined",IF(H424&gt;=70,"Dropped at Offer",IF(H424&gt;=50,"Dropped at Interview","Dropped at Screening")))</f>
        <v>Joined</v>
      </c>
      <c r="R424" s="1" t="str">
        <f t="shared" ca="1" si="41"/>
        <v>Feb-2024</v>
      </c>
    </row>
    <row r="425" spans="1:18">
      <c r="A425">
        <v>36</v>
      </c>
      <c r="B425">
        <v>0</v>
      </c>
      <c r="C425">
        <v>2</v>
      </c>
      <c r="D425">
        <v>7</v>
      </c>
      <c r="E425">
        <v>4</v>
      </c>
      <c r="F425">
        <v>38.364877877992797</v>
      </c>
      <c r="G425">
        <v>70</v>
      </c>
      <c r="H425">
        <v>2</v>
      </c>
      <c r="I425">
        <v>66</v>
      </c>
      <c r="J425">
        <v>2</v>
      </c>
      <c r="K425">
        <v>0</v>
      </c>
      <c r="L425" s="2">
        <f t="shared" si="36"/>
        <v>45292</v>
      </c>
      <c r="M425" s="2">
        <f t="shared" ca="1" si="37"/>
        <v>45336</v>
      </c>
      <c r="N425" s="2" t="str">
        <f t="shared" ca="1" si="38"/>
        <v>N/A</v>
      </c>
      <c r="O425" s="3">
        <f t="shared" ca="1" si="39"/>
        <v>44</v>
      </c>
      <c r="P425" s="3" t="str">
        <f t="shared" ca="1" si="40"/>
        <v>N/A</v>
      </c>
      <c r="Q425" s="1" t="str">
        <f>IF(K425=1,"Joined",IF(H425&gt;=70,"Dropped at Offer",IF(H425&gt;=50,"Dropped at Interview","Dropped at Screening")))</f>
        <v>Dropped at Screening</v>
      </c>
      <c r="R425" s="1" t="str">
        <f t="shared" ca="1" si="41"/>
        <v>Feb-2024</v>
      </c>
    </row>
    <row r="426" spans="1:18">
      <c r="A426">
        <v>20</v>
      </c>
      <c r="B426">
        <v>0</v>
      </c>
      <c r="C426">
        <v>2</v>
      </c>
      <c r="D426">
        <v>10</v>
      </c>
      <c r="E426">
        <v>1</v>
      </c>
      <c r="F426">
        <v>3.3956933956666799</v>
      </c>
      <c r="G426">
        <v>55</v>
      </c>
      <c r="H426">
        <v>66</v>
      </c>
      <c r="I426">
        <v>82</v>
      </c>
      <c r="J426">
        <v>3</v>
      </c>
      <c r="K426">
        <v>0</v>
      </c>
      <c r="L426" s="2">
        <f t="shared" si="36"/>
        <v>45292</v>
      </c>
      <c r="M426" s="2">
        <f t="shared" ca="1" si="37"/>
        <v>45337</v>
      </c>
      <c r="N426" s="2" t="str">
        <f t="shared" ca="1" si="38"/>
        <v>N/A</v>
      </c>
      <c r="O426" s="3">
        <f t="shared" ca="1" si="39"/>
        <v>45</v>
      </c>
      <c r="P426" s="3" t="str">
        <f t="shared" ca="1" si="40"/>
        <v>N/A</v>
      </c>
      <c r="Q426" s="1" t="str">
        <f>IF(K426=1,"Joined",IF(H426&gt;=70,"Dropped at Offer",IF(H426&gt;=50,"Dropped at Interview","Dropped at Screening")))</f>
        <v>Dropped at Interview</v>
      </c>
      <c r="R426" s="1" t="str">
        <f t="shared" ca="1" si="41"/>
        <v>Feb-2024</v>
      </c>
    </row>
    <row r="427" spans="1:18">
      <c r="A427">
        <v>35</v>
      </c>
      <c r="B427">
        <v>0</v>
      </c>
      <c r="C427">
        <v>1</v>
      </c>
      <c r="D427">
        <v>12</v>
      </c>
      <c r="E427">
        <v>1</v>
      </c>
      <c r="F427">
        <v>48.426016375695703</v>
      </c>
      <c r="G427">
        <v>22</v>
      </c>
      <c r="H427">
        <v>70</v>
      </c>
      <c r="I427">
        <v>9</v>
      </c>
      <c r="J427">
        <v>2</v>
      </c>
      <c r="K427">
        <v>0</v>
      </c>
      <c r="L427" s="2">
        <f t="shared" si="36"/>
        <v>45292</v>
      </c>
      <c r="M427" s="2">
        <f t="shared" ca="1" si="37"/>
        <v>45319</v>
      </c>
      <c r="N427" s="2" t="str">
        <f t="shared" ca="1" si="38"/>
        <v>N/A</v>
      </c>
      <c r="O427" s="3">
        <f t="shared" ca="1" si="39"/>
        <v>27</v>
      </c>
      <c r="P427" s="3" t="str">
        <f t="shared" ca="1" si="40"/>
        <v>N/A</v>
      </c>
      <c r="Q427" s="1" t="str">
        <f>IF(K427=1,"Joined",IF(H427&gt;=70,"Dropped at Offer",IF(H427&gt;=50,"Dropped at Interview","Dropped at Screening")))</f>
        <v>Dropped at Offer</v>
      </c>
      <c r="R427" s="1" t="str">
        <f t="shared" ca="1" si="41"/>
        <v>Jan-2024</v>
      </c>
    </row>
    <row r="428" spans="1:18">
      <c r="A428">
        <v>31</v>
      </c>
      <c r="B428">
        <v>1</v>
      </c>
      <c r="C428">
        <v>3</v>
      </c>
      <c r="D428">
        <v>8</v>
      </c>
      <c r="E428">
        <v>5</v>
      </c>
      <c r="F428">
        <v>36.558004376388297</v>
      </c>
      <c r="G428">
        <v>24</v>
      </c>
      <c r="H428">
        <v>99</v>
      </c>
      <c r="I428">
        <v>90</v>
      </c>
      <c r="J428">
        <v>2</v>
      </c>
      <c r="K428">
        <v>1</v>
      </c>
      <c r="L428" s="2">
        <f t="shared" si="36"/>
        <v>45292</v>
      </c>
      <c r="M428" s="2">
        <f t="shared" ca="1" si="37"/>
        <v>45318</v>
      </c>
      <c r="N428" s="2">
        <f t="shared" ca="1" si="38"/>
        <v>45335</v>
      </c>
      <c r="O428" s="3">
        <f t="shared" ca="1" si="39"/>
        <v>26</v>
      </c>
      <c r="P428" s="3">
        <f t="shared" ca="1" si="40"/>
        <v>17</v>
      </c>
      <c r="Q428" s="1" t="str">
        <f>IF(K428=1,"Joined",IF(H428&gt;=70,"Dropped at Offer",IF(H428&gt;=50,"Dropped at Interview","Dropped at Screening")))</f>
        <v>Joined</v>
      </c>
      <c r="R428" s="1" t="str">
        <f t="shared" ca="1" si="41"/>
        <v>Jan-2024</v>
      </c>
    </row>
    <row r="429" spans="1:18">
      <c r="A429">
        <v>46</v>
      </c>
      <c r="B429">
        <v>0</v>
      </c>
      <c r="C429">
        <v>3</v>
      </c>
      <c r="D429">
        <v>14</v>
      </c>
      <c r="E429">
        <v>4</v>
      </c>
      <c r="F429">
        <v>1.3398274293055801</v>
      </c>
      <c r="G429">
        <v>90</v>
      </c>
      <c r="H429">
        <v>34</v>
      </c>
      <c r="I429">
        <v>14</v>
      </c>
      <c r="J429">
        <v>2</v>
      </c>
      <c r="K429">
        <v>0</v>
      </c>
      <c r="L429" s="2">
        <f t="shared" si="36"/>
        <v>45292</v>
      </c>
      <c r="M429" s="2">
        <f t="shared" ca="1" si="37"/>
        <v>45312</v>
      </c>
      <c r="N429" s="2" t="str">
        <f t="shared" ca="1" si="38"/>
        <v>N/A</v>
      </c>
      <c r="O429" s="3">
        <f t="shared" ca="1" si="39"/>
        <v>20</v>
      </c>
      <c r="P429" s="3" t="str">
        <f t="shared" ca="1" si="40"/>
        <v>N/A</v>
      </c>
      <c r="Q429" s="1" t="str">
        <f>IF(K429=1,"Joined",IF(H429&gt;=70,"Dropped at Offer",IF(H429&gt;=50,"Dropped at Interview","Dropped at Screening")))</f>
        <v>Dropped at Screening</v>
      </c>
      <c r="R429" s="1" t="str">
        <f t="shared" ca="1" si="41"/>
        <v>Jan-2024</v>
      </c>
    </row>
    <row r="430" spans="1:18">
      <c r="A430">
        <v>38</v>
      </c>
      <c r="B430">
        <v>1</v>
      </c>
      <c r="C430">
        <v>3</v>
      </c>
      <c r="D430">
        <v>0</v>
      </c>
      <c r="E430">
        <v>4</v>
      </c>
      <c r="F430">
        <v>39.192825010010701</v>
      </c>
      <c r="G430">
        <v>5</v>
      </c>
      <c r="H430">
        <v>14</v>
      </c>
      <c r="I430">
        <v>10</v>
      </c>
      <c r="J430">
        <v>2</v>
      </c>
      <c r="K430">
        <v>0</v>
      </c>
      <c r="L430" s="2">
        <f t="shared" si="36"/>
        <v>45292</v>
      </c>
      <c r="M430" s="2">
        <f t="shared" ca="1" si="37"/>
        <v>45326</v>
      </c>
      <c r="N430" s="2" t="str">
        <f t="shared" ca="1" si="38"/>
        <v>N/A</v>
      </c>
      <c r="O430" s="3">
        <f t="shared" ca="1" si="39"/>
        <v>34</v>
      </c>
      <c r="P430" s="3" t="str">
        <f t="shared" ca="1" si="40"/>
        <v>N/A</v>
      </c>
      <c r="Q430" s="1" t="str">
        <f>IF(K430=1,"Joined",IF(H430&gt;=70,"Dropped at Offer",IF(H430&gt;=50,"Dropped at Interview","Dropped at Screening")))</f>
        <v>Dropped at Screening</v>
      </c>
      <c r="R430" s="1" t="str">
        <f t="shared" ca="1" si="41"/>
        <v>Feb-2024</v>
      </c>
    </row>
    <row r="431" spans="1:18">
      <c r="A431">
        <v>41</v>
      </c>
      <c r="B431">
        <v>1</v>
      </c>
      <c r="C431">
        <v>2</v>
      </c>
      <c r="D431">
        <v>13</v>
      </c>
      <c r="E431">
        <v>2</v>
      </c>
      <c r="F431">
        <v>26.704096038309199</v>
      </c>
      <c r="G431">
        <v>33</v>
      </c>
      <c r="H431">
        <v>66</v>
      </c>
      <c r="I431">
        <v>89</v>
      </c>
      <c r="J431">
        <v>3</v>
      </c>
      <c r="K431">
        <v>0</v>
      </c>
      <c r="L431" s="2">
        <f t="shared" si="36"/>
        <v>45292</v>
      </c>
      <c r="M431" s="2">
        <f t="shared" ca="1" si="37"/>
        <v>45334</v>
      </c>
      <c r="N431" s="2" t="str">
        <f t="shared" ca="1" si="38"/>
        <v>N/A</v>
      </c>
      <c r="O431" s="3">
        <f t="shared" ca="1" si="39"/>
        <v>42</v>
      </c>
      <c r="P431" s="3" t="str">
        <f t="shared" ca="1" si="40"/>
        <v>N/A</v>
      </c>
      <c r="Q431" s="1" t="str">
        <f>IF(K431=1,"Joined",IF(H431&gt;=70,"Dropped at Offer",IF(H431&gt;=50,"Dropped at Interview","Dropped at Screening")))</f>
        <v>Dropped at Interview</v>
      </c>
      <c r="R431" s="1" t="str">
        <f t="shared" ca="1" si="41"/>
        <v>Feb-2024</v>
      </c>
    </row>
    <row r="432" spans="1:18">
      <c r="A432">
        <v>42</v>
      </c>
      <c r="B432">
        <v>0</v>
      </c>
      <c r="C432">
        <v>1</v>
      </c>
      <c r="D432">
        <v>0</v>
      </c>
      <c r="E432">
        <v>3</v>
      </c>
      <c r="F432">
        <v>39.968258516755903</v>
      </c>
      <c r="G432">
        <v>62</v>
      </c>
      <c r="H432">
        <v>92</v>
      </c>
      <c r="I432">
        <v>23</v>
      </c>
      <c r="J432">
        <v>3</v>
      </c>
      <c r="K432">
        <v>0</v>
      </c>
      <c r="L432" s="2">
        <f t="shared" si="36"/>
        <v>45292</v>
      </c>
      <c r="M432" s="2">
        <f t="shared" ca="1" si="37"/>
        <v>45312</v>
      </c>
      <c r="N432" s="2" t="str">
        <f t="shared" ca="1" si="38"/>
        <v>N/A</v>
      </c>
      <c r="O432" s="3">
        <f t="shared" ca="1" si="39"/>
        <v>20</v>
      </c>
      <c r="P432" s="3" t="str">
        <f t="shared" ca="1" si="40"/>
        <v>N/A</v>
      </c>
      <c r="Q432" s="1" t="str">
        <f>IF(K432=1,"Joined",IF(H432&gt;=70,"Dropped at Offer",IF(H432&gt;=50,"Dropped at Interview","Dropped at Screening")))</f>
        <v>Dropped at Offer</v>
      </c>
      <c r="R432" s="1" t="str">
        <f t="shared" ca="1" si="41"/>
        <v>Jan-2024</v>
      </c>
    </row>
    <row r="433" spans="1:18">
      <c r="A433">
        <v>41</v>
      </c>
      <c r="B433">
        <v>1</v>
      </c>
      <c r="C433">
        <v>2</v>
      </c>
      <c r="D433">
        <v>2</v>
      </c>
      <c r="E433">
        <v>5</v>
      </c>
      <c r="F433">
        <v>27.124840444529401</v>
      </c>
      <c r="G433">
        <v>8</v>
      </c>
      <c r="H433">
        <v>29</v>
      </c>
      <c r="I433">
        <v>76</v>
      </c>
      <c r="J433">
        <v>2</v>
      </c>
      <c r="K433">
        <v>0</v>
      </c>
      <c r="L433" s="2">
        <f t="shared" si="36"/>
        <v>45292</v>
      </c>
      <c r="M433" s="2">
        <f t="shared" ca="1" si="37"/>
        <v>45314</v>
      </c>
      <c r="N433" s="2" t="str">
        <f t="shared" ca="1" si="38"/>
        <v>N/A</v>
      </c>
      <c r="O433" s="3">
        <f t="shared" ca="1" si="39"/>
        <v>22</v>
      </c>
      <c r="P433" s="3" t="str">
        <f t="shared" ca="1" si="40"/>
        <v>N/A</v>
      </c>
      <c r="Q433" s="1" t="str">
        <f>IF(K433=1,"Joined",IF(H433&gt;=70,"Dropped at Offer",IF(H433&gt;=50,"Dropped at Interview","Dropped at Screening")))</f>
        <v>Dropped at Screening</v>
      </c>
      <c r="R433" s="1" t="str">
        <f t="shared" ca="1" si="41"/>
        <v>Jan-2024</v>
      </c>
    </row>
    <row r="434" spans="1:18">
      <c r="A434">
        <v>33</v>
      </c>
      <c r="B434">
        <v>1</v>
      </c>
      <c r="C434">
        <v>2</v>
      </c>
      <c r="D434">
        <v>2</v>
      </c>
      <c r="E434">
        <v>3</v>
      </c>
      <c r="F434">
        <v>33.051242881767699</v>
      </c>
      <c r="G434">
        <v>59</v>
      </c>
      <c r="H434">
        <v>81</v>
      </c>
      <c r="I434">
        <v>95</v>
      </c>
      <c r="J434">
        <v>2</v>
      </c>
      <c r="K434">
        <v>0</v>
      </c>
      <c r="L434" s="2">
        <f t="shared" si="36"/>
        <v>45292</v>
      </c>
      <c r="M434" s="2">
        <f t="shared" ca="1" si="37"/>
        <v>45320</v>
      </c>
      <c r="N434" s="2" t="str">
        <f t="shared" ca="1" si="38"/>
        <v>N/A</v>
      </c>
      <c r="O434" s="3">
        <f t="shared" ca="1" si="39"/>
        <v>28</v>
      </c>
      <c r="P434" s="3" t="str">
        <f t="shared" ca="1" si="40"/>
        <v>N/A</v>
      </c>
      <c r="Q434" s="1" t="str">
        <f>IF(K434=1,"Joined",IF(H434&gt;=70,"Dropped at Offer",IF(H434&gt;=50,"Dropped at Interview","Dropped at Screening")))</f>
        <v>Dropped at Offer</v>
      </c>
      <c r="R434" s="1" t="str">
        <f t="shared" ca="1" si="41"/>
        <v>Jan-2024</v>
      </c>
    </row>
    <row r="435" spans="1:18">
      <c r="A435">
        <v>49</v>
      </c>
      <c r="B435">
        <v>1</v>
      </c>
      <c r="C435">
        <v>1</v>
      </c>
      <c r="D435">
        <v>9</v>
      </c>
      <c r="E435">
        <v>3</v>
      </c>
      <c r="F435">
        <v>40.316582769752003</v>
      </c>
      <c r="G435">
        <v>48</v>
      </c>
      <c r="H435">
        <v>74</v>
      </c>
      <c r="I435">
        <v>100</v>
      </c>
      <c r="J435">
        <v>2</v>
      </c>
      <c r="K435">
        <v>0</v>
      </c>
      <c r="L435" s="2">
        <f t="shared" si="36"/>
        <v>45292</v>
      </c>
      <c r="M435" s="2">
        <f t="shared" ca="1" si="37"/>
        <v>45335</v>
      </c>
      <c r="N435" s="2" t="str">
        <f t="shared" ca="1" si="38"/>
        <v>N/A</v>
      </c>
      <c r="O435" s="3">
        <f t="shared" ca="1" si="39"/>
        <v>43</v>
      </c>
      <c r="P435" s="3" t="str">
        <f t="shared" ca="1" si="40"/>
        <v>N/A</v>
      </c>
      <c r="Q435" s="1" t="str">
        <f>IF(K435=1,"Joined",IF(H435&gt;=70,"Dropped at Offer",IF(H435&gt;=50,"Dropped at Interview","Dropped at Screening")))</f>
        <v>Dropped at Offer</v>
      </c>
      <c r="R435" s="1" t="str">
        <f t="shared" ca="1" si="41"/>
        <v>Feb-2024</v>
      </c>
    </row>
    <row r="436" spans="1:18">
      <c r="A436">
        <v>25</v>
      </c>
      <c r="B436">
        <v>1</v>
      </c>
      <c r="C436">
        <v>2</v>
      </c>
      <c r="D436">
        <v>7</v>
      </c>
      <c r="E436">
        <v>5</v>
      </c>
      <c r="F436">
        <v>21.255402729392799</v>
      </c>
      <c r="G436">
        <v>96</v>
      </c>
      <c r="H436">
        <v>42</v>
      </c>
      <c r="I436">
        <v>3</v>
      </c>
      <c r="J436">
        <v>2</v>
      </c>
      <c r="K436">
        <v>0</v>
      </c>
      <c r="L436" s="2">
        <f t="shared" si="36"/>
        <v>45292</v>
      </c>
      <c r="M436" s="2">
        <f t="shared" ca="1" si="37"/>
        <v>45316</v>
      </c>
      <c r="N436" s="2" t="str">
        <f t="shared" ca="1" si="38"/>
        <v>N/A</v>
      </c>
      <c r="O436" s="3">
        <f t="shared" ca="1" si="39"/>
        <v>24</v>
      </c>
      <c r="P436" s="3" t="str">
        <f t="shared" ca="1" si="40"/>
        <v>N/A</v>
      </c>
      <c r="Q436" s="1" t="str">
        <f>IF(K436=1,"Joined",IF(H436&gt;=70,"Dropped at Offer",IF(H436&gt;=50,"Dropped at Interview","Dropped at Screening")))</f>
        <v>Dropped at Screening</v>
      </c>
      <c r="R436" s="1" t="str">
        <f t="shared" ca="1" si="41"/>
        <v>Jan-2024</v>
      </c>
    </row>
    <row r="437" spans="1:18">
      <c r="A437">
        <v>25</v>
      </c>
      <c r="B437">
        <v>0</v>
      </c>
      <c r="C437">
        <v>4</v>
      </c>
      <c r="D437">
        <v>14</v>
      </c>
      <c r="E437">
        <v>4</v>
      </c>
      <c r="F437">
        <v>1.1354074910226</v>
      </c>
      <c r="G437">
        <v>50</v>
      </c>
      <c r="H437">
        <v>59</v>
      </c>
      <c r="I437">
        <v>12</v>
      </c>
      <c r="J437">
        <v>3</v>
      </c>
      <c r="K437">
        <v>0</v>
      </c>
      <c r="L437" s="2">
        <f t="shared" si="36"/>
        <v>45292</v>
      </c>
      <c r="M437" s="2">
        <f t="shared" ca="1" si="37"/>
        <v>45326</v>
      </c>
      <c r="N437" s="2" t="str">
        <f t="shared" ca="1" si="38"/>
        <v>N/A</v>
      </c>
      <c r="O437" s="3">
        <f t="shared" ca="1" si="39"/>
        <v>34</v>
      </c>
      <c r="P437" s="3" t="str">
        <f t="shared" ca="1" si="40"/>
        <v>N/A</v>
      </c>
      <c r="Q437" s="1" t="str">
        <f>IF(K437=1,"Joined",IF(H437&gt;=70,"Dropped at Offer",IF(H437&gt;=50,"Dropped at Interview","Dropped at Screening")))</f>
        <v>Dropped at Interview</v>
      </c>
      <c r="R437" s="1" t="str">
        <f t="shared" ca="1" si="41"/>
        <v>Feb-2024</v>
      </c>
    </row>
    <row r="438" spans="1:18">
      <c r="A438">
        <v>32</v>
      </c>
      <c r="B438">
        <v>0</v>
      </c>
      <c r="C438">
        <v>3</v>
      </c>
      <c r="D438">
        <v>9</v>
      </c>
      <c r="E438">
        <v>5</v>
      </c>
      <c r="F438">
        <v>43.497324797259402</v>
      </c>
      <c r="G438">
        <v>59</v>
      </c>
      <c r="H438">
        <v>39</v>
      </c>
      <c r="I438">
        <v>72</v>
      </c>
      <c r="J438">
        <v>1</v>
      </c>
      <c r="K438">
        <v>1</v>
      </c>
      <c r="L438" s="2">
        <f t="shared" si="36"/>
        <v>45292</v>
      </c>
      <c r="M438" s="2">
        <f t="shared" ca="1" si="37"/>
        <v>45329</v>
      </c>
      <c r="N438" s="2">
        <f t="shared" ca="1" si="38"/>
        <v>45343</v>
      </c>
      <c r="O438" s="3">
        <f t="shared" ca="1" si="39"/>
        <v>37</v>
      </c>
      <c r="P438" s="3">
        <f t="shared" ca="1" si="40"/>
        <v>14</v>
      </c>
      <c r="Q438" s="1" t="str">
        <f>IF(K438=1,"Joined",IF(H438&gt;=70,"Dropped at Offer",IF(H438&gt;=50,"Dropped at Interview","Dropped at Screening")))</f>
        <v>Joined</v>
      </c>
      <c r="R438" s="1" t="str">
        <f t="shared" ca="1" si="41"/>
        <v>Feb-2024</v>
      </c>
    </row>
    <row r="439" spans="1:18">
      <c r="A439">
        <v>38</v>
      </c>
      <c r="B439">
        <v>1</v>
      </c>
      <c r="C439">
        <v>3</v>
      </c>
      <c r="D439">
        <v>0</v>
      </c>
      <c r="E439">
        <v>3</v>
      </c>
      <c r="F439">
        <v>20.044518131233101</v>
      </c>
      <c r="G439">
        <v>69</v>
      </c>
      <c r="H439">
        <v>64</v>
      </c>
      <c r="I439">
        <v>56</v>
      </c>
      <c r="J439">
        <v>1</v>
      </c>
      <c r="K439">
        <v>1</v>
      </c>
      <c r="L439" s="2">
        <f t="shared" si="36"/>
        <v>45292</v>
      </c>
      <c r="M439" s="2">
        <f t="shared" ca="1" si="37"/>
        <v>45312</v>
      </c>
      <c r="N439" s="2">
        <f t="shared" ca="1" si="38"/>
        <v>45322</v>
      </c>
      <c r="O439" s="3">
        <f t="shared" ca="1" si="39"/>
        <v>20</v>
      </c>
      <c r="P439" s="3">
        <f t="shared" ca="1" si="40"/>
        <v>10</v>
      </c>
      <c r="Q439" s="1" t="str">
        <f>IF(K439=1,"Joined",IF(H439&gt;=70,"Dropped at Offer",IF(H439&gt;=50,"Dropped at Interview","Dropped at Screening")))</f>
        <v>Joined</v>
      </c>
      <c r="R439" s="1" t="str">
        <f t="shared" ca="1" si="41"/>
        <v>Jan-2024</v>
      </c>
    </row>
    <row r="440" spans="1:18">
      <c r="A440">
        <v>41</v>
      </c>
      <c r="B440">
        <v>0</v>
      </c>
      <c r="C440">
        <v>4</v>
      </c>
      <c r="D440">
        <v>12</v>
      </c>
      <c r="E440">
        <v>4</v>
      </c>
      <c r="F440">
        <v>25.802136300829101</v>
      </c>
      <c r="G440">
        <v>36</v>
      </c>
      <c r="H440">
        <v>28</v>
      </c>
      <c r="I440">
        <v>97</v>
      </c>
      <c r="J440">
        <v>1</v>
      </c>
      <c r="K440">
        <v>1</v>
      </c>
      <c r="L440" s="2">
        <f t="shared" si="36"/>
        <v>45292</v>
      </c>
      <c r="M440" s="2">
        <f t="shared" ca="1" si="37"/>
        <v>45335</v>
      </c>
      <c r="N440" s="2">
        <f t="shared" ca="1" si="38"/>
        <v>45345</v>
      </c>
      <c r="O440" s="3">
        <f t="shared" ca="1" si="39"/>
        <v>43</v>
      </c>
      <c r="P440" s="3">
        <f t="shared" ca="1" si="40"/>
        <v>10</v>
      </c>
      <c r="Q440" s="1" t="str">
        <f>IF(K440=1,"Joined",IF(H440&gt;=70,"Dropped at Offer",IF(H440&gt;=50,"Dropped at Interview","Dropped at Screening")))</f>
        <v>Joined</v>
      </c>
      <c r="R440" s="1" t="str">
        <f t="shared" ca="1" si="41"/>
        <v>Feb-2024</v>
      </c>
    </row>
    <row r="441" spans="1:18">
      <c r="A441">
        <v>27</v>
      </c>
      <c r="B441">
        <v>0</v>
      </c>
      <c r="C441">
        <v>2</v>
      </c>
      <c r="D441">
        <v>1</v>
      </c>
      <c r="E441">
        <v>1</v>
      </c>
      <c r="F441">
        <v>1.3883321076984301</v>
      </c>
      <c r="G441">
        <v>30</v>
      </c>
      <c r="H441">
        <v>73</v>
      </c>
      <c r="I441">
        <v>36</v>
      </c>
      <c r="J441">
        <v>2</v>
      </c>
      <c r="K441">
        <v>0</v>
      </c>
      <c r="L441" s="2">
        <f t="shared" si="36"/>
        <v>45292</v>
      </c>
      <c r="M441" s="2">
        <f t="shared" ca="1" si="37"/>
        <v>45330</v>
      </c>
      <c r="N441" s="2" t="str">
        <f t="shared" ca="1" si="38"/>
        <v>N/A</v>
      </c>
      <c r="O441" s="3">
        <f t="shared" ca="1" si="39"/>
        <v>38</v>
      </c>
      <c r="P441" s="3" t="str">
        <f t="shared" ca="1" si="40"/>
        <v>N/A</v>
      </c>
      <c r="Q441" s="1" t="str">
        <f>IF(K441=1,"Joined",IF(H441&gt;=70,"Dropped at Offer",IF(H441&gt;=50,"Dropped at Interview","Dropped at Screening")))</f>
        <v>Dropped at Offer</v>
      </c>
      <c r="R441" s="1" t="str">
        <f t="shared" ca="1" si="41"/>
        <v>Feb-2024</v>
      </c>
    </row>
    <row r="442" spans="1:18">
      <c r="A442">
        <v>46</v>
      </c>
      <c r="B442">
        <v>0</v>
      </c>
      <c r="C442">
        <v>2</v>
      </c>
      <c r="D442">
        <v>1</v>
      </c>
      <c r="E442">
        <v>5</v>
      </c>
      <c r="F442">
        <v>25.604600517504899</v>
      </c>
      <c r="G442">
        <v>97</v>
      </c>
      <c r="H442">
        <v>91</v>
      </c>
      <c r="I442">
        <v>47</v>
      </c>
      <c r="J442">
        <v>3</v>
      </c>
      <c r="K442">
        <v>0</v>
      </c>
      <c r="L442" s="2">
        <f t="shared" si="36"/>
        <v>45292</v>
      </c>
      <c r="M442" s="2">
        <f t="shared" ca="1" si="37"/>
        <v>45320</v>
      </c>
      <c r="N442" s="2" t="str">
        <f t="shared" ca="1" si="38"/>
        <v>N/A</v>
      </c>
      <c r="O442" s="3">
        <f t="shared" ca="1" si="39"/>
        <v>28</v>
      </c>
      <c r="P442" s="3" t="str">
        <f t="shared" ca="1" si="40"/>
        <v>N/A</v>
      </c>
      <c r="Q442" s="1" t="str">
        <f>IF(K442=1,"Joined",IF(H442&gt;=70,"Dropped at Offer",IF(H442&gt;=50,"Dropped at Interview","Dropped at Screening")))</f>
        <v>Dropped at Offer</v>
      </c>
      <c r="R442" s="1" t="str">
        <f t="shared" ca="1" si="41"/>
        <v>Jan-2024</v>
      </c>
    </row>
    <row r="443" spans="1:18">
      <c r="A443">
        <v>46</v>
      </c>
      <c r="B443">
        <v>0</v>
      </c>
      <c r="C443">
        <v>4</v>
      </c>
      <c r="D443">
        <v>2</v>
      </c>
      <c r="E443">
        <v>5</v>
      </c>
      <c r="F443">
        <v>50.324370078586398</v>
      </c>
      <c r="G443">
        <v>40</v>
      </c>
      <c r="H443">
        <v>94</v>
      </c>
      <c r="I443">
        <v>70</v>
      </c>
      <c r="J443">
        <v>1</v>
      </c>
      <c r="K443">
        <v>1</v>
      </c>
      <c r="L443" s="2">
        <f t="shared" si="36"/>
        <v>45292</v>
      </c>
      <c r="M443" s="2">
        <f t="shared" ca="1" si="37"/>
        <v>45321</v>
      </c>
      <c r="N443" s="2">
        <f t="shared" ca="1" si="38"/>
        <v>45339</v>
      </c>
      <c r="O443" s="3">
        <f t="shared" ca="1" si="39"/>
        <v>29</v>
      </c>
      <c r="P443" s="3">
        <f t="shared" ca="1" si="40"/>
        <v>18</v>
      </c>
      <c r="Q443" s="1" t="str">
        <f>IF(K443=1,"Joined",IF(H443&gt;=70,"Dropped at Offer",IF(H443&gt;=50,"Dropped at Interview","Dropped at Screening")))</f>
        <v>Joined</v>
      </c>
      <c r="R443" s="1" t="str">
        <f t="shared" ca="1" si="41"/>
        <v>Jan-2024</v>
      </c>
    </row>
    <row r="444" spans="1:18">
      <c r="A444">
        <v>21</v>
      </c>
      <c r="B444">
        <v>0</v>
      </c>
      <c r="C444">
        <v>1</v>
      </c>
      <c r="D444">
        <v>12</v>
      </c>
      <c r="E444">
        <v>4</v>
      </c>
      <c r="F444">
        <v>14.913383040938401</v>
      </c>
      <c r="G444">
        <v>61</v>
      </c>
      <c r="H444">
        <v>18</v>
      </c>
      <c r="I444">
        <v>0</v>
      </c>
      <c r="J444">
        <v>2</v>
      </c>
      <c r="K444">
        <v>0</v>
      </c>
      <c r="L444" s="2">
        <f t="shared" si="36"/>
        <v>45292</v>
      </c>
      <c r="M444" s="2">
        <f t="shared" ca="1" si="37"/>
        <v>45318</v>
      </c>
      <c r="N444" s="2" t="str">
        <f t="shared" ca="1" si="38"/>
        <v>N/A</v>
      </c>
      <c r="O444" s="3">
        <f t="shared" ca="1" si="39"/>
        <v>26</v>
      </c>
      <c r="P444" s="3" t="str">
        <f t="shared" ca="1" si="40"/>
        <v>N/A</v>
      </c>
      <c r="Q444" s="1" t="str">
        <f>IF(K444=1,"Joined",IF(H444&gt;=70,"Dropped at Offer",IF(H444&gt;=50,"Dropped at Interview","Dropped at Screening")))</f>
        <v>Dropped at Screening</v>
      </c>
      <c r="R444" s="1" t="str">
        <f t="shared" ca="1" si="41"/>
        <v>Jan-2024</v>
      </c>
    </row>
    <row r="445" spans="1:18">
      <c r="A445">
        <v>40</v>
      </c>
      <c r="B445">
        <v>1</v>
      </c>
      <c r="C445">
        <v>3</v>
      </c>
      <c r="D445">
        <v>5</v>
      </c>
      <c r="E445">
        <v>1</v>
      </c>
      <c r="F445">
        <v>20.770913512118899</v>
      </c>
      <c r="G445">
        <v>92</v>
      </c>
      <c r="H445">
        <v>2</v>
      </c>
      <c r="I445">
        <v>59</v>
      </c>
      <c r="J445">
        <v>2</v>
      </c>
      <c r="K445">
        <v>0</v>
      </c>
      <c r="L445" s="2">
        <f t="shared" si="36"/>
        <v>45292</v>
      </c>
      <c r="M445" s="2">
        <f t="shared" ca="1" si="37"/>
        <v>45321</v>
      </c>
      <c r="N445" s="2" t="str">
        <f t="shared" ca="1" si="38"/>
        <v>N/A</v>
      </c>
      <c r="O445" s="3">
        <f t="shared" ca="1" si="39"/>
        <v>29</v>
      </c>
      <c r="P445" s="3" t="str">
        <f t="shared" ca="1" si="40"/>
        <v>N/A</v>
      </c>
      <c r="Q445" s="1" t="str">
        <f>IF(K445=1,"Joined",IF(H445&gt;=70,"Dropped at Offer",IF(H445&gt;=50,"Dropped at Interview","Dropped at Screening")))</f>
        <v>Dropped at Screening</v>
      </c>
      <c r="R445" s="1" t="str">
        <f t="shared" ca="1" si="41"/>
        <v>Jan-2024</v>
      </c>
    </row>
    <row r="446" spans="1:18">
      <c r="A446">
        <v>49</v>
      </c>
      <c r="B446">
        <v>0</v>
      </c>
      <c r="C446">
        <v>2</v>
      </c>
      <c r="D446">
        <v>0</v>
      </c>
      <c r="E446">
        <v>1</v>
      </c>
      <c r="F446">
        <v>35.359499823433801</v>
      </c>
      <c r="G446">
        <v>57</v>
      </c>
      <c r="H446">
        <v>35</v>
      </c>
      <c r="I446">
        <v>11</v>
      </c>
      <c r="J446">
        <v>2</v>
      </c>
      <c r="K446">
        <v>0</v>
      </c>
      <c r="L446" s="2">
        <f t="shared" si="36"/>
        <v>45292</v>
      </c>
      <c r="M446" s="2">
        <f t="shared" ca="1" si="37"/>
        <v>45308</v>
      </c>
      <c r="N446" s="2" t="str">
        <f t="shared" ca="1" si="38"/>
        <v>N/A</v>
      </c>
      <c r="O446" s="3">
        <f t="shared" ca="1" si="39"/>
        <v>16</v>
      </c>
      <c r="P446" s="3" t="str">
        <f t="shared" ca="1" si="40"/>
        <v>N/A</v>
      </c>
      <c r="Q446" s="1" t="str">
        <f>IF(K446=1,"Joined",IF(H446&gt;=70,"Dropped at Offer",IF(H446&gt;=50,"Dropped at Interview","Dropped at Screening")))</f>
        <v>Dropped at Screening</v>
      </c>
      <c r="R446" s="1" t="str">
        <f t="shared" ca="1" si="41"/>
        <v>Jan-2024</v>
      </c>
    </row>
    <row r="447" spans="1:18">
      <c r="A447">
        <v>20</v>
      </c>
      <c r="B447">
        <v>0</v>
      </c>
      <c r="C447">
        <v>2</v>
      </c>
      <c r="D447">
        <v>1</v>
      </c>
      <c r="E447">
        <v>4</v>
      </c>
      <c r="F447">
        <v>41.739683376182903</v>
      </c>
      <c r="G447">
        <v>13</v>
      </c>
      <c r="H447">
        <v>42</v>
      </c>
      <c r="I447">
        <v>20</v>
      </c>
      <c r="J447">
        <v>2</v>
      </c>
      <c r="K447">
        <v>0</v>
      </c>
      <c r="L447" s="2">
        <f t="shared" si="36"/>
        <v>45292</v>
      </c>
      <c r="M447" s="2">
        <f t="shared" ca="1" si="37"/>
        <v>45329</v>
      </c>
      <c r="N447" s="2" t="str">
        <f t="shared" ca="1" si="38"/>
        <v>N/A</v>
      </c>
      <c r="O447" s="3">
        <f t="shared" ca="1" si="39"/>
        <v>37</v>
      </c>
      <c r="P447" s="3" t="str">
        <f t="shared" ca="1" si="40"/>
        <v>N/A</v>
      </c>
      <c r="Q447" s="1" t="str">
        <f>IF(K447=1,"Joined",IF(H447&gt;=70,"Dropped at Offer",IF(H447&gt;=50,"Dropped at Interview","Dropped at Screening")))</f>
        <v>Dropped at Screening</v>
      </c>
      <c r="R447" s="1" t="str">
        <f t="shared" ca="1" si="41"/>
        <v>Feb-2024</v>
      </c>
    </row>
    <row r="448" spans="1:18">
      <c r="A448">
        <v>47</v>
      </c>
      <c r="B448">
        <v>0</v>
      </c>
      <c r="C448">
        <v>2</v>
      </c>
      <c r="D448">
        <v>12</v>
      </c>
      <c r="E448">
        <v>2</v>
      </c>
      <c r="F448">
        <v>21.869581200304999</v>
      </c>
      <c r="G448">
        <v>35</v>
      </c>
      <c r="H448">
        <v>14</v>
      </c>
      <c r="I448">
        <v>10</v>
      </c>
      <c r="J448">
        <v>3</v>
      </c>
      <c r="K448">
        <v>0</v>
      </c>
      <c r="L448" s="2">
        <f t="shared" si="36"/>
        <v>45292</v>
      </c>
      <c r="M448" s="2">
        <f t="shared" ca="1" si="37"/>
        <v>45308</v>
      </c>
      <c r="N448" s="2" t="str">
        <f t="shared" ca="1" si="38"/>
        <v>N/A</v>
      </c>
      <c r="O448" s="3">
        <f t="shared" ca="1" si="39"/>
        <v>16</v>
      </c>
      <c r="P448" s="3" t="str">
        <f t="shared" ca="1" si="40"/>
        <v>N/A</v>
      </c>
      <c r="Q448" s="1" t="str">
        <f>IF(K448=1,"Joined",IF(H448&gt;=70,"Dropped at Offer",IF(H448&gt;=50,"Dropped at Interview","Dropped at Screening")))</f>
        <v>Dropped at Screening</v>
      </c>
      <c r="R448" s="1" t="str">
        <f t="shared" ca="1" si="41"/>
        <v>Jan-2024</v>
      </c>
    </row>
    <row r="449" spans="1:18">
      <c r="A449">
        <v>34</v>
      </c>
      <c r="B449">
        <v>0</v>
      </c>
      <c r="C449">
        <v>4</v>
      </c>
      <c r="D449">
        <v>15</v>
      </c>
      <c r="E449">
        <v>5</v>
      </c>
      <c r="F449">
        <v>16.483443520064601</v>
      </c>
      <c r="G449">
        <v>35</v>
      </c>
      <c r="H449">
        <v>96</v>
      </c>
      <c r="I449">
        <v>43</v>
      </c>
      <c r="J449">
        <v>1</v>
      </c>
      <c r="K449">
        <v>1</v>
      </c>
      <c r="L449" s="2">
        <f t="shared" si="36"/>
        <v>45292</v>
      </c>
      <c r="M449" s="2">
        <f t="shared" ca="1" si="37"/>
        <v>45317</v>
      </c>
      <c r="N449" s="2">
        <f t="shared" ca="1" si="38"/>
        <v>45329</v>
      </c>
      <c r="O449" s="3">
        <f t="shared" ca="1" si="39"/>
        <v>25</v>
      </c>
      <c r="P449" s="3">
        <f t="shared" ca="1" si="40"/>
        <v>12</v>
      </c>
      <c r="Q449" s="1" t="str">
        <f>IF(K449=1,"Joined",IF(H449&gt;=70,"Dropped at Offer",IF(H449&gt;=50,"Dropped at Interview","Dropped at Screening")))</f>
        <v>Joined</v>
      </c>
      <c r="R449" s="1" t="str">
        <f t="shared" ca="1" si="41"/>
        <v>Jan-2024</v>
      </c>
    </row>
    <row r="450" spans="1:18">
      <c r="A450">
        <v>20</v>
      </c>
      <c r="B450">
        <v>1</v>
      </c>
      <c r="C450">
        <v>3</v>
      </c>
      <c r="D450">
        <v>14</v>
      </c>
      <c r="E450">
        <v>5</v>
      </c>
      <c r="F450">
        <v>47.891289999253303</v>
      </c>
      <c r="G450">
        <v>78</v>
      </c>
      <c r="H450">
        <v>40</v>
      </c>
      <c r="I450">
        <v>57</v>
      </c>
      <c r="J450">
        <v>2</v>
      </c>
      <c r="K450">
        <v>0</v>
      </c>
      <c r="L450" s="2">
        <f t="shared" ref="L450:L513" si="42">DATE(2024,1,1)</f>
        <v>45292</v>
      </c>
      <c r="M450" s="2">
        <f t="shared" ref="M450:M513" ca="1" si="43">L450+RANDBETWEEN(14,45)</f>
        <v>45334</v>
      </c>
      <c r="N450" s="2" t="str">
        <f t="shared" ref="N450:N513" ca="1" si="44">IF(K450=1, M450+RANDBETWEEN(7,30), "N/A")</f>
        <v>N/A</v>
      </c>
      <c r="O450" s="3">
        <f t="shared" ref="O450:O513" ca="1" si="45">IF(AND(M450&lt;&gt;"",L450&lt;&gt;""), M450-L450, "N/A")</f>
        <v>42</v>
      </c>
      <c r="P450" s="3" t="str">
        <f t="shared" ref="P450:Q513" ca="1" si="46">IF(AND(K450=1, N450&lt;&gt;"", M450&lt;&gt;""), N450 - M450, "N/A")</f>
        <v>N/A</v>
      </c>
      <c r="Q450" s="1" t="str">
        <f>IF(K450=1,"Joined",IF(H450&gt;=70,"Dropped at Offer",IF(H450&gt;=50,"Dropped at Interview","Dropped at Screening")))</f>
        <v>Dropped at Screening</v>
      </c>
      <c r="R450" s="1" t="str">
        <f t="shared" ref="R450:R513" ca="1" si="47">TEXT(M450,"MMM-YYYY")</f>
        <v>Feb-2024</v>
      </c>
    </row>
    <row r="451" spans="1:18">
      <c r="A451">
        <v>24</v>
      </c>
      <c r="B451">
        <v>1</v>
      </c>
      <c r="C451">
        <v>1</v>
      </c>
      <c r="D451">
        <v>12</v>
      </c>
      <c r="E451">
        <v>3</v>
      </c>
      <c r="F451">
        <v>34.857248333583399</v>
      </c>
      <c r="G451">
        <v>7</v>
      </c>
      <c r="H451">
        <v>89</v>
      </c>
      <c r="I451">
        <v>43</v>
      </c>
      <c r="J451">
        <v>1</v>
      </c>
      <c r="K451">
        <v>1</v>
      </c>
      <c r="L451" s="2">
        <f t="shared" si="42"/>
        <v>45292</v>
      </c>
      <c r="M451" s="2">
        <f t="shared" ca="1" si="43"/>
        <v>45314</v>
      </c>
      <c r="N451" s="2">
        <f t="shared" ca="1" si="44"/>
        <v>45342</v>
      </c>
      <c r="O451" s="3">
        <f t="shared" ca="1" si="45"/>
        <v>22</v>
      </c>
      <c r="P451" s="3">
        <f t="shared" ca="1" si="46"/>
        <v>28</v>
      </c>
      <c r="Q451" s="1" t="str">
        <f>IF(K451=1,"Joined",IF(H451&gt;=70,"Dropped at Offer",IF(H451&gt;=50,"Dropped at Interview","Dropped at Screening")))</f>
        <v>Joined</v>
      </c>
      <c r="R451" s="1" t="str">
        <f t="shared" ca="1" si="47"/>
        <v>Jan-2024</v>
      </c>
    </row>
    <row r="452" spans="1:18">
      <c r="A452">
        <v>47</v>
      </c>
      <c r="B452">
        <v>1</v>
      </c>
      <c r="C452">
        <v>3</v>
      </c>
      <c r="D452">
        <v>15</v>
      </c>
      <c r="E452">
        <v>4</v>
      </c>
      <c r="F452">
        <v>6.9510652246570501</v>
      </c>
      <c r="G452">
        <v>25</v>
      </c>
      <c r="H452">
        <v>79</v>
      </c>
      <c r="I452">
        <v>77</v>
      </c>
      <c r="J452">
        <v>2</v>
      </c>
      <c r="K452">
        <v>1</v>
      </c>
      <c r="L452" s="2">
        <f t="shared" si="42"/>
        <v>45292</v>
      </c>
      <c r="M452" s="2">
        <f t="shared" ca="1" si="43"/>
        <v>45337</v>
      </c>
      <c r="N452" s="2">
        <f t="shared" ca="1" si="44"/>
        <v>45366</v>
      </c>
      <c r="O452" s="3">
        <f t="shared" ca="1" si="45"/>
        <v>45</v>
      </c>
      <c r="P452" s="3">
        <f t="shared" ca="1" si="46"/>
        <v>29</v>
      </c>
      <c r="Q452" s="1" t="str">
        <f>IF(K452=1,"Joined",IF(H452&gt;=70,"Dropped at Offer",IF(H452&gt;=50,"Dropped at Interview","Dropped at Screening")))</f>
        <v>Joined</v>
      </c>
      <c r="R452" s="1" t="str">
        <f t="shared" ca="1" si="47"/>
        <v>Feb-2024</v>
      </c>
    </row>
    <row r="453" spans="1:18">
      <c r="A453">
        <v>48</v>
      </c>
      <c r="B453">
        <v>1</v>
      </c>
      <c r="C453">
        <v>2</v>
      </c>
      <c r="D453">
        <v>0</v>
      </c>
      <c r="E453">
        <v>3</v>
      </c>
      <c r="F453">
        <v>4.4463939067324301</v>
      </c>
      <c r="G453">
        <v>35</v>
      </c>
      <c r="H453">
        <v>35</v>
      </c>
      <c r="I453">
        <v>97</v>
      </c>
      <c r="J453">
        <v>3</v>
      </c>
      <c r="K453">
        <v>0</v>
      </c>
      <c r="L453" s="2">
        <f t="shared" si="42"/>
        <v>45292</v>
      </c>
      <c r="M453" s="2">
        <f t="shared" ca="1" si="43"/>
        <v>45324</v>
      </c>
      <c r="N453" s="2" t="str">
        <f t="shared" ca="1" si="44"/>
        <v>N/A</v>
      </c>
      <c r="O453" s="3">
        <f t="shared" ca="1" si="45"/>
        <v>32</v>
      </c>
      <c r="P453" s="3" t="str">
        <f t="shared" ca="1" si="46"/>
        <v>N/A</v>
      </c>
      <c r="Q453" s="1" t="str">
        <f>IF(K453=1,"Joined",IF(H453&gt;=70,"Dropped at Offer",IF(H453&gt;=50,"Dropped at Interview","Dropped at Screening")))</f>
        <v>Dropped at Screening</v>
      </c>
      <c r="R453" s="1" t="str">
        <f t="shared" ca="1" si="47"/>
        <v>Feb-2024</v>
      </c>
    </row>
    <row r="454" spans="1:18">
      <c r="A454">
        <v>35</v>
      </c>
      <c r="B454">
        <v>0</v>
      </c>
      <c r="C454">
        <v>2</v>
      </c>
      <c r="D454">
        <v>4</v>
      </c>
      <c r="E454">
        <v>3</v>
      </c>
      <c r="F454">
        <v>25.177492539518401</v>
      </c>
      <c r="G454">
        <v>47</v>
      </c>
      <c r="H454">
        <v>96</v>
      </c>
      <c r="I454">
        <v>33</v>
      </c>
      <c r="J454">
        <v>1</v>
      </c>
      <c r="K454">
        <v>0</v>
      </c>
      <c r="L454" s="2">
        <f t="shared" si="42"/>
        <v>45292</v>
      </c>
      <c r="M454" s="2">
        <f t="shared" ca="1" si="43"/>
        <v>45334</v>
      </c>
      <c r="N454" s="2" t="str">
        <f t="shared" ca="1" si="44"/>
        <v>N/A</v>
      </c>
      <c r="O454" s="3">
        <f t="shared" ca="1" si="45"/>
        <v>42</v>
      </c>
      <c r="P454" s="3" t="str">
        <f t="shared" ca="1" si="46"/>
        <v>N/A</v>
      </c>
      <c r="Q454" s="1" t="str">
        <f>IF(K454=1,"Joined",IF(H454&gt;=70,"Dropped at Offer",IF(H454&gt;=50,"Dropped at Interview","Dropped at Screening")))</f>
        <v>Dropped at Offer</v>
      </c>
      <c r="R454" s="1" t="str">
        <f t="shared" ca="1" si="47"/>
        <v>Feb-2024</v>
      </c>
    </row>
    <row r="455" spans="1:18">
      <c r="A455">
        <v>38</v>
      </c>
      <c r="B455">
        <v>1</v>
      </c>
      <c r="C455">
        <v>2</v>
      </c>
      <c r="D455">
        <v>15</v>
      </c>
      <c r="E455">
        <v>1</v>
      </c>
      <c r="F455">
        <v>12.004503302363601</v>
      </c>
      <c r="G455">
        <v>84</v>
      </c>
      <c r="H455">
        <v>83</v>
      </c>
      <c r="I455">
        <v>24</v>
      </c>
      <c r="J455">
        <v>1</v>
      </c>
      <c r="K455">
        <v>1</v>
      </c>
      <c r="L455" s="2">
        <f t="shared" si="42"/>
        <v>45292</v>
      </c>
      <c r="M455" s="2">
        <f t="shared" ca="1" si="43"/>
        <v>45315</v>
      </c>
      <c r="N455" s="2">
        <f t="shared" ca="1" si="44"/>
        <v>45331</v>
      </c>
      <c r="O455" s="3">
        <f t="shared" ca="1" si="45"/>
        <v>23</v>
      </c>
      <c r="P455" s="3">
        <f t="shared" ca="1" si="46"/>
        <v>16</v>
      </c>
      <c r="Q455" s="1" t="str">
        <f>IF(K455=1,"Joined",IF(H455&gt;=70,"Dropped at Offer",IF(H455&gt;=50,"Dropped at Interview","Dropped at Screening")))</f>
        <v>Joined</v>
      </c>
      <c r="R455" s="1" t="str">
        <f t="shared" ca="1" si="47"/>
        <v>Jan-2024</v>
      </c>
    </row>
    <row r="456" spans="1:18">
      <c r="A456">
        <v>23</v>
      </c>
      <c r="B456">
        <v>0</v>
      </c>
      <c r="C456">
        <v>2</v>
      </c>
      <c r="D456">
        <v>12</v>
      </c>
      <c r="E456">
        <v>5</v>
      </c>
      <c r="F456">
        <v>13.6992376688126</v>
      </c>
      <c r="G456">
        <v>27</v>
      </c>
      <c r="H456">
        <v>76</v>
      </c>
      <c r="I456">
        <v>3</v>
      </c>
      <c r="J456">
        <v>2</v>
      </c>
      <c r="K456">
        <v>0</v>
      </c>
      <c r="L456" s="2">
        <f t="shared" si="42"/>
        <v>45292</v>
      </c>
      <c r="M456" s="2">
        <f t="shared" ca="1" si="43"/>
        <v>45335</v>
      </c>
      <c r="N456" s="2" t="str">
        <f t="shared" ca="1" si="44"/>
        <v>N/A</v>
      </c>
      <c r="O456" s="3">
        <f t="shared" ca="1" si="45"/>
        <v>43</v>
      </c>
      <c r="P456" s="3" t="str">
        <f t="shared" ca="1" si="46"/>
        <v>N/A</v>
      </c>
      <c r="Q456" s="1" t="str">
        <f>IF(K456=1,"Joined",IF(H456&gt;=70,"Dropped at Offer",IF(H456&gt;=50,"Dropped at Interview","Dropped at Screening")))</f>
        <v>Dropped at Offer</v>
      </c>
      <c r="R456" s="1" t="str">
        <f t="shared" ca="1" si="47"/>
        <v>Feb-2024</v>
      </c>
    </row>
    <row r="457" spans="1:18">
      <c r="A457">
        <v>22</v>
      </c>
      <c r="B457">
        <v>0</v>
      </c>
      <c r="C457">
        <v>2</v>
      </c>
      <c r="D457">
        <v>12</v>
      </c>
      <c r="E457">
        <v>3</v>
      </c>
      <c r="F457">
        <v>44.884608941392401</v>
      </c>
      <c r="G457">
        <v>67</v>
      </c>
      <c r="H457">
        <v>32</v>
      </c>
      <c r="I457">
        <v>63</v>
      </c>
      <c r="J457">
        <v>2</v>
      </c>
      <c r="K457">
        <v>0</v>
      </c>
      <c r="L457" s="2">
        <f t="shared" si="42"/>
        <v>45292</v>
      </c>
      <c r="M457" s="2">
        <f t="shared" ca="1" si="43"/>
        <v>45324</v>
      </c>
      <c r="N457" s="2" t="str">
        <f t="shared" ca="1" si="44"/>
        <v>N/A</v>
      </c>
      <c r="O457" s="3">
        <f t="shared" ca="1" si="45"/>
        <v>32</v>
      </c>
      <c r="P457" s="3" t="str">
        <f t="shared" ca="1" si="46"/>
        <v>N/A</v>
      </c>
      <c r="Q457" s="1" t="str">
        <f>IF(K457=1,"Joined",IF(H457&gt;=70,"Dropped at Offer",IF(H457&gt;=50,"Dropped at Interview","Dropped at Screening")))</f>
        <v>Dropped at Screening</v>
      </c>
      <c r="R457" s="1" t="str">
        <f t="shared" ca="1" si="47"/>
        <v>Feb-2024</v>
      </c>
    </row>
    <row r="458" spans="1:18">
      <c r="A458">
        <v>36</v>
      </c>
      <c r="B458">
        <v>0</v>
      </c>
      <c r="C458">
        <v>4</v>
      </c>
      <c r="D458">
        <v>6</v>
      </c>
      <c r="E458">
        <v>1</v>
      </c>
      <c r="F458">
        <v>5.47830121581553</v>
      </c>
      <c r="G458">
        <v>61</v>
      </c>
      <c r="H458">
        <v>4</v>
      </c>
      <c r="I458">
        <v>89</v>
      </c>
      <c r="J458">
        <v>2</v>
      </c>
      <c r="K458">
        <v>0</v>
      </c>
      <c r="L458" s="2">
        <f t="shared" si="42"/>
        <v>45292</v>
      </c>
      <c r="M458" s="2">
        <f t="shared" ca="1" si="43"/>
        <v>45307</v>
      </c>
      <c r="N458" s="2" t="str">
        <f t="shared" ca="1" si="44"/>
        <v>N/A</v>
      </c>
      <c r="O458" s="3">
        <f t="shared" ca="1" si="45"/>
        <v>15</v>
      </c>
      <c r="P458" s="3" t="str">
        <f t="shared" ca="1" si="46"/>
        <v>N/A</v>
      </c>
      <c r="Q458" s="1" t="str">
        <f>IF(K458=1,"Joined",IF(H458&gt;=70,"Dropped at Offer",IF(H458&gt;=50,"Dropped at Interview","Dropped at Screening")))</f>
        <v>Dropped at Screening</v>
      </c>
      <c r="R458" s="1" t="str">
        <f t="shared" ca="1" si="47"/>
        <v>Jan-2024</v>
      </c>
    </row>
    <row r="459" spans="1:18">
      <c r="A459">
        <v>36</v>
      </c>
      <c r="B459">
        <v>0</v>
      </c>
      <c r="C459">
        <v>3</v>
      </c>
      <c r="D459">
        <v>15</v>
      </c>
      <c r="E459">
        <v>4</v>
      </c>
      <c r="F459">
        <v>36.768205761444399</v>
      </c>
      <c r="G459">
        <v>79</v>
      </c>
      <c r="H459">
        <v>100</v>
      </c>
      <c r="I459">
        <v>15</v>
      </c>
      <c r="J459">
        <v>1</v>
      </c>
      <c r="K459">
        <v>1</v>
      </c>
      <c r="L459" s="2">
        <f t="shared" si="42"/>
        <v>45292</v>
      </c>
      <c r="M459" s="2">
        <f t="shared" ca="1" si="43"/>
        <v>45328</v>
      </c>
      <c r="N459" s="2">
        <f t="shared" ca="1" si="44"/>
        <v>45351</v>
      </c>
      <c r="O459" s="3">
        <f t="shared" ca="1" si="45"/>
        <v>36</v>
      </c>
      <c r="P459" s="3">
        <f t="shared" ca="1" si="46"/>
        <v>23</v>
      </c>
      <c r="Q459" s="1" t="str">
        <f>IF(K459=1,"Joined",IF(H459&gt;=70,"Dropped at Offer",IF(H459&gt;=50,"Dropped at Interview","Dropped at Screening")))</f>
        <v>Joined</v>
      </c>
      <c r="R459" s="1" t="str">
        <f t="shared" ca="1" si="47"/>
        <v>Feb-2024</v>
      </c>
    </row>
    <row r="460" spans="1:18">
      <c r="A460">
        <v>31</v>
      </c>
      <c r="B460">
        <v>0</v>
      </c>
      <c r="C460">
        <v>2</v>
      </c>
      <c r="D460">
        <v>7</v>
      </c>
      <c r="E460">
        <v>3</v>
      </c>
      <c r="F460">
        <v>14.557112669029401</v>
      </c>
      <c r="G460">
        <v>85</v>
      </c>
      <c r="H460">
        <v>77</v>
      </c>
      <c r="I460">
        <v>9</v>
      </c>
      <c r="J460">
        <v>1</v>
      </c>
      <c r="K460">
        <v>1</v>
      </c>
      <c r="L460" s="2">
        <f t="shared" si="42"/>
        <v>45292</v>
      </c>
      <c r="M460" s="2">
        <f t="shared" ca="1" si="43"/>
        <v>45310</v>
      </c>
      <c r="N460" s="2">
        <f t="shared" ca="1" si="44"/>
        <v>45324</v>
      </c>
      <c r="O460" s="3">
        <f t="shared" ca="1" si="45"/>
        <v>18</v>
      </c>
      <c r="P460" s="3">
        <f t="shared" ca="1" si="46"/>
        <v>14</v>
      </c>
      <c r="Q460" s="1" t="str">
        <f>IF(K460=1,"Joined",IF(H460&gt;=70,"Dropped at Offer",IF(H460&gt;=50,"Dropped at Interview","Dropped at Screening")))</f>
        <v>Joined</v>
      </c>
      <c r="R460" s="1" t="str">
        <f t="shared" ca="1" si="47"/>
        <v>Jan-2024</v>
      </c>
    </row>
    <row r="461" spans="1:18">
      <c r="A461">
        <v>47</v>
      </c>
      <c r="B461">
        <v>1</v>
      </c>
      <c r="C461">
        <v>1</v>
      </c>
      <c r="D461">
        <v>9</v>
      </c>
      <c r="E461">
        <v>5</v>
      </c>
      <c r="F461">
        <v>39.0164110702068</v>
      </c>
      <c r="G461">
        <v>75</v>
      </c>
      <c r="H461">
        <v>90</v>
      </c>
      <c r="I461">
        <v>65</v>
      </c>
      <c r="J461">
        <v>2</v>
      </c>
      <c r="K461">
        <v>1</v>
      </c>
      <c r="L461" s="2">
        <f t="shared" si="42"/>
        <v>45292</v>
      </c>
      <c r="M461" s="2">
        <f t="shared" ca="1" si="43"/>
        <v>45314</v>
      </c>
      <c r="N461" s="2">
        <f t="shared" ca="1" si="44"/>
        <v>45343</v>
      </c>
      <c r="O461" s="3">
        <f t="shared" ca="1" si="45"/>
        <v>22</v>
      </c>
      <c r="P461" s="3">
        <f t="shared" ca="1" si="46"/>
        <v>29</v>
      </c>
      <c r="Q461" s="1" t="str">
        <f>IF(K461=1,"Joined",IF(H461&gt;=70,"Dropped at Offer",IF(H461&gt;=50,"Dropped at Interview","Dropped at Screening")))</f>
        <v>Joined</v>
      </c>
      <c r="R461" s="1" t="str">
        <f t="shared" ca="1" si="47"/>
        <v>Jan-2024</v>
      </c>
    </row>
    <row r="462" spans="1:18">
      <c r="A462">
        <v>49</v>
      </c>
      <c r="B462">
        <v>1</v>
      </c>
      <c r="C462">
        <v>4</v>
      </c>
      <c r="D462">
        <v>0</v>
      </c>
      <c r="E462">
        <v>3</v>
      </c>
      <c r="F462">
        <v>37.120569223177199</v>
      </c>
      <c r="G462">
        <v>79</v>
      </c>
      <c r="H462">
        <v>86</v>
      </c>
      <c r="I462">
        <v>34</v>
      </c>
      <c r="J462">
        <v>1</v>
      </c>
      <c r="K462">
        <v>1</v>
      </c>
      <c r="L462" s="2">
        <f t="shared" si="42"/>
        <v>45292</v>
      </c>
      <c r="M462" s="2">
        <f t="shared" ca="1" si="43"/>
        <v>45321</v>
      </c>
      <c r="N462" s="2">
        <f t="shared" ca="1" si="44"/>
        <v>45349</v>
      </c>
      <c r="O462" s="3">
        <f t="shared" ca="1" si="45"/>
        <v>29</v>
      </c>
      <c r="P462" s="3">
        <f t="shared" ca="1" si="46"/>
        <v>28</v>
      </c>
      <c r="Q462" s="1" t="str">
        <f>IF(K462=1,"Joined",IF(H462&gt;=70,"Dropped at Offer",IF(H462&gt;=50,"Dropped at Interview","Dropped at Screening")))</f>
        <v>Joined</v>
      </c>
      <c r="R462" s="1" t="str">
        <f t="shared" ca="1" si="47"/>
        <v>Jan-2024</v>
      </c>
    </row>
    <row r="463" spans="1:18">
      <c r="A463">
        <v>48</v>
      </c>
      <c r="B463">
        <v>1</v>
      </c>
      <c r="C463">
        <v>4</v>
      </c>
      <c r="D463">
        <v>6</v>
      </c>
      <c r="E463">
        <v>4</v>
      </c>
      <c r="F463">
        <v>1.3695950722146499</v>
      </c>
      <c r="G463">
        <v>50</v>
      </c>
      <c r="H463">
        <v>13</v>
      </c>
      <c r="I463">
        <v>82</v>
      </c>
      <c r="J463">
        <v>3</v>
      </c>
      <c r="K463">
        <v>0</v>
      </c>
      <c r="L463" s="2">
        <f t="shared" si="42"/>
        <v>45292</v>
      </c>
      <c r="M463" s="2">
        <f t="shared" ca="1" si="43"/>
        <v>45336</v>
      </c>
      <c r="N463" s="2" t="str">
        <f t="shared" ca="1" si="44"/>
        <v>N/A</v>
      </c>
      <c r="O463" s="3">
        <f t="shared" ca="1" si="45"/>
        <v>44</v>
      </c>
      <c r="P463" s="3" t="str">
        <f t="shared" ca="1" si="46"/>
        <v>N/A</v>
      </c>
      <c r="Q463" s="1" t="str">
        <f>IF(K463=1,"Joined",IF(H463&gt;=70,"Dropped at Offer",IF(H463&gt;=50,"Dropped at Interview","Dropped at Screening")))</f>
        <v>Dropped at Screening</v>
      </c>
      <c r="R463" s="1" t="str">
        <f t="shared" ca="1" si="47"/>
        <v>Feb-2024</v>
      </c>
    </row>
    <row r="464" spans="1:18">
      <c r="A464">
        <v>33</v>
      </c>
      <c r="B464">
        <v>1</v>
      </c>
      <c r="C464">
        <v>3</v>
      </c>
      <c r="D464">
        <v>12</v>
      </c>
      <c r="E464">
        <v>3</v>
      </c>
      <c r="F464">
        <v>26.456770646079899</v>
      </c>
      <c r="G464">
        <v>41</v>
      </c>
      <c r="H464">
        <v>67</v>
      </c>
      <c r="I464">
        <v>5</v>
      </c>
      <c r="J464">
        <v>1</v>
      </c>
      <c r="K464">
        <v>1</v>
      </c>
      <c r="L464" s="2">
        <f t="shared" si="42"/>
        <v>45292</v>
      </c>
      <c r="M464" s="2">
        <f t="shared" ca="1" si="43"/>
        <v>45311</v>
      </c>
      <c r="N464" s="2">
        <f t="shared" ca="1" si="44"/>
        <v>45321</v>
      </c>
      <c r="O464" s="3">
        <f t="shared" ca="1" si="45"/>
        <v>19</v>
      </c>
      <c r="P464" s="3">
        <f t="shared" ca="1" si="46"/>
        <v>10</v>
      </c>
      <c r="Q464" s="1" t="str">
        <f>IF(K464=1,"Joined",IF(H464&gt;=70,"Dropped at Offer",IF(H464&gt;=50,"Dropped at Interview","Dropped at Screening")))</f>
        <v>Joined</v>
      </c>
      <c r="R464" s="1" t="str">
        <f t="shared" ca="1" si="47"/>
        <v>Jan-2024</v>
      </c>
    </row>
    <row r="465" spans="1:18">
      <c r="A465">
        <v>40</v>
      </c>
      <c r="B465">
        <v>0</v>
      </c>
      <c r="C465">
        <v>1</v>
      </c>
      <c r="D465">
        <v>4</v>
      </c>
      <c r="E465">
        <v>5</v>
      </c>
      <c r="F465">
        <v>7.9659741189023103</v>
      </c>
      <c r="G465">
        <v>100</v>
      </c>
      <c r="H465">
        <v>82</v>
      </c>
      <c r="I465">
        <v>18</v>
      </c>
      <c r="J465">
        <v>2</v>
      </c>
      <c r="K465">
        <v>0</v>
      </c>
      <c r="L465" s="2">
        <f t="shared" si="42"/>
        <v>45292</v>
      </c>
      <c r="M465" s="2">
        <f t="shared" ca="1" si="43"/>
        <v>45331</v>
      </c>
      <c r="N465" s="2" t="str">
        <f t="shared" ca="1" si="44"/>
        <v>N/A</v>
      </c>
      <c r="O465" s="3">
        <f t="shared" ca="1" si="45"/>
        <v>39</v>
      </c>
      <c r="P465" s="3" t="str">
        <f t="shared" ca="1" si="46"/>
        <v>N/A</v>
      </c>
      <c r="Q465" s="1" t="str">
        <f>IF(K465=1,"Joined",IF(H465&gt;=70,"Dropped at Offer",IF(H465&gt;=50,"Dropped at Interview","Dropped at Screening")))</f>
        <v>Dropped at Offer</v>
      </c>
      <c r="R465" s="1" t="str">
        <f t="shared" ca="1" si="47"/>
        <v>Feb-2024</v>
      </c>
    </row>
    <row r="466" spans="1:18">
      <c r="A466">
        <v>25</v>
      </c>
      <c r="B466">
        <v>1</v>
      </c>
      <c r="C466">
        <v>1</v>
      </c>
      <c r="D466">
        <v>9</v>
      </c>
      <c r="E466">
        <v>1</v>
      </c>
      <c r="F466">
        <v>44.311351528933798</v>
      </c>
      <c r="G466">
        <v>28</v>
      </c>
      <c r="H466">
        <v>46</v>
      </c>
      <c r="I466">
        <v>58</v>
      </c>
      <c r="J466">
        <v>1</v>
      </c>
      <c r="K466">
        <v>0</v>
      </c>
      <c r="L466" s="2">
        <f t="shared" si="42"/>
        <v>45292</v>
      </c>
      <c r="M466" s="2">
        <f t="shared" ca="1" si="43"/>
        <v>45326</v>
      </c>
      <c r="N466" s="2" t="str">
        <f t="shared" ca="1" si="44"/>
        <v>N/A</v>
      </c>
      <c r="O466" s="3">
        <f t="shared" ca="1" si="45"/>
        <v>34</v>
      </c>
      <c r="P466" s="3" t="str">
        <f t="shared" ca="1" si="46"/>
        <v>N/A</v>
      </c>
      <c r="Q466" s="1" t="str">
        <f>IF(K466=1,"Joined",IF(H466&gt;=70,"Dropped at Offer",IF(H466&gt;=50,"Dropped at Interview","Dropped at Screening")))</f>
        <v>Dropped at Screening</v>
      </c>
      <c r="R466" s="1" t="str">
        <f t="shared" ca="1" si="47"/>
        <v>Feb-2024</v>
      </c>
    </row>
    <row r="467" spans="1:18">
      <c r="A467">
        <v>22</v>
      </c>
      <c r="B467">
        <v>0</v>
      </c>
      <c r="C467">
        <v>2</v>
      </c>
      <c r="D467">
        <v>0</v>
      </c>
      <c r="E467">
        <v>5</v>
      </c>
      <c r="F467">
        <v>44.5792941431203</v>
      </c>
      <c r="G467">
        <v>81</v>
      </c>
      <c r="H467">
        <v>53</v>
      </c>
      <c r="I467">
        <v>52</v>
      </c>
      <c r="J467">
        <v>1</v>
      </c>
      <c r="K467">
        <v>1</v>
      </c>
      <c r="L467" s="2">
        <f t="shared" si="42"/>
        <v>45292</v>
      </c>
      <c r="M467" s="2">
        <f t="shared" ca="1" si="43"/>
        <v>45309</v>
      </c>
      <c r="N467" s="2">
        <f t="shared" ca="1" si="44"/>
        <v>45320</v>
      </c>
      <c r="O467" s="3">
        <f t="shared" ca="1" si="45"/>
        <v>17</v>
      </c>
      <c r="P467" s="3">
        <f t="shared" ca="1" si="46"/>
        <v>11</v>
      </c>
      <c r="Q467" s="1" t="str">
        <f>IF(K467=1,"Joined",IF(H467&gt;=70,"Dropped at Offer",IF(H467&gt;=50,"Dropped at Interview","Dropped at Screening")))</f>
        <v>Joined</v>
      </c>
      <c r="R467" s="1" t="str">
        <f t="shared" ca="1" si="47"/>
        <v>Jan-2024</v>
      </c>
    </row>
    <row r="468" spans="1:18">
      <c r="A468">
        <v>47</v>
      </c>
      <c r="B468">
        <v>1</v>
      </c>
      <c r="C468">
        <v>1</v>
      </c>
      <c r="D468">
        <v>2</v>
      </c>
      <c r="E468">
        <v>1</v>
      </c>
      <c r="F468">
        <v>21.917290374687902</v>
      </c>
      <c r="G468">
        <v>9</v>
      </c>
      <c r="H468">
        <v>3</v>
      </c>
      <c r="I468">
        <v>7</v>
      </c>
      <c r="J468">
        <v>2</v>
      </c>
      <c r="K468">
        <v>0</v>
      </c>
      <c r="L468" s="2">
        <f t="shared" si="42"/>
        <v>45292</v>
      </c>
      <c r="M468" s="2">
        <f t="shared" ca="1" si="43"/>
        <v>45308</v>
      </c>
      <c r="N468" s="2" t="str">
        <f t="shared" ca="1" si="44"/>
        <v>N/A</v>
      </c>
      <c r="O468" s="3">
        <f t="shared" ca="1" si="45"/>
        <v>16</v>
      </c>
      <c r="P468" s="3" t="str">
        <f t="shared" ca="1" si="46"/>
        <v>N/A</v>
      </c>
      <c r="Q468" s="1" t="str">
        <f>IF(K468=1,"Joined",IF(H468&gt;=70,"Dropped at Offer",IF(H468&gt;=50,"Dropped at Interview","Dropped at Screening")))</f>
        <v>Dropped at Screening</v>
      </c>
      <c r="R468" s="1" t="str">
        <f t="shared" ca="1" si="47"/>
        <v>Jan-2024</v>
      </c>
    </row>
    <row r="469" spans="1:18">
      <c r="A469">
        <v>28</v>
      </c>
      <c r="B469">
        <v>0</v>
      </c>
      <c r="C469">
        <v>2</v>
      </c>
      <c r="D469">
        <v>6</v>
      </c>
      <c r="E469">
        <v>2</v>
      </c>
      <c r="F469">
        <v>23.219780922554001</v>
      </c>
      <c r="G469">
        <v>38</v>
      </c>
      <c r="H469">
        <v>93</v>
      </c>
      <c r="I469">
        <v>77</v>
      </c>
      <c r="J469">
        <v>2</v>
      </c>
      <c r="K469">
        <v>0</v>
      </c>
      <c r="L469" s="2">
        <f t="shared" si="42"/>
        <v>45292</v>
      </c>
      <c r="M469" s="2">
        <f t="shared" ca="1" si="43"/>
        <v>45324</v>
      </c>
      <c r="N469" s="2" t="str">
        <f t="shared" ca="1" si="44"/>
        <v>N/A</v>
      </c>
      <c r="O469" s="3">
        <f t="shared" ca="1" si="45"/>
        <v>32</v>
      </c>
      <c r="P469" s="3" t="str">
        <f t="shared" ca="1" si="46"/>
        <v>N/A</v>
      </c>
      <c r="Q469" s="1" t="str">
        <f>IF(K469=1,"Joined",IF(H469&gt;=70,"Dropped at Offer",IF(H469&gt;=50,"Dropped at Interview","Dropped at Screening")))</f>
        <v>Dropped at Offer</v>
      </c>
      <c r="R469" s="1" t="str">
        <f t="shared" ca="1" si="47"/>
        <v>Feb-2024</v>
      </c>
    </row>
    <row r="470" spans="1:18">
      <c r="A470">
        <v>24</v>
      </c>
      <c r="B470">
        <v>0</v>
      </c>
      <c r="C470">
        <v>4</v>
      </c>
      <c r="D470">
        <v>9</v>
      </c>
      <c r="E470">
        <v>5</v>
      </c>
      <c r="F470">
        <v>16.164146970226302</v>
      </c>
      <c r="G470">
        <v>81</v>
      </c>
      <c r="H470">
        <v>82</v>
      </c>
      <c r="I470">
        <v>9</v>
      </c>
      <c r="J470">
        <v>1</v>
      </c>
      <c r="K470">
        <v>1</v>
      </c>
      <c r="L470" s="2">
        <f t="shared" si="42"/>
        <v>45292</v>
      </c>
      <c r="M470" s="2">
        <f t="shared" ca="1" si="43"/>
        <v>45310</v>
      </c>
      <c r="N470" s="2">
        <f t="shared" ca="1" si="44"/>
        <v>45335</v>
      </c>
      <c r="O470" s="3">
        <f t="shared" ca="1" si="45"/>
        <v>18</v>
      </c>
      <c r="P470" s="3">
        <f t="shared" ca="1" si="46"/>
        <v>25</v>
      </c>
      <c r="Q470" s="1" t="str">
        <f>IF(K470=1,"Joined",IF(H470&gt;=70,"Dropped at Offer",IF(H470&gt;=50,"Dropped at Interview","Dropped at Screening")))</f>
        <v>Joined</v>
      </c>
      <c r="R470" s="1" t="str">
        <f t="shared" ca="1" si="47"/>
        <v>Jan-2024</v>
      </c>
    </row>
    <row r="471" spans="1:18">
      <c r="A471">
        <v>43</v>
      </c>
      <c r="B471">
        <v>1</v>
      </c>
      <c r="C471">
        <v>2</v>
      </c>
      <c r="D471">
        <v>0</v>
      </c>
      <c r="E471">
        <v>5</v>
      </c>
      <c r="F471">
        <v>36.830314948001501</v>
      </c>
      <c r="G471">
        <v>0</v>
      </c>
      <c r="H471">
        <v>94</v>
      </c>
      <c r="I471">
        <v>66</v>
      </c>
      <c r="J471">
        <v>1</v>
      </c>
      <c r="K471">
        <v>1</v>
      </c>
      <c r="L471" s="2">
        <f t="shared" si="42"/>
        <v>45292</v>
      </c>
      <c r="M471" s="2">
        <f t="shared" ca="1" si="43"/>
        <v>45325</v>
      </c>
      <c r="N471" s="2">
        <f t="shared" ca="1" si="44"/>
        <v>45343</v>
      </c>
      <c r="O471" s="3">
        <f t="shared" ca="1" si="45"/>
        <v>33</v>
      </c>
      <c r="P471" s="3">
        <f t="shared" ca="1" si="46"/>
        <v>18</v>
      </c>
      <c r="Q471" s="1" t="str">
        <f>IF(K471=1,"Joined",IF(H471&gt;=70,"Dropped at Offer",IF(H471&gt;=50,"Dropped at Interview","Dropped at Screening")))</f>
        <v>Joined</v>
      </c>
      <c r="R471" s="1" t="str">
        <f t="shared" ca="1" si="47"/>
        <v>Feb-2024</v>
      </c>
    </row>
    <row r="472" spans="1:18">
      <c r="A472">
        <v>48</v>
      </c>
      <c r="B472">
        <v>0</v>
      </c>
      <c r="C472">
        <v>1</v>
      </c>
      <c r="D472">
        <v>6</v>
      </c>
      <c r="E472">
        <v>4</v>
      </c>
      <c r="F472">
        <v>18.9330681513229</v>
      </c>
      <c r="G472">
        <v>38</v>
      </c>
      <c r="H472">
        <v>94</v>
      </c>
      <c r="I472">
        <v>37</v>
      </c>
      <c r="J472">
        <v>1</v>
      </c>
      <c r="K472">
        <v>1</v>
      </c>
      <c r="L472" s="2">
        <f t="shared" si="42"/>
        <v>45292</v>
      </c>
      <c r="M472" s="2">
        <f t="shared" ca="1" si="43"/>
        <v>45320</v>
      </c>
      <c r="N472" s="2">
        <f t="shared" ca="1" si="44"/>
        <v>45328</v>
      </c>
      <c r="O472" s="3">
        <f t="shared" ca="1" si="45"/>
        <v>28</v>
      </c>
      <c r="P472" s="3">
        <f t="shared" ca="1" si="46"/>
        <v>8</v>
      </c>
      <c r="Q472" s="1" t="str">
        <f>IF(K472=1,"Joined",IF(H472&gt;=70,"Dropped at Offer",IF(H472&gt;=50,"Dropped at Interview","Dropped at Screening")))</f>
        <v>Joined</v>
      </c>
      <c r="R472" s="1" t="str">
        <f t="shared" ca="1" si="47"/>
        <v>Jan-2024</v>
      </c>
    </row>
    <row r="473" spans="1:18">
      <c r="A473">
        <v>36</v>
      </c>
      <c r="B473">
        <v>0</v>
      </c>
      <c r="C473">
        <v>2</v>
      </c>
      <c r="D473">
        <v>4</v>
      </c>
      <c r="E473">
        <v>3</v>
      </c>
      <c r="F473">
        <v>14.3896237261316</v>
      </c>
      <c r="G473">
        <v>20</v>
      </c>
      <c r="H473">
        <v>8</v>
      </c>
      <c r="I473">
        <v>28</v>
      </c>
      <c r="J473">
        <v>2</v>
      </c>
      <c r="K473">
        <v>0</v>
      </c>
      <c r="L473" s="2">
        <f t="shared" si="42"/>
        <v>45292</v>
      </c>
      <c r="M473" s="2">
        <f t="shared" ca="1" si="43"/>
        <v>45320</v>
      </c>
      <c r="N473" s="2" t="str">
        <f t="shared" ca="1" si="44"/>
        <v>N/A</v>
      </c>
      <c r="O473" s="3">
        <f t="shared" ca="1" si="45"/>
        <v>28</v>
      </c>
      <c r="P473" s="3" t="str">
        <f t="shared" ca="1" si="46"/>
        <v>N/A</v>
      </c>
      <c r="Q473" s="1" t="str">
        <f>IF(K473=1,"Joined",IF(H473&gt;=70,"Dropped at Offer",IF(H473&gt;=50,"Dropped at Interview","Dropped at Screening")))</f>
        <v>Dropped at Screening</v>
      </c>
      <c r="R473" s="1" t="str">
        <f t="shared" ca="1" si="47"/>
        <v>Jan-2024</v>
      </c>
    </row>
    <row r="474" spans="1:18">
      <c r="A474">
        <v>33</v>
      </c>
      <c r="B474">
        <v>1</v>
      </c>
      <c r="C474">
        <v>1</v>
      </c>
      <c r="D474">
        <v>0</v>
      </c>
      <c r="E474">
        <v>1</v>
      </c>
      <c r="F474">
        <v>22.611552975225401</v>
      </c>
      <c r="G474">
        <v>64</v>
      </c>
      <c r="H474">
        <v>52</v>
      </c>
      <c r="I474">
        <v>14</v>
      </c>
      <c r="J474">
        <v>2</v>
      </c>
      <c r="K474">
        <v>0</v>
      </c>
      <c r="L474" s="2">
        <f t="shared" si="42"/>
        <v>45292</v>
      </c>
      <c r="M474" s="2">
        <f t="shared" ca="1" si="43"/>
        <v>45316</v>
      </c>
      <c r="N474" s="2" t="str">
        <f t="shared" ca="1" si="44"/>
        <v>N/A</v>
      </c>
      <c r="O474" s="3">
        <f t="shared" ca="1" si="45"/>
        <v>24</v>
      </c>
      <c r="P474" s="3" t="str">
        <f t="shared" ca="1" si="46"/>
        <v>N/A</v>
      </c>
      <c r="Q474" s="1" t="str">
        <f>IF(K474=1,"Joined",IF(H474&gt;=70,"Dropped at Offer",IF(H474&gt;=50,"Dropped at Interview","Dropped at Screening")))</f>
        <v>Dropped at Interview</v>
      </c>
      <c r="R474" s="1" t="str">
        <f t="shared" ca="1" si="47"/>
        <v>Jan-2024</v>
      </c>
    </row>
    <row r="475" spans="1:18">
      <c r="A475">
        <v>40</v>
      </c>
      <c r="B475">
        <v>0</v>
      </c>
      <c r="C475">
        <v>1</v>
      </c>
      <c r="D475">
        <v>0</v>
      </c>
      <c r="E475">
        <v>1</v>
      </c>
      <c r="F475">
        <v>5.5743759193729296</v>
      </c>
      <c r="G475">
        <v>14</v>
      </c>
      <c r="H475">
        <v>76</v>
      </c>
      <c r="I475">
        <v>86</v>
      </c>
      <c r="J475">
        <v>1</v>
      </c>
      <c r="K475">
        <v>1</v>
      </c>
      <c r="L475" s="2">
        <f t="shared" si="42"/>
        <v>45292</v>
      </c>
      <c r="M475" s="2">
        <f t="shared" ca="1" si="43"/>
        <v>45320</v>
      </c>
      <c r="N475" s="2">
        <f t="shared" ca="1" si="44"/>
        <v>45342</v>
      </c>
      <c r="O475" s="3">
        <f t="shared" ca="1" si="45"/>
        <v>28</v>
      </c>
      <c r="P475" s="3">
        <f t="shared" ca="1" si="46"/>
        <v>22</v>
      </c>
      <c r="Q475" s="1" t="str">
        <f>IF(K475=1,"Joined",IF(H475&gt;=70,"Dropped at Offer",IF(H475&gt;=50,"Dropped at Interview","Dropped at Screening")))</f>
        <v>Joined</v>
      </c>
      <c r="R475" s="1" t="str">
        <f t="shared" ca="1" si="47"/>
        <v>Jan-2024</v>
      </c>
    </row>
    <row r="476" spans="1:18">
      <c r="A476">
        <v>50</v>
      </c>
      <c r="B476">
        <v>1</v>
      </c>
      <c r="C476">
        <v>2</v>
      </c>
      <c r="D476">
        <v>13</v>
      </c>
      <c r="E476">
        <v>4</v>
      </c>
      <c r="F476">
        <v>38.330160232210098</v>
      </c>
      <c r="G476">
        <v>3</v>
      </c>
      <c r="H476">
        <v>77</v>
      </c>
      <c r="I476">
        <v>22</v>
      </c>
      <c r="J476">
        <v>2</v>
      </c>
      <c r="K476">
        <v>0</v>
      </c>
      <c r="L476" s="2">
        <f t="shared" si="42"/>
        <v>45292</v>
      </c>
      <c r="M476" s="2">
        <f t="shared" ca="1" si="43"/>
        <v>45329</v>
      </c>
      <c r="N476" s="2" t="str">
        <f t="shared" ca="1" si="44"/>
        <v>N/A</v>
      </c>
      <c r="O476" s="3">
        <f t="shared" ca="1" si="45"/>
        <v>37</v>
      </c>
      <c r="P476" s="3" t="str">
        <f t="shared" ca="1" si="46"/>
        <v>N/A</v>
      </c>
      <c r="Q476" s="1" t="str">
        <f>IF(K476=1,"Joined",IF(H476&gt;=70,"Dropped at Offer",IF(H476&gt;=50,"Dropped at Interview","Dropped at Screening")))</f>
        <v>Dropped at Offer</v>
      </c>
      <c r="R476" s="1" t="str">
        <f t="shared" ca="1" si="47"/>
        <v>Feb-2024</v>
      </c>
    </row>
    <row r="477" spans="1:18">
      <c r="A477">
        <v>22</v>
      </c>
      <c r="B477">
        <v>1</v>
      </c>
      <c r="C477">
        <v>2</v>
      </c>
      <c r="D477">
        <v>0</v>
      </c>
      <c r="E477">
        <v>4</v>
      </c>
      <c r="F477">
        <v>1.6298200635893401</v>
      </c>
      <c r="G477">
        <v>59</v>
      </c>
      <c r="H477">
        <v>59</v>
      </c>
      <c r="I477">
        <v>81</v>
      </c>
      <c r="J477">
        <v>2</v>
      </c>
      <c r="K477">
        <v>0</v>
      </c>
      <c r="L477" s="2">
        <f t="shared" si="42"/>
        <v>45292</v>
      </c>
      <c r="M477" s="2">
        <f t="shared" ca="1" si="43"/>
        <v>45321</v>
      </c>
      <c r="N477" s="2" t="str">
        <f t="shared" ca="1" si="44"/>
        <v>N/A</v>
      </c>
      <c r="O477" s="3">
        <f t="shared" ca="1" si="45"/>
        <v>29</v>
      </c>
      <c r="P477" s="3" t="str">
        <f t="shared" ca="1" si="46"/>
        <v>N/A</v>
      </c>
      <c r="Q477" s="1" t="str">
        <f>IF(K477=1,"Joined",IF(H477&gt;=70,"Dropped at Offer",IF(H477&gt;=50,"Dropped at Interview","Dropped at Screening")))</f>
        <v>Dropped at Interview</v>
      </c>
      <c r="R477" s="1" t="str">
        <f t="shared" ca="1" si="47"/>
        <v>Jan-2024</v>
      </c>
    </row>
    <row r="478" spans="1:18">
      <c r="A478">
        <v>47</v>
      </c>
      <c r="B478">
        <v>1</v>
      </c>
      <c r="C478">
        <v>3</v>
      </c>
      <c r="D478">
        <v>10</v>
      </c>
      <c r="E478">
        <v>3</v>
      </c>
      <c r="F478">
        <v>33.224253076029697</v>
      </c>
      <c r="G478">
        <v>60</v>
      </c>
      <c r="H478">
        <v>45</v>
      </c>
      <c r="I478">
        <v>45</v>
      </c>
      <c r="J478">
        <v>3</v>
      </c>
      <c r="K478">
        <v>0</v>
      </c>
      <c r="L478" s="2">
        <f t="shared" si="42"/>
        <v>45292</v>
      </c>
      <c r="M478" s="2">
        <f t="shared" ca="1" si="43"/>
        <v>45328</v>
      </c>
      <c r="N478" s="2" t="str">
        <f t="shared" ca="1" si="44"/>
        <v>N/A</v>
      </c>
      <c r="O478" s="3">
        <f t="shared" ca="1" si="45"/>
        <v>36</v>
      </c>
      <c r="P478" s="3" t="str">
        <f t="shared" ca="1" si="46"/>
        <v>N/A</v>
      </c>
      <c r="Q478" s="1" t="str">
        <f>IF(K478=1,"Joined",IF(H478&gt;=70,"Dropped at Offer",IF(H478&gt;=50,"Dropped at Interview","Dropped at Screening")))</f>
        <v>Dropped at Screening</v>
      </c>
      <c r="R478" s="1" t="str">
        <f t="shared" ca="1" si="47"/>
        <v>Feb-2024</v>
      </c>
    </row>
    <row r="479" spans="1:18">
      <c r="A479">
        <v>20</v>
      </c>
      <c r="B479">
        <v>0</v>
      </c>
      <c r="C479">
        <v>4</v>
      </c>
      <c r="D479">
        <v>8</v>
      </c>
      <c r="E479">
        <v>3</v>
      </c>
      <c r="F479">
        <v>10.1432263377436</v>
      </c>
      <c r="G479">
        <v>19</v>
      </c>
      <c r="H479">
        <v>53</v>
      </c>
      <c r="I479">
        <v>82</v>
      </c>
      <c r="J479">
        <v>3</v>
      </c>
      <c r="K479">
        <v>1</v>
      </c>
      <c r="L479" s="2">
        <f t="shared" si="42"/>
        <v>45292</v>
      </c>
      <c r="M479" s="2">
        <f t="shared" ca="1" si="43"/>
        <v>45312</v>
      </c>
      <c r="N479" s="2">
        <f t="shared" ca="1" si="44"/>
        <v>45326</v>
      </c>
      <c r="O479" s="3">
        <f t="shared" ca="1" si="45"/>
        <v>20</v>
      </c>
      <c r="P479" s="3">
        <f t="shared" ca="1" si="46"/>
        <v>14</v>
      </c>
      <c r="Q479" s="1" t="str">
        <f>IF(K479=1,"Joined",IF(H479&gt;=70,"Dropped at Offer",IF(H479&gt;=50,"Dropped at Interview","Dropped at Screening")))</f>
        <v>Joined</v>
      </c>
      <c r="R479" s="1" t="str">
        <f t="shared" ca="1" si="47"/>
        <v>Jan-2024</v>
      </c>
    </row>
    <row r="480" spans="1:18">
      <c r="A480">
        <v>39</v>
      </c>
      <c r="B480">
        <v>0</v>
      </c>
      <c r="C480">
        <v>2</v>
      </c>
      <c r="D480">
        <v>10</v>
      </c>
      <c r="E480">
        <v>5</v>
      </c>
      <c r="F480">
        <v>12.6202023107206</v>
      </c>
      <c r="G480">
        <v>9</v>
      </c>
      <c r="H480">
        <v>73</v>
      </c>
      <c r="I480">
        <v>27</v>
      </c>
      <c r="J480">
        <v>2</v>
      </c>
      <c r="K480">
        <v>0</v>
      </c>
      <c r="L480" s="2">
        <f t="shared" si="42"/>
        <v>45292</v>
      </c>
      <c r="M480" s="2">
        <f t="shared" ca="1" si="43"/>
        <v>45337</v>
      </c>
      <c r="N480" s="2" t="str">
        <f t="shared" ca="1" si="44"/>
        <v>N/A</v>
      </c>
      <c r="O480" s="3">
        <f t="shared" ca="1" si="45"/>
        <v>45</v>
      </c>
      <c r="P480" s="3" t="str">
        <f t="shared" ca="1" si="46"/>
        <v>N/A</v>
      </c>
      <c r="Q480" s="1" t="str">
        <f>IF(K480=1,"Joined",IF(H480&gt;=70,"Dropped at Offer",IF(H480&gt;=50,"Dropped at Interview","Dropped at Screening")))</f>
        <v>Dropped at Offer</v>
      </c>
      <c r="R480" s="1" t="str">
        <f t="shared" ca="1" si="47"/>
        <v>Feb-2024</v>
      </c>
    </row>
    <row r="481" spans="1:18">
      <c r="A481">
        <v>50</v>
      </c>
      <c r="B481">
        <v>0</v>
      </c>
      <c r="C481">
        <v>2</v>
      </c>
      <c r="D481">
        <v>12</v>
      </c>
      <c r="E481">
        <v>2</v>
      </c>
      <c r="F481">
        <v>32.781599932001903</v>
      </c>
      <c r="G481">
        <v>86</v>
      </c>
      <c r="H481">
        <v>94</v>
      </c>
      <c r="I481">
        <v>25</v>
      </c>
      <c r="J481">
        <v>1</v>
      </c>
      <c r="K481">
        <v>1</v>
      </c>
      <c r="L481" s="2">
        <f t="shared" si="42"/>
        <v>45292</v>
      </c>
      <c r="M481" s="2">
        <f t="shared" ca="1" si="43"/>
        <v>45331</v>
      </c>
      <c r="N481" s="2">
        <f t="shared" ca="1" si="44"/>
        <v>45340</v>
      </c>
      <c r="O481" s="3">
        <f t="shared" ca="1" si="45"/>
        <v>39</v>
      </c>
      <c r="P481" s="3">
        <f t="shared" ca="1" si="46"/>
        <v>9</v>
      </c>
      <c r="Q481" s="1" t="str">
        <f>IF(K481=1,"Joined",IF(H481&gt;=70,"Dropped at Offer",IF(H481&gt;=50,"Dropped at Interview","Dropped at Screening")))</f>
        <v>Joined</v>
      </c>
      <c r="R481" s="1" t="str">
        <f t="shared" ca="1" si="47"/>
        <v>Feb-2024</v>
      </c>
    </row>
    <row r="482" spans="1:18">
      <c r="A482">
        <v>48</v>
      </c>
      <c r="B482">
        <v>1</v>
      </c>
      <c r="C482">
        <v>3</v>
      </c>
      <c r="D482">
        <v>2</v>
      </c>
      <c r="E482">
        <v>3</v>
      </c>
      <c r="F482">
        <v>50.6471732891453</v>
      </c>
      <c r="G482">
        <v>33</v>
      </c>
      <c r="H482">
        <v>36</v>
      </c>
      <c r="I482">
        <v>9</v>
      </c>
      <c r="J482">
        <v>1</v>
      </c>
      <c r="K482">
        <v>0</v>
      </c>
      <c r="L482" s="2">
        <f t="shared" si="42"/>
        <v>45292</v>
      </c>
      <c r="M482" s="2">
        <f t="shared" ca="1" si="43"/>
        <v>45329</v>
      </c>
      <c r="N482" s="2" t="str">
        <f t="shared" ca="1" si="44"/>
        <v>N/A</v>
      </c>
      <c r="O482" s="3">
        <f t="shared" ca="1" si="45"/>
        <v>37</v>
      </c>
      <c r="P482" s="3" t="str">
        <f t="shared" ca="1" si="46"/>
        <v>N/A</v>
      </c>
      <c r="Q482" s="1" t="str">
        <f>IF(K482=1,"Joined",IF(H482&gt;=70,"Dropped at Offer",IF(H482&gt;=50,"Dropped at Interview","Dropped at Screening")))</f>
        <v>Dropped at Screening</v>
      </c>
      <c r="R482" s="1" t="str">
        <f t="shared" ca="1" si="47"/>
        <v>Feb-2024</v>
      </c>
    </row>
    <row r="483" spans="1:18">
      <c r="A483">
        <v>40</v>
      </c>
      <c r="B483">
        <v>0</v>
      </c>
      <c r="C483">
        <v>2</v>
      </c>
      <c r="D483">
        <v>14</v>
      </c>
      <c r="E483">
        <v>4</v>
      </c>
      <c r="F483">
        <v>39.885874453627501</v>
      </c>
      <c r="G483">
        <v>47</v>
      </c>
      <c r="H483">
        <v>22</v>
      </c>
      <c r="I483">
        <v>46</v>
      </c>
      <c r="J483">
        <v>2</v>
      </c>
      <c r="K483">
        <v>0</v>
      </c>
      <c r="L483" s="2">
        <f t="shared" si="42"/>
        <v>45292</v>
      </c>
      <c r="M483" s="2">
        <f t="shared" ca="1" si="43"/>
        <v>45325</v>
      </c>
      <c r="N483" s="2" t="str">
        <f t="shared" ca="1" si="44"/>
        <v>N/A</v>
      </c>
      <c r="O483" s="3">
        <f t="shared" ca="1" si="45"/>
        <v>33</v>
      </c>
      <c r="P483" s="3" t="str">
        <f t="shared" ca="1" si="46"/>
        <v>N/A</v>
      </c>
      <c r="Q483" s="1" t="str">
        <f>IF(K483=1,"Joined",IF(H483&gt;=70,"Dropped at Offer",IF(H483&gt;=50,"Dropped at Interview","Dropped at Screening")))</f>
        <v>Dropped at Screening</v>
      </c>
      <c r="R483" s="1" t="str">
        <f t="shared" ca="1" si="47"/>
        <v>Feb-2024</v>
      </c>
    </row>
    <row r="484" spans="1:18">
      <c r="A484">
        <v>42</v>
      </c>
      <c r="B484">
        <v>1</v>
      </c>
      <c r="C484">
        <v>1</v>
      </c>
      <c r="D484">
        <v>12</v>
      </c>
      <c r="E484">
        <v>3</v>
      </c>
      <c r="F484">
        <v>12.2919816111696</v>
      </c>
      <c r="G484">
        <v>32</v>
      </c>
      <c r="H484">
        <v>26</v>
      </c>
      <c r="I484">
        <v>3</v>
      </c>
      <c r="J484">
        <v>3</v>
      </c>
      <c r="K484">
        <v>0</v>
      </c>
      <c r="L484" s="2">
        <f t="shared" si="42"/>
        <v>45292</v>
      </c>
      <c r="M484" s="2">
        <f t="shared" ca="1" si="43"/>
        <v>45329</v>
      </c>
      <c r="N484" s="2" t="str">
        <f t="shared" ca="1" si="44"/>
        <v>N/A</v>
      </c>
      <c r="O484" s="3">
        <f t="shared" ca="1" si="45"/>
        <v>37</v>
      </c>
      <c r="P484" s="3" t="str">
        <f t="shared" ca="1" si="46"/>
        <v>N/A</v>
      </c>
      <c r="Q484" s="1" t="str">
        <f>IF(K484=1,"Joined",IF(H484&gt;=70,"Dropped at Offer",IF(H484&gt;=50,"Dropped at Interview","Dropped at Screening")))</f>
        <v>Dropped at Screening</v>
      </c>
      <c r="R484" s="1" t="str">
        <f t="shared" ca="1" si="47"/>
        <v>Feb-2024</v>
      </c>
    </row>
    <row r="485" spans="1:18">
      <c r="A485">
        <v>20</v>
      </c>
      <c r="B485">
        <v>1</v>
      </c>
      <c r="C485">
        <v>3</v>
      </c>
      <c r="D485">
        <v>4</v>
      </c>
      <c r="E485">
        <v>1</v>
      </c>
      <c r="F485">
        <v>9.8012377520566893</v>
      </c>
      <c r="G485">
        <v>97</v>
      </c>
      <c r="H485">
        <v>69</v>
      </c>
      <c r="I485">
        <v>54</v>
      </c>
      <c r="J485">
        <v>2</v>
      </c>
      <c r="K485">
        <v>0</v>
      </c>
      <c r="L485" s="2">
        <f t="shared" si="42"/>
        <v>45292</v>
      </c>
      <c r="M485" s="2">
        <f t="shared" ca="1" si="43"/>
        <v>45329</v>
      </c>
      <c r="N485" s="2" t="str">
        <f t="shared" ca="1" si="44"/>
        <v>N/A</v>
      </c>
      <c r="O485" s="3">
        <f t="shared" ca="1" si="45"/>
        <v>37</v>
      </c>
      <c r="P485" s="3" t="str">
        <f t="shared" ca="1" si="46"/>
        <v>N/A</v>
      </c>
      <c r="Q485" s="1" t="str">
        <f>IF(K485=1,"Joined",IF(H485&gt;=70,"Dropped at Offer",IF(H485&gt;=50,"Dropped at Interview","Dropped at Screening")))</f>
        <v>Dropped at Interview</v>
      </c>
      <c r="R485" s="1" t="str">
        <f t="shared" ca="1" si="47"/>
        <v>Feb-2024</v>
      </c>
    </row>
    <row r="486" spans="1:18">
      <c r="A486">
        <v>22</v>
      </c>
      <c r="B486">
        <v>0</v>
      </c>
      <c r="C486">
        <v>1</v>
      </c>
      <c r="D486">
        <v>10</v>
      </c>
      <c r="E486">
        <v>2</v>
      </c>
      <c r="F486">
        <v>44.311643513383501</v>
      </c>
      <c r="G486">
        <v>60</v>
      </c>
      <c r="H486">
        <v>89</v>
      </c>
      <c r="I486">
        <v>65</v>
      </c>
      <c r="J486">
        <v>2</v>
      </c>
      <c r="K486">
        <v>0</v>
      </c>
      <c r="L486" s="2">
        <f t="shared" si="42"/>
        <v>45292</v>
      </c>
      <c r="M486" s="2">
        <f t="shared" ca="1" si="43"/>
        <v>45328</v>
      </c>
      <c r="N486" s="2" t="str">
        <f t="shared" ca="1" si="44"/>
        <v>N/A</v>
      </c>
      <c r="O486" s="3">
        <f t="shared" ca="1" si="45"/>
        <v>36</v>
      </c>
      <c r="P486" s="3" t="str">
        <f t="shared" ca="1" si="46"/>
        <v>N/A</v>
      </c>
      <c r="Q486" s="1" t="str">
        <f>IF(K486=1,"Joined",IF(H486&gt;=70,"Dropped at Offer",IF(H486&gt;=50,"Dropped at Interview","Dropped at Screening")))</f>
        <v>Dropped at Offer</v>
      </c>
      <c r="R486" s="1" t="str">
        <f t="shared" ca="1" si="47"/>
        <v>Feb-2024</v>
      </c>
    </row>
    <row r="487" spans="1:18">
      <c r="A487">
        <v>37</v>
      </c>
      <c r="B487">
        <v>1</v>
      </c>
      <c r="C487">
        <v>2</v>
      </c>
      <c r="D487">
        <v>15</v>
      </c>
      <c r="E487">
        <v>5</v>
      </c>
      <c r="F487">
        <v>23.209197396075201</v>
      </c>
      <c r="G487">
        <v>9</v>
      </c>
      <c r="H487">
        <v>65</v>
      </c>
      <c r="I487">
        <v>66</v>
      </c>
      <c r="J487">
        <v>2</v>
      </c>
      <c r="K487">
        <v>0</v>
      </c>
      <c r="L487" s="2">
        <f t="shared" si="42"/>
        <v>45292</v>
      </c>
      <c r="M487" s="2">
        <f t="shared" ca="1" si="43"/>
        <v>45327</v>
      </c>
      <c r="N487" s="2" t="str">
        <f t="shared" ca="1" si="44"/>
        <v>N/A</v>
      </c>
      <c r="O487" s="3">
        <f t="shared" ca="1" si="45"/>
        <v>35</v>
      </c>
      <c r="P487" s="3" t="str">
        <f t="shared" ca="1" si="46"/>
        <v>N/A</v>
      </c>
      <c r="Q487" s="1" t="str">
        <f>IF(K487=1,"Joined",IF(H487&gt;=70,"Dropped at Offer",IF(H487&gt;=50,"Dropped at Interview","Dropped at Screening")))</f>
        <v>Dropped at Interview</v>
      </c>
      <c r="R487" s="1" t="str">
        <f t="shared" ca="1" si="47"/>
        <v>Feb-2024</v>
      </c>
    </row>
    <row r="488" spans="1:18">
      <c r="A488">
        <v>44</v>
      </c>
      <c r="B488">
        <v>0</v>
      </c>
      <c r="C488">
        <v>2</v>
      </c>
      <c r="D488">
        <v>9</v>
      </c>
      <c r="E488">
        <v>1</v>
      </c>
      <c r="F488">
        <v>7.85264014140777</v>
      </c>
      <c r="G488">
        <v>53</v>
      </c>
      <c r="H488">
        <v>60</v>
      </c>
      <c r="I488">
        <v>6</v>
      </c>
      <c r="J488">
        <v>2</v>
      </c>
      <c r="K488">
        <v>0</v>
      </c>
      <c r="L488" s="2">
        <f t="shared" si="42"/>
        <v>45292</v>
      </c>
      <c r="M488" s="2">
        <f t="shared" ca="1" si="43"/>
        <v>45332</v>
      </c>
      <c r="N488" s="2" t="str">
        <f t="shared" ca="1" si="44"/>
        <v>N/A</v>
      </c>
      <c r="O488" s="3">
        <f t="shared" ca="1" si="45"/>
        <v>40</v>
      </c>
      <c r="P488" s="3" t="str">
        <f t="shared" ca="1" si="46"/>
        <v>N/A</v>
      </c>
      <c r="Q488" s="1" t="str">
        <f>IF(K488=1,"Joined",IF(H488&gt;=70,"Dropped at Offer",IF(H488&gt;=50,"Dropped at Interview","Dropped at Screening")))</f>
        <v>Dropped at Interview</v>
      </c>
      <c r="R488" s="1" t="str">
        <f t="shared" ca="1" si="47"/>
        <v>Feb-2024</v>
      </c>
    </row>
    <row r="489" spans="1:18">
      <c r="A489">
        <v>29</v>
      </c>
      <c r="B489">
        <v>0</v>
      </c>
      <c r="C489">
        <v>2</v>
      </c>
      <c r="D489">
        <v>11</v>
      </c>
      <c r="E489">
        <v>1</v>
      </c>
      <c r="F489">
        <v>44.110571166096904</v>
      </c>
      <c r="G489">
        <v>83</v>
      </c>
      <c r="H489">
        <v>76</v>
      </c>
      <c r="I489">
        <v>54</v>
      </c>
      <c r="J489">
        <v>1</v>
      </c>
      <c r="K489">
        <v>1</v>
      </c>
      <c r="L489" s="2">
        <f t="shared" si="42"/>
        <v>45292</v>
      </c>
      <c r="M489" s="2">
        <f t="shared" ca="1" si="43"/>
        <v>45308</v>
      </c>
      <c r="N489" s="2">
        <f t="shared" ca="1" si="44"/>
        <v>45337</v>
      </c>
      <c r="O489" s="3">
        <f t="shared" ca="1" si="45"/>
        <v>16</v>
      </c>
      <c r="P489" s="3">
        <f t="shared" ca="1" si="46"/>
        <v>29</v>
      </c>
      <c r="Q489" s="1" t="str">
        <f>IF(K489=1,"Joined",IF(H489&gt;=70,"Dropped at Offer",IF(H489&gt;=50,"Dropped at Interview","Dropped at Screening")))</f>
        <v>Joined</v>
      </c>
      <c r="R489" s="1" t="str">
        <f t="shared" ca="1" si="47"/>
        <v>Jan-2024</v>
      </c>
    </row>
    <row r="490" spans="1:18">
      <c r="A490">
        <v>50</v>
      </c>
      <c r="B490">
        <v>0</v>
      </c>
      <c r="C490">
        <v>2</v>
      </c>
      <c r="D490">
        <v>15</v>
      </c>
      <c r="E490">
        <v>2</v>
      </c>
      <c r="F490">
        <v>41.804617645713002</v>
      </c>
      <c r="G490">
        <v>64</v>
      </c>
      <c r="H490">
        <v>50</v>
      </c>
      <c r="I490">
        <v>79</v>
      </c>
      <c r="J490">
        <v>2</v>
      </c>
      <c r="K490">
        <v>0</v>
      </c>
      <c r="L490" s="2">
        <f t="shared" si="42"/>
        <v>45292</v>
      </c>
      <c r="M490" s="2">
        <f t="shared" ca="1" si="43"/>
        <v>45316</v>
      </c>
      <c r="N490" s="2" t="str">
        <f t="shared" ca="1" si="44"/>
        <v>N/A</v>
      </c>
      <c r="O490" s="3">
        <f t="shared" ca="1" si="45"/>
        <v>24</v>
      </c>
      <c r="P490" s="3" t="str">
        <f t="shared" ca="1" si="46"/>
        <v>N/A</v>
      </c>
      <c r="Q490" s="1" t="str">
        <f>IF(K490=1,"Joined",IF(H490&gt;=70,"Dropped at Offer",IF(H490&gt;=50,"Dropped at Interview","Dropped at Screening")))</f>
        <v>Dropped at Interview</v>
      </c>
      <c r="R490" s="1" t="str">
        <f t="shared" ca="1" si="47"/>
        <v>Jan-2024</v>
      </c>
    </row>
    <row r="491" spans="1:18">
      <c r="A491">
        <v>41</v>
      </c>
      <c r="B491">
        <v>0</v>
      </c>
      <c r="C491">
        <v>3</v>
      </c>
      <c r="D491">
        <v>8</v>
      </c>
      <c r="E491">
        <v>5</v>
      </c>
      <c r="F491">
        <v>50.195318194858103</v>
      </c>
      <c r="G491">
        <v>76</v>
      </c>
      <c r="H491">
        <v>49</v>
      </c>
      <c r="I491">
        <v>30</v>
      </c>
      <c r="J491">
        <v>1</v>
      </c>
      <c r="K491">
        <v>1</v>
      </c>
      <c r="L491" s="2">
        <f t="shared" si="42"/>
        <v>45292</v>
      </c>
      <c r="M491" s="2">
        <f t="shared" ca="1" si="43"/>
        <v>45313</v>
      </c>
      <c r="N491" s="2">
        <f t="shared" ca="1" si="44"/>
        <v>45322</v>
      </c>
      <c r="O491" s="3">
        <f t="shared" ca="1" si="45"/>
        <v>21</v>
      </c>
      <c r="P491" s="3">
        <f t="shared" ca="1" si="46"/>
        <v>9</v>
      </c>
      <c r="Q491" s="1" t="str">
        <f>IF(K491=1,"Joined",IF(H491&gt;=70,"Dropped at Offer",IF(H491&gt;=50,"Dropped at Interview","Dropped at Screening")))</f>
        <v>Joined</v>
      </c>
      <c r="R491" s="1" t="str">
        <f t="shared" ca="1" si="47"/>
        <v>Jan-2024</v>
      </c>
    </row>
    <row r="492" spans="1:18">
      <c r="A492">
        <v>45</v>
      </c>
      <c r="B492">
        <v>0</v>
      </c>
      <c r="C492">
        <v>1</v>
      </c>
      <c r="D492">
        <v>5</v>
      </c>
      <c r="E492">
        <v>4</v>
      </c>
      <c r="F492">
        <v>46.487184335634197</v>
      </c>
      <c r="G492">
        <v>0</v>
      </c>
      <c r="H492">
        <v>18</v>
      </c>
      <c r="I492">
        <v>73</v>
      </c>
      <c r="J492">
        <v>1</v>
      </c>
      <c r="K492">
        <v>0</v>
      </c>
      <c r="L492" s="2">
        <f t="shared" si="42"/>
        <v>45292</v>
      </c>
      <c r="M492" s="2">
        <f t="shared" ca="1" si="43"/>
        <v>45331</v>
      </c>
      <c r="N492" s="2" t="str">
        <f t="shared" ca="1" si="44"/>
        <v>N/A</v>
      </c>
      <c r="O492" s="3">
        <f t="shared" ca="1" si="45"/>
        <v>39</v>
      </c>
      <c r="P492" s="3" t="str">
        <f t="shared" ca="1" si="46"/>
        <v>N/A</v>
      </c>
      <c r="Q492" s="1" t="str">
        <f>IF(K492=1,"Joined",IF(H492&gt;=70,"Dropped at Offer",IF(H492&gt;=50,"Dropped at Interview","Dropped at Screening")))</f>
        <v>Dropped at Screening</v>
      </c>
      <c r="R492" s="1" t="str">
        <f t="shared" ca="1" si="47"/>
        <v>Feb-2024</v>
      </c>
    </row>
    <row r="493" spans="1:18">
      <c r="A493">
        <v>22</v>
      </c>
      <c r="B493">
        <v>1</v>
      </c>
      <c r="C493">
        <v>2</v>
      </c>
      <c r="D493">
        <v>11</v>
      </c>
      <c r="E493">
        <v>5</v>
      </c>
      <c r="F493">
        <v>43.589516933026999</v>
      </c>
      <c r="G493">
        <v>4</v>
      </c>
      <c r="H493">
        <v>0</v>
      </c>
      <c r="I493">
        <v>18</v>
      </c>
      <c r="J493">
        <v>2</v>
      </c>
      <c r="K493">
        <v>0</v>
      </c>
      <c r="L493" s="2">
        <f t="shared" si="42"/>
        <v>45292</v>
      </c>
      <c r="M493" s="2">
        <f t="shared" ca="1" si="43"/>
        <v>45328</v>
      </c>
      <c r="N493" s="2" t="str">
        <f t="shared" ca="1" si="44"/>
        <v>N/A</v>
      </c>
      <c r="O493" s="3">
        <f t="shared" ca="1" si="45"/>
        <v>36</v>
      </c>
      <c r="P493" s="3" t="str">
        <f t="shared" ca="1" si="46"/>
        <v>N/A</v>
      </c>
      <c r="Q493" s="1" t="str">
        <f>IF(K493=1,"Joined",IF(H493&gt;=70,"Dropped at Offer",IF(H493&gt;=50,"Dropped at Interview","Dropped at Screening")))</f>
        <v>Dropped at Screening</v>
      </c>
      <c r="R493" s="1" t="str">
        <f t="shared" ca="1" si="47"/>
        <v>Feb-2024</v>
      </c>
    </row>
    <row r="494" spans="1:18">
      <c r="A494">
        <v>27</v>
      </c>
      <c r="B494">
        <v>1</v>
      </c>
      <c r="C494">
        <v>3</v>
      </c>
      <c r="D494">
        <v>8</v>
      </c>
      <c r="E494">
        <v>3</v>
      </c>
      <c r="F494">
        <v>3.6287198905501499</v>
      </c>
      <c r="G494">
        <v>79</v>
      </c>
      <c r="H494">
        <v>39</v>
      </c>
      <c r="I494">
        <v>27</v>
      </c>
      <c r="J494">
        <v>1</v>
      </c>
      <c r="K494">
        <v>1</v>
      </c>
      <c r="L494" s="2">
        <f t="shared" si="42"/>
        <v>45292</v>
      </c>
      <c r="M494" s="2">
        <f t="shared" ca="1" si="43"/>
        <v>45306</v>
      </c>
      <c r="N494" s="2">
        <f t="shared" ca="1" si="44"/>
        <v>45332</v>
      </c>
      <c r="O494" s="3">
        <f t="shared" ca="1" si="45"/>
        <v>14</v>
      </c>
      <c r="P494" s="3">
        <f t="shared" ca="1" si="46"/>
        <v>26</v>
      </c>
      <c r="Q494" s="1" t="str">
        <f>IF(K494=1,"Joined",IF(H494&gt;=70,"Dropped at Offer",IF(H494&gt;=50,"Dropped at Interview","Dropped at Screening")))</f>
        <v>Joined</v>
      </c>
      <c r="R494" s="1" t="str">
        <f t="shared" ca="1" si="47"/>
        <v>Jan-2024</v>
      </c>
    </row>
    <row r="495" spans="1:18">
      <c r="A495">
        <v>33</v>
      </c>
      <c r="B495">
        <v>1</v>
      </c>
      <c r="C495">
        <v>2</v>
      </c>
      <c r="D495">
        <v>7</v>
      </c>
      <c r="E495">
        <v>1</v>
      </c>
      <c r="F495">
        <v>6.2207684749059</v>
      </c>
      <c r="G495">
        <v>14</v>
      </c>
      <c r="H495">
        <v>31</v>
      </c>
      <c r="I495">
        <v>80</v>
      </c>
      <c r="J495">
        <v>1</v>
      </c>
      <c r="K495">
        <v>1</v>
      </c>
      <c r="L495" s="2">
        <f t="shared" si="42"/>
        <v>45292</v>
      </c>
      <c r="M495" s="2">
        <f t="shared" ca="1" si="43"/>
        <v>45317</v>
      </c>
      <c r="N495" s="2">
        <f t="shared" ca="1" si="44"/>
        <v>45339</v>
      </c>
      <c r="O495" s="3">
        <f t="shared" ca="1" si="45"/>
        <v>25</v>
      </c>
      <c r="P495" s="3">
        <f t="shared" ca="1" si="46"/>
        <v>22</v>
      </c>
      <c r="Q495" s="1" t="str">
        <f>IF(K495=1,"Joined",IF(H495&gt;=70,"Dropped at Offer",IF(H495&gt;=50,"Dropped at Interview","Dropped at Screening")))</f>
        <v>Joined</v>
      </c>
      <c r="R495" s="1" t="str">
        <f t="shared" ca="1" si="47"/>
        <v>Jan-2024</v>
      </c>
    </row>
    <row r="496" spans="1:18">
      <c r="A496">
        <v>43</v>
      </c>
      <c r="B496">
        <v>0</v>
      </c>
      <c r="C496">
        <v>1</v>
      </c>
      <c r="D496">
        <v>7</v>
      </c>
      <c r="E496">
        <v>3</v>
      </c>
      <c r="F496">
        <v>29.4491597152061</v>
      </c>
      <c r="G496">
        <v>27</v>
      </c>
      <c r="H496">
        <v>21</v>
      </c>
      <c r="I496">
        <v>27</v>
      </c>
      <c r="J496">
        <v>1</v>
      </c>
      <c r="K496">
        <v>0</v>
      </c>
      <c r="L496" s="2">
        <f t="shared" si="42"/>
        <v>45292</v>
      </c>
      <c r="M496" s="2">
        <f t="shared" ca="1" si="43"/>
        <v>45329</v>
      </c>
      <c r="N496" s="2" t="str">
        <f t="shared" ca="1" si="44"/>
        <v>N/A</v>
      </c>
      <c r="O496" s="3">
        <f t="shared" ca="1" si="45"/>
        <v>37</v>
      </c>
      <c r="P496" s="3" t="str">
        <f t="shared" ca="1" si="46"/>
        <v>N/A</v>
      </c>
      <c r="Q496" s="1" t="str">
        <f>IF(K496=1,"Joined",IF(H496&gt;=70,"Dropped at Offer",IF(H496&gt;=50,"Dropped at Interview","Dropped at Screening")))</f>
        <v>Dropped at Screening</v>
      </c>
      <c r="R496" s="1" t="str">
        <f t="shared" ca="1" si="47"/>
        <v>Feb-2024</v>
      </c>
    </row>
    <row r="497" spans="1:18">
      <c r="A497">
        <v>37</v>
      </c>
      <c r="B497">
        <v>0</v>
      </c>
      <c r="C497">
        <v>3</v>
      </c>
      <c r="D497">
        <v>0</v>
      </c>
      <c r="E497">
        <v>4</v>
      </c>
      <c r="F497">
        <v>27.573962314090998</v>
      </c>
      <c r="G497">
        <v>94</v>
      </c>
      <c r="H497">
        <v>92</v>
      </c>
      <c r="I497">
        <v>18</v>
      </c>
      <c r="J497">
        <v>3</v>
      </c>
      <c r="K497">
        <v>0</v>
      </c>
      <c r="L497" s="2">
        <f t="shared" si="42"/>
        <v>45292</v>
      </c>
      <c r="M497" s="2">
        <f t="shared" ca="1" si="43"/>
        <v>45316</v>
      </c>
      <c r="N497" s="2" t="str">
        <f t="shared" ca="1" si="44"/>
        <v>N/A</v>
      </c>
      <c r="O497" s="3">
        <f t="shared" ca="1" si="45"/>
        <v>24</v>
      </c>
      <c r="P497" s="3" t="str">
        <f t="shared" ca="1" si="46"/>
        <v>N/A</v>
      </c>
      <c r="Q497" s="1" t="str">
        <f>IF(K497=1,"Joined",IF(H497&gt;=70,"Dropped at Offer",IF(H497&gt;=50,"Dropped at Interview","Dropped at Screening")))</f>
        <v>Dropped at Offer</v>
      </c>
      <c r="R497" s="1" t="str">
        <f t="shared" ca="1" si="47"/>
        <v>Jan-2024</v>
      </c>
    </row>
    <row r="498" spans="1:18">
      <c r="A498">
        <v>34</v>
      </c>
      <c r="B498">
        <v>0</v>
      </c>
      <c r="C498">
        <v>2</v>
      </c>
      <c r="D498">
        <v>12</v>
      </c>
      <c r="E498">
        <v>3</v>
      </c>
      <c r="F498">
        <v>23.8981607244767</v>
      </c>
      <c r="G498">
        <v>22</v>
      </c>
      <c r="H498">
        <v>65</v>
      </c>
      <c r="I498">
        <v>100</v>
      </c>
      <c r="J498">
        <v>2</v>
      </c>
      <c r="K498">
        <v>0</v>
      </c>
      <c r="L498" s="2">
        <f t="shared" si="42"/>
        <v>45292</v>
      </c>
      <c r="M498" s="2">
        <f t="shared" ca="1" si="43"/>
        <v>45327</v>
      </c>
      <c r="N498" s="2" t="str">
        <f t="shared" ca="1" si="44"/>
        <v>N/A</v>
      </c>
      <c r="O498" s="3">
        <f t="shared" ca="1" si="45"/>
        <v>35</v>
      </c>
      <c r="P498" s="3" t="str">
        <f t="shared" ca="1" si="46"/>
        <v>N/A</v>
      </c>
      <c r="Q498" s="1" t="str">
        <f>IF(K498=1,"Joined",IF(H498&gt;=70,"Dropped at Offer",IF(H498&gt;=50,"Dropped at Interview","Dropped at Screening")))</f>
        <v>Dropped at Interview</v>
      </c>
      <c r="R498" s="1" t="str">
        <f t="shared" ca="1" si="47"/>
        <v>Feb-2024</v>
      </c>
    </row>
    <row r="499" spans="1:18">
      <c r="A499">
        <v>41</v>
      </c>
      <c r="B499">
        <v>1</v>
      </c>
      <c r="C499">
        <v>3</v>
      </c>
      <c r="D499">
        <v>8</v>
      </c>
      <c r="E499">
        <v>5</v>
      </c>
      <c r="F499">
        <v>20.839466270729201</v>
      </c>
      <c r="G499">
        <v>16</v>
      </c>
      <c r="H499">
        <v>39</v>
      </c>
      <c r="I499">
        <v>86</v>
      </c>
      <c r="J499">
        <v>1</v>
      </c>
      <c r="K499">
        <v>1</v>
      </c>
      <c r="L499" s="2">
        <f t="shared" si="42"/>
        <v>45292</v>
      </c>
      <c r="M499" s="2">
        <f t="shared" ca="1" si="43"/>
        <v>45316</v>
      </c>
      <c r="N499" s="2">
        <f t="shared" ca="1" si="44"/>
        <v>45337</v>
      </c>
      <c r="O499" s="3">
        <f t="shared" ca="1" si="45"/>
        <v>24</v>
      </c>
      <c r="P499" s="3">
        <f t="shared" ca="1" si="46"/>
        <v>21</v>
      </c>
      <c r="Q499" s="1" t="str">
        <f>IF(K499=1,"Joined",IF(H499&gt;=70,"Dropped at Offer",IF(H499&gt;=50,"Dropped at Interview","Dropped at Screening")))</f>
        <v>Joined</v>
      </c>
      <c r="R499" s="1" t="str">
        <f t="shared" ca="1" si="47"/>
        <v>Jan-2024</v>
      </c>
    </row>
    <row r="500" spans="1:18">
      <c r="A500">
        <v>42</v>
      </c>
      <c r="B500">
        <v>0</v>
      </c>
      <c r="C500">
        <v>3</v>
      </c>
      <c r="D500">
        <v>5</v>
      </c>
      <c r="E500">
        <v>3</v>
      </c>
      <c r="F500">
        <v>22.560524243216399</v>
      </c>
      <c r="G500">
        <v>97</v>
      </c>
      <c r="H500">
        <v>37</v>
      </c>
      <c r="I500">
        <v>19</v>
      </c>
      <c r="J500">
        <v>2</v>
      </c>
      <c r="K500">
        <v>0</v>
      </c>
      <c r="L500" s="2">
        <f t="shared" si="42"/>
        <v>45292</v>
      </c>
      <c r="M500" s="2">
        <f t="shared" ca="1" si="43"/>
        <v>45329</v>
      </c>
      <c r="N500" s="2" t="str">
        <f t="shared" ca="1" si="44"/>
        <v>N/A</v>
      </c>
      <c r="O500" s="3">
        <f t="shared" ca="1" si="45"/>
        <v>37</v>
      </c>
      <c r="P500" s="3" t="str">
        <f t="shared" ca="1" si="46"/>
        <v>N/A</v>
      </c>
      <c r="Q500" s="1" t="str">
        <f>IF(K500=1,"Joined",IF(H500&gt;=70,"Dropped at Offer",IF(H500&gt;=50,"Dropped at Interview","Dropped at Screening")))</f>
        <v>Dropped at Screening</v>
      </c>
      <c r="R500" s="1" t="str">
        <f t="shared" ca="1" si="47"/>
        <v>Feb-2024</v>
      </c>
    </row>
    <row r="501" spans="1:18">
      <c r="A501">
        <v>21</v>
      </c>
      <c r="B501">
        <v>1</v>
      </c>
      <c r="C501">
        <v>2</v>
      </c>
      <c r="D501">
        <v>15</v>
      </c>
      <c r="E501">
        <v>4</v>
      </c>
      <c r="F501">
        <v>29.464896706739701</v>
      </c>
      <c r="G501">
        <v>12</v>
      </c>
      <c r="H501">
        <v>47</v>
      </c>
      <c r="I501">
        <v>12</v>
      </c>
      <c r="J501">
        <v>1</v>
      </c>
      <c r="K501">
        <v>0</v>
      </c>
      <c r="L501" s="2">
        <f t="shared" si="42"/>
        <v>45292</v>
      </c>
      <c r="M501" s="2">
        <f t="shared" ca="1" si="43"/>
        <v>45315</v>
      </c>
      <c r="N501" s="2" t="str">
        <f t="shared" ca="1" si="44"/>
        <v>N/A</v>
      </c>
      <c r="O501" s="3">
        <f t="shared" ca="1" si="45"/>
        <v>23</v>
      </c>
      <c r="P501" s="3" t="str">
        <f t="shared" ca="1" si="46"/>
        <v>N/A</v>
      </c>
      <c r="Q501" s="1" t="str">
        <f>IF(K501=1,"Joined",IF(H501&gt;=70,"Dropped at Offer",IF(H501&gt;=50,"Dropped at Interview","Dropped at Screening")))</f>
        <v>Dropped at Screening</v>
      </c>
      <c r="R501" s="1" t="str">
        <f t="shared" ca="1" si="47"/>
        <v>Jan-2024</v>
      </c>
    </row>
    <row r="502" spans="1:18">
      <c r="A502">
        <v>50</v>
      </c>
      <c r="B502">
        <v>1</v>
      </c>
      <c r="C502">
        <v>2</v>
      </c>
      <c r="D502">
        <v>8</v>
      </c>
      <c r="E502">
        <v>4</v>
      </c>
      <c r="F502">
        <v>1.1038258800040599</v>
      </c>
      <c r="G502">
        <v>13</v>
      </c>
      <c r="H502">
        <v>54</v>
      </c>
      <c r="I502">
        <v>76</v>
      </c>
      <c r="J502">
        <v>2</v>
      </c>
      <c r="K502">
        <v>0</v>
      </c>
      <c r="L502" s="2">
        <f t="shared" si="42"/>
        <v>45292</v>
      </c>
      <c r="M502" s="2">
        <f t="shared" ca="1" si="43"/>
        <v>45316</v>
      </c>
      <c r="N502" s="2" t="str">
        <f t="shared" ca="1" si="44"/>
        <v>N/A</v>
      </c>
      <c r="O502" s="3">
        <f t="shared" ca="1" si="45"/>
        <v>24</v>
      </c>
      <c r="P502" s="3" t="str">
        <f t="shared" ca="1" si="46"/>
        <v>N/A</v>
      </c>
      <c r="Q502" s="1" t="str">
        <f>IF(K502=1,"Joined",IF(H502&gt;=70,"Dropped at Offer",IF(H502&gt;=50,"Dropped at Interview","Dropped at Screening")))</f>
        <v>Dropped at Interview</v>
      </c>
      <c r="R502" s="1" t="str">
        <f t="shared" ca="1" si="47"/>
        <v>Jan-2024</v>
      </c>
    </row>
    <row r="503" spans="1:18">
      <c r="A503">
        <v>46</v>
      </c>
      <c r="B503">
        <v>0</v>
      </c>
      <c r="C503">
        <v>4</v>
      </c>
      <c r="D503">
        <v>2</v>
      </c>
      <c r="E503">
        <v>4</v>
      </c>
      <c r="F503">
        <v>14.0354387066426</v>
      </c>
      <c r="G503">
        <v>10</v>
      </c>
      <c r="H503">
        <v>74</v>
      </c>
      <c r="I503">
        <v>42</v>
      </c>
      <c r="J503">
        <v>2</v>
      </c>
      <c r="K503">
        <v>0</v>
      </c>
      <c r="L503" s="2">
        <f t="shared" si="42"/>
        <v>45292</v>
      </c>
      <c r="M503" s="2">
        <f t="shared" ca="1" si="43"/>
        <v>45311</v>
      </c>
      <c r="N503" s="2" t="str">
        <f t="shared" ca="1" si="44"/>
        <v>N/A</v>
      </c>
      <c r="O503" s="3">
        <f t="shared" ca="1" si="45"/>
        <v>19</v>
      </c>
      <c r="P503" s="3" t="str">
        <f t="shared" ca="1" si="46"/>
        <v>N/A</v>
      </c>
      <c r="Q503" s="1" t="str">
        <f>IF(K503=1,"Joined",IF(H503&gt;=70,"Dropped at Offer",IF(H503&gt;=50,"Dropped at Interview","Dropped at Screening")))</f>
        <v>Dropped at Offer</v>
      </c>
      <c r="R503" s="1" t="str">
        <f t="shared" ca="1" si="47"/>
        <v>Jan-2024</v>
      </c>
    </row>
    <row r="504" spans="1:18">
      <c r="A504">
        <v>29</v>
      </c>
      <c r="B504">
        <v>0</v>
      </c>
      <c r="C504">
        <v>1</v>
      </c>
      <c r="D504">
        <v>11</v>
      </c>
      <c r="E504">
        <v>5</v>
      </c>
      <c r="F504">
        <v>26.913986034435499</v>
      </c>
      <c r="G504">
        <v>27</v>
      </c>
      <c r="H504">
        <v>80</v>
      </c>
      <c r="I504">
        <v>10</v>
      </c>
      <c r="J504">
        <v>3</v>
      </c>
      <c r="K504">
        <v>0</v>
      </c>
      <c r="L504" s="2">
        <f t="shared" si="42"/>
        <v>45292</v>
      </c>
      <c r="M504" s="2">
        <f t="shared" ca="1" si="43"/>
        <v>45333</v>
      </c>
      <c r="N504" s="2" t="str">
        <f t="shared" ca="1" si="44"/>
        <v>N/A</v>
      </c>
      <c r="O504" s="3">
        <f t="shared" ca="1" si="45"/>
        <v>41</v>
      </c>
      <c r="P504" s="3" t="str">
        <f t="shared" ca="1" si="46"/>
        <v>N/A</v>
      </c>
      <c r="Q504" s="1" t="str">
        <f>IF(K504=1,"Joined",IF(H504&gt;=70,"Dropped at Offer",IF(H504&gt;=50,"Dropped at Interview","Dropped at Screening")))</f>
        <v>Dropped at Offer</v>
      </c>
      <c r="R504" s="1" t="str">
        <f t="shared" ca="1" si="47"/>
        <v>Feb-2024</v>
      </c>
    </row>
    <row r="505" spans="1:18">
      <c r="A505">
        <v>21</v>
      </c>
      <c r="B505">
        <v>1</v>
      </c>
      <c r="C505">
        <v>3</v>
      </c>
      <c r="D505">
        <v>2</v>
      </c>
      <c r="E505">
        <v>4</v>
      </c>
      <c r="F505">
        <v>37.110804933682303</v>
      </c>
      <c r="G505">
        <v>41</v>
      </c>
      <c r="H505">
        <v>54</v>
      </c>
      <c r="I505">
        <v>47</v>
      </c>
      <c r="J505">
        <v>2</v>
      </c>
      <c r="K505">
        <v>0</v>
      </c>
      <c r="L505" s="2">
        <f t="shared" si="42"/>
        <v>45292</v>
      </c>
      <c r="M505" s="2">
        <f t="shared" ca="1" si="43"/>
        <v>45324</v>
      </c>
      <c r="N505" s="2" t="str">
        <f t="shared" ca="1" si="44"/>
        <v>N/A</v>
      </c>
      <c r="O505" s="3">
        <f t="shared" ca="1" si="45"/>
        <v>32</v>
      </c>
      <c r="P505" s="3" t="str">
        <f t="shared" ca="1" si="46"/>
        <v>N/A</v>
      </c>
      <c r="Q505" s="1" t="str">
        <f>IF(K505=1,"Joined",IF(H505&gt;=70,"Dropped at Offer",IF(H505&gt;=50,"Dropped at Interview","Dropped at Screening")))</f>
        <v>Dropped at Interview</v>
      </c>
      <c r="R505" s="1" t="str">
        <f t="shared" ca="1" si="47"/>
        <v>Feb-2024</v>
      </c>
    </row>
    <row r="506" spans="1:18">
      <c r="A506">
        <v>45</v>
      </c>
      <c r="B506">
        <v>0</v>
      </c>
      <c r="C506">
        <v>1</v>
      </c>
      <c r="D506">
        <v>5</v>
      </c>
      <c r="E506">
        <v>1</v>
      </c>
      <c r="F506">
        <v>9.7078346197698107</v>
      </c>
      <c r="G506">
        <v>95</v>
      </c>
      <c r="H506">
        <v>50</v>
      </c>
      <c r="I506">
        <v>14</v>
      </c>
      <c r="J506">
        <v>3</v>
      </c>
      <c r="K506">
        <v>0</v>
      </c>
      <c r="L506" s="2">
        <f t="shared" si="42"/>
        <v>45292</v>
      </c>
      <c r="M506" s="2">
        <f t="shared" ca="1" si="43"/>
        <v>45313</v>
      </c>
      <c r="N506" s="2" t="str">
        <f t="shared" ca="1" si="44"/>
        <v>N/A</v>
      </c>
      <c r="O506" s="3">
        <f t="shared" ca="1" si="45"/>
        <v>21</v>
      </c>
      <c r="P506" s="3" t="str">
        <f t="shared" ca="1" si="46"/>
        <v>N/A</v>
      </c>
      <c r="Q506" s="1" t="str">
        <f>IF(K506=1,"Joined",IF(H506&gt;=70,"Dropped at Offer",IF(H506&gt;=50,"Dropped at Interview","Dropped at Screening")))</f>
        <v>Dropped at Interview</v>
      </c>
      <c r="R506" s="1" t="str">
        <f t="shared" ca="1" si="47"/>
        <v>Jan-2024</v>
      </c>
    </row>
    <row r="507" spans="1:18">
      <c r="A507">
        <v>36</v>
      </c>
      <c r="B507">
        <v>1</v>
      </c>
      <c r="C507">
        <v>2</v>
      </c>
      <c r="D507">
        <v>8</v>
      </c>
      <c r="E507">
        <v>4</v>
      </c>
      <c r="F507">
        <v>28.3440586893716</v>
      </c>
      <c r="G507">
        <v>98</v>
      </c>
      <c r="H507">
        <v>59</v>
      </c>
      <c r="I507">
        <v>16</v>
      </c>
      <c r="J507">
        <v>3</v>
      </c>
      <c r="K507">
        <v>0</v>
      </c>
      <c r="L507" s="2">
        <f t="shared" si="42"/>
        <v>45292</v>
      </c>
      <c r="M507" s="2">
        <f t="shared" ca="1" si="43"/>
        <v>45315</v>
      </c>
      <c r="N507" s="2" t="str">
        <f t="shared" ca="1" si="44"/>
        <v>N/A</v>
      </c>
      <c r="O507" s="3">
        <f t="shared" ca="1" si="45"/>
        <v>23</v>
      </c>
      <c r="P507" s="3" t="str">
        <f t="shared" ca="1" si="46"/>
        <v>N/A</v>
      </c>
      <c r="Q507" s="1" t="str">
        <f>IF(K507=1,"Joined",IF(H507&gt;=70,"Dropped at Offer",IF(H507&gt;=50,"Dropped at Interview","Dropped at Screening")))</f>
        <v>Dropped at Interview</v>
      </c>
      <c r="R507" s="1" t="str">
        <f t="shared" ca="1" si="47"/>
        <v>Jan-2024</v>
      </c>
    </row>
    <row r="508" spans="1:18">
      <c r="A508">
        <v>27</v>
      </c>
      <c r="B508">
        <v>0</v>
      </c>
      <c r="C508">
        <v>2</v>
      </c>
      <c r="D508">
        <v>6</v>
      </c>
      <c r="E508">
        <v>3</v>
      </c>
      <c r="F508">
        <v>36.722984194288998</v>
      </c>
      <c r="G508">
        <v>60</v>
      </c>
      <c r="H508">
        <v>7</v>
      </c>
      <c r="I508">
        <v>53</v>
      </c>
      <c r="J508">
        <v>3</v>
      </c>
      <c r="K508">
        <v>0</v>
      </c>
      <c r="L508" s="2">
        <f t="shared" si="42"/>
        <v>45292</v>
      </c>
      <c r="M508" s="2">
        <f t="shared" ca="1" si="43"/>
        <v>45326</v>
      </c>
      <c r="N508" s="2" t="str">
        <f t="shared" ca="1" si="44"/>
        <v>N/A</v>
      </c>
      <c r="O508" s="3">
        <f t="shared" ca="1" si="45"/>
        <v>34</v>
      </c>
      <c r="P508" s="3" t="str">
        <f t="shared" ca="1" si="46"/>
        <v>N/A</v>
      </c>
      <c r="Q508" s="1" t="str">
        <f>IF(K508=1,"Joined",IF(H508&gt;=70,"Dropped at Offer",IF(H508&gt;=50,"Dropped at Interview","Dropped at Screening")))</f>
        <v>Dropped at Screening</v>
      </c>
      <c r="R508" s="1" t="str">
        <f t="shared" ca="1" si="47"/>
        <v>Feb-2024</v>
      </c>
    </row>
    <row r="509" spans="1:18">
      <c r="A509">
        <v>20</v>
      </c>
      <c r="B509">
        <v>0</v>
      </c>
      <c r="C509">
        <v>4</v>
      </c>
      <c r="D509">
        <v>13</v>
      </c>
      <c r="E509">
        <v>3</v>
      </c>
      <c r="F509">
        <v>23.231382895695202</v>
      </c>
      <c r="G509">
        <v>63</v>
      </c>
      <c r="H509">
        <v>85</v>
      </c>
      <c r="I509">
        <v>49</v>
      </c>
      <c r="J509">
        <v>2</v>
      </c>
      <c r="K509">
        <v>0</v>
      </c>
      <c r="L509" s="2">
        <f t="shared" si="42"/>
        <v>45292</v>
      </c>
      <c r="M509" s="2">
        <f t="shared" ca="1" si="43"/>
        <v>45320</v>
      </c>
      <c r="N509" s="2" t="str">
        <f t="shared" ca="1" si="44"/>
        <v>N/A</v>
      </c>
      <c r="O509" s="3">
        <f t="shared" ca="1" si="45"/>
        <v>28</v>
      </c>
      <c r="P509" s="3" t="str">
        <f t="shared" ca="1" si="46"/>
        <v>N/A</v>
      </c>
      <c r="Q509" s="1" t="str">
        <f>IF(K509=1,"Joined",IF(H509&gt;=70,"Dropped at Offer",IF(H509&gt;=50,"Dropped at Interview","Dropped at Screening")))</f>
        <v>Dropped at Offer</v>
      </c>
      <c r="R509" s="1" t="str">
        <f t="shared" ca="1" si="47"/>
        <v>Jan-2024</v>
      </c>
    </row>
    <row r="510" spans="1:18">
      <c r="A510">
        <v>28</v>
      </c>
      <c r="B510">
        <v>1</v>
      </c>
      <c r="C510">
        <v>4</v>
      </c>
      <c r="D510">
        <v>12</v>
      </c>
      <c r="E510">
        <v>3</v>
      </c>
      <c r="F510">
        <v>2.35405668350255</v>
      </c>
      <c r="G510">
        <v>30</v>
      </c>
      <c r="H510">
        <v>67</v>
      </c>
      <c r="I510">
        <v>27</v>
      </c>
      <c r="J510">
        <v>2</v>
      </c>
      <c r="K510">
        <v>0</v>
      </c>
      <c r="L510" s="2">
        <f t="shared" si="42"/>
        <v>45292</v>
      </c>
      <c r="M510" s="2">
        <f t="shared" ca="1" si="43"/>
        <v>45329</v>
      </c>
      <c r="N510" s="2" t="str">
        <f t="shared" ca="1" si="44"/>
        <v>N/A</v>
      </c>
      <c r="O510" s="3">
        <f t="shared" ca="1" si="45"/>
        <v>37</v>
      </c>
      <c r="P510" s="3" t="str">
        <f t="shared" ca="1" si="46"/>
        <v>N/A</v>
      </c>
      <c r="Q510" s="1" t="str">
        <f>IF(K510=1,"Joined",IF(H510&gt;=70,"Dropped at Offer",IF(H510&gt;=50,"Dropped at Interview","Dropped at Screening")))</f>
        <v>Dropped at Interview</v>
      </c>
      <c r="R510" s="1" t="str">
        <f t="shared" ca="1" si="47"/>
        <v>Feb-2024</v>
      </c>
    </row>
    <row r="511" spans="1:18">
      <c r="A511">
        <v>30</v>
      </c>
      <c r="B511">
        <v>0</v>
      </c>
      <c r="C511">
        <v>1</v>
      </c>
      <c r="D511">
        <v>2</v>
      </c>
      <c r="E511">
        <v>5</v>
      </c>
      <c r="F511">
        <v>23.4634079232818</v>
      </c>
      <c r="G511">
        <v>80</v>
      </c>
      <c r="H511">
        <v>74</v>
      </c>
      <c r="I511">
        <v>82</v>
      </c>
      <c r="J511">
        <v>2</v>
      </c>
      <c r="K511">
        <v>0</v>
      </c>
      <c r="L511" s="2">
        <f t="shared" si="42"/>
        <v>45292</v>
      </c>
      <c r="M511" s="2">
        <f t="shared" ca="1" si="43"/>
        <v>45306</v>
      </c>
      <c r="N511" s="2" t="str">
        <f t="shared" ca="1" si="44"/>
        <v>N/A</v>
      </c>
      <c r="O511" s="3">
        <f t="shared" ca="1" si="45"/>
        <v>14</v>
      </c>
      <c r="P511" s="3" t="str">
        <f t="shared" ca="1" si="46"/>
        <v>N/A</v>
      </c>
      <c r="Q511" s="1" t="str">
        <f>IF(K511=1,"Joined",IF(H511&gt;=70,"Dropped at Offer",IF(H511&gt;=50,"Dropped at Interview","Dropped at Screening")))</f>
        <v>Dropped at Offer</v>
      </c>
      <c r="R511" s="1" t="str">
        <f t="shared" ca="1" si="47"/>
        <v>Jan-2024</v>
      </c>
    </row>
    <row r="512" spans="1:18">
      <c r="A512">
        <v>41</v>
      </c>
      <c r="B512">
        <v>1</v>
      </c>
      <c r="C512">
        <v>1</v>
      </c>
      <c r="D512">
        <v>2</v>
      </c>
      <c r="E512">
        <v>3</v>
      </c>
      <c r="F512">
        <v>15.822244387207601</v>
      </c>
      <c r="G512">
        <v>72</v>
      </c>
      <c r="H512">
        <v>71</v>
      </c>
      <c r="I512">
        <v>3</v>
      </c>
      <c r="J512">
        <v>1</v>
      </c>
      <c r="K512">
        <v>1</v>
      </c>
      <c r="L512" s="2">
        <f t="shared" si="42"/>
        <v>45292</v>
      </c>
      <c r="M512" s="2">
        <f t="shared" ca="1" si="43"/>
        <v>45320</v>
      </c>
      <c r="N512" s="2">
        <f t="shared" ca="1" si="44"/>
        <v>45347</v>
      </c>
      <c r="O512" s="3">
        <f t="shared" ca="1" si="45"/>
        <v>28</v>
      </c>
      <c r="P512" s="3">
        <f t="shared" ca="1" si="46"/>
        <v>27</v>
      </c>
      <c r="Q512" s="1" t="str">
        <f>IF(K512=1,"Joined",IF(H512&gt;=70,"Dropped at Offer",IF(H512&gt;=50,"Dropped at Interview","Dropped at Screening")))</f>
        <v>Joined</v>
      </c>
      <c r="R512" s="1" t="str">
        <f t="shared" ca="1" si="47"/>
        <v>Jan-2024</v>
      </c>
    </row>
    <row r="513" spans="1:18">
      <c r="A513">
        <v>35</v>
      </c>
      <c r="B513">
        <v>0</v>
      </c>
      <c r="C513">
        <v>3</v>
      </c>
      <c r="D513">
        <v>1</v>
      </c>
      <c r="E513">
        <v>5</v>
      </c>
      <c r="F513">
        <v>47.482480385066403</v>
      </c>
      <c r="G513">
        <v>9</v>
      </c>
      <c r="H513">
        <v>8</v>
      </c>
      <c r="I513">
        <v>21</v>
      </c>
      <c r="J513">
        <v>1</v>
      </c>
      <c r="K513">
        <v>0</v>
      </c>
      <c r="L513" s="2">
        <f t="shared" si="42"/>
        <v>45292</v>
      </c>
      <c r="M513" s="2">
        <f t="shared" ca="1" si="43"/>
        <v>45320</v>
      </c>
      <c r="N513" s="2" t="str">
        <f t="shared" ca="1" si="44"/>
        <v>N/A</v>
      </c>
      <c r="O513" s="3">
        <f t="shared" ca="1" si="45"/>
        <v>28</v>
      </c>
      <c r="P513" s="3" t="str">
        <f t="shared" ca="1" si="46"/>
        <v>N/A</v>
      </c>
      <c r="Q513" s="1" t="str">
        <f>IF(K513=1,"Joined",IF(H513&gt;=70,"Dropped at Offer",IF(H513&gt;=50,"Dropped at Interview","Dropped at Screening")))</f>
        <v>Dropped at Screening</v>
      </c>
      <c r="R513" s="1" t="str">
        <f t="shared" ca="1" si="47"/>
        <v>Jan-2024</v>
      </c>
    </row>
    <row r="514" spans="1:18">
      <c r="A514">
        <v>26</v>
      </c>
      <c r="B514">
        <v>1</v>
      </c>
      <c r="C514">
        <v>2</v>
      </c>
      <c r="D514">
        <v>8</v>
      </c>
      <c r="E514">
        <v>5</v>
      </c>
      <c r="F514">
        <v>7.2306692839163604</v>
      </c>
      <c r="G514">
        <v>7</v>
      </c>
      <c r="H514">
        <v>89</v>
      </c>
      <c r="I514">
        <v>85</v>
      </c>
      <c r="J514">
        <v>2</v>
      </c>
      <c r="K514">
        <v>0</v>
      </c>
      <c r="L514" s="2">
        <f t="shared" ref="L514:L577" si="48">DATE(2024,1,1)</f>
        <v>45292</v>
      </c>
      <c r="M514" s="2">
        <f t="shared" ref="M514:M577" ca="1" si="49">L514+RANDBETWEEN(14,45)</f>
        <v>45307</v>
      </c>
      <c r="N514" s="2" t="str">
        <f t="shared" ref="N514:N577" ca="1" si="50">IF(K514=1, M514+RANDBETWEEN(7,30), "N/A")</f>
        <v>N/A</v>
      </c>
      <c r="O514" s="3">
        <f t="shared" ref="O514:O577" ca="1" si="51">IF(AND(M514&lt;&gt;"",L514&lt;&gt;""), M514-L514, "N/A")</f>
        <v>15</v>
      </c>
      <c r="P514" s="3" t="str">
        <f t="shared" ref="P514:Q577" ca="1" si="52">IF(AND(K514=1, N514&lt;&gt;"", M514&lt;&gt;""), N514 - M514, "N/A")</f>
        <v>N/A</v>
      </c>
      <c r="Q514" s="1" t="str">
        <f>IF(K514=1,"Joined",IF(H514&gt;=70,"Dropped at Offer",IF(H514&gt;=50,"Dropped at Interview","Dropped at Screening")))</f>
        <v>Dropped at Offer</v>
      </c>
      <c r="R514" s="1" t="str">
        <f t="shared" ref="R514:R577" ca="1" si="53">TEXT(M514,"MMM-YYYY")</f>
        <v>Jan-2024</v>
      </c>
    </row>
    <row r="515" spans="1:18">
      <c r="A515">
        <v>48</v>
      </c>
      <c r="B515">
        <v>1</v>
      </c>
      <c r="C515">
        <v>1</v>
      </c>
      <c r="D515">
        <v>12</v>
      </c>
      <c r="E515">
        <v>4</v>
      </c>
      <c r="F515">
        <v>33.623797775361602</v>
      </c>
      <c r="G515">
        <v>20</v>
      </c>
      <c r="H515">
        <v>1</v>
      </c>
      <c r="I515">
        <v>100</v>
      </c>
      <c r="J515">
        <v>2</v>
      </c>
      <c r="K515">
        <v>0</v>
      </c>
      <c r="L515" s="2">
        <f t="shared" si="48"/>
        <v>45292</v>
      </c>
      <c r="M515" s="2">
        <f t="shared" ca="1" si="49"/>
        <v>45306</v>
      </c>
      <c r="N515" s="2" t="str">
        <f t="shared" ca="1" si="50"/>
        <v>N/A</v>
      </c>
      <c r="O515" s="3">
        <f t="shared" ca="1" si="51"/>
        <v>14</v>
      </c>
      <c r="P515" s="3" t="str">
        <f t="shared" ca="1" si="52"/>
        <v>N/A</v>
      </c>
      <c r="Q515" s="1" t="str">
        <f>IF(K515=1,"Joined",IF(H515&gt;=70,"Dropped at Offer",IF(H515&gt;=50,"Dropped at Interview","Dropped at Screening")))</f>
        <v>Dropped at Screening</v>
      </c>
      <c r="R515" s="1" t="str">
        <f t="shared" ca="1" si="53"/>
        <v>Jan-2024</v>
      </c>
    </row>
    <row r="516" spans="1:18">
      <c r="A516">
        <v>29</v>
      </c>
      <c r="B516">
        <v>0</v>
      </c>
      <c r="C516">
        <v>2</v>
      </c>
      <c r="D516">
        <v>14</v>
      </c>
      <c r="E516">
        <v>1</v>
      </c>
      <c r="F516">
        <v>3.63598831672505</v>
      </c>
      <c r="G516">
        <v>76</v>
      </c>
      <c r="H516">
        <v>79</v>
      </c>
      <c r="I516">
        <v>38</v>
      </c>
      <c r="J516">
        <v>3</v>
      </c>
      <c r="K516">
        <v>0</v>
      </c>
      <c r="L516" s="2">
        <f t="shared" si="48"/>
        <v>45292</v>
      </c>
      <c r="M516" s="2">
        <f t="shared" ca="1" si="49"/>
        <v>45331</v>
      </c>
      <c r="N516" s="2" t="str">
        <f t="shared" ca="1" si="50"/>
        <v>N/A</v>
      </c>
      <c r="O516" s="3">
        <f t="shared" ca="1" si="51"/>
        <v>39</v>
      </c>
      <c r="P516" s="3" t="str">
        <f t="shared" ca="1" si="52"/>
        <v>N/A</v>
      </c>
      <c r="Q516" s="1" t="str">
        <f>IF(K516=1,"Joined",IF(H516&gt;=70,"Dropped at Offer",IF(H516&gt;=50,"Dropped at Interview","Dropped at Screening")))</f>
        <v>Dropped at Offer</v>
      </c>
      <c r="R516" s="1" t="str">
        <f t="shared" ca="1" si="53"/>
        <v>Feb-2024</v>
      </c>
    </row>
    <row r="517" spans="1:18">
      <c r="A517">
        <v>42</v>
      </c>
      <c r="B517">
        <v>1</v>
      </c>
      <c r="C517">
        <v>2</v>
      </c>
      <c r="D517">
        <v>2</v>
      </c>
      <c r="E517">
        <v>4</v>
      </c>
      <c r="F517">
        <v>23.3085218906348</v>
      </c>
      <c r="G517">
        <v>58</v>
      </c>
      <c r="H517">
        <v>94</v>
      </c>
      <c r="I517">
        <v>33</v>
      </c>
      <c r="J517">
        <v>1</v>
      </c>
      <c r="K517">
        <v>0</v>
      </c>
      <c r="L517" s="2">
        <f t="shared" si="48"/>
        <v>45292</v>
      </c>
      <c r="M517" s="2">
        <f t="shared" ca="1" si="49"/>
        <v>45310</v>
      </c>
      <c r="N517" s="2" t="str">
        <f t="shared" ca="1" si="50"/>
        <v>N/A</v>
      </c>
      <c r="O517" s="3">
        <f t="shared" ca="1" si="51"/>
        <v>18</v>
      </c>
      <c r="P517" s="3" t="str">
        <f t="shared" ca="1" si="52"/>
        <v>N/A</v>
      </c>
      <c r="Q517" s="1" t="str">
        <f>IF(K517=1,"Joined",IF(H517&gt;=70,"Dropped at Offer",IF(H517&gt;=50,"Dropped at Interview","Dropped at Screening")))</f>
        <v>Dropped at Offer</v>
      </c>
      <c r="R517" s="1" t="str">
        <f t="shared" ca="1" si="53"/>
        <v>Jan-2024</v>
      </c>
    </row>
    <row r="518" spans="1:18">
      <c r="A518">
        <v>45</v>
      </c>
      <c r="B518">
        <v>0</v>
      </c>
      <c r="C518">
        <v>4</v>
      </c>
      <c r="D518">
        <v>10</v>
      </c>
      <c r="E518">
        <v>4</v>
      </c>
      <c r="F518">
        <v>28.698974361004002</v>
      </c>
      <c r="G518">
        <v>49</v>
      </c>
      <c r="H518">
        <v>69</v>
      </c>
      <c r="I518">
        <v>96</v>
      </c>
      <c r="J518">
        <v>1</v>
      </c>
      <c r="K518">
        <v>1</v>
      </c>
      <c r="L518" s="2">
        <f t="shared" si="48"/>
        <v>45292</v>
      </c>
      <c r="M518" s="2">
        <f t="shared" ca="1" si="49"/>
        <v>45331</v>
      </c>
      <c r="N518" s="2">
        <f t="shared" ca="1" si="50"/>
        <v>45349</v>
      </c>
      <c r="O518" s="3">
        <f t="shared" ca="1" si="51"/>
        <v>39</v>
      </c>
      <c r="P518" s="3">
        <f t="shared" ca="1" si="52"/>
        <v>18</v>
      </c>
      <c r="Q518" s="1" t="str">
        <f>IF(K518=1,"Joined",IF(H518&gt;=70,"Dropped at Offer",IF(H518&gt;=50,"Dropped at Interview","Dropped at Screening")))</f>
        <v>Joined</v>
      </c>
      <c r="R518" s="1" t="str">
        <f t="shared" ca="1" si="53"/>
        <v>Feb-2024</v>
      </c>
    </row>
    <row r="519" spans="1:18">
      <c r="A519">
        <v>22</v>
      </c>
      <c r="B519">
        <v>0</v>
      </c>
      <c r="C519">
        <v>2</v>
      </c>
      <c r="D519">
        <v>4</v>
      </c>
      <c r="E519">
        <v>5</v>
      </c>
      <c r="F519">
        <v>15.8977465658432</v>
      </c>
      <c r="G519">
        <v>68</v>
      </c>
      <c r="H519">
        <v>84</v>
      </c>
      <c r="I519">
        <v>43</v>
      </c>
      <c r="J519">
        <v>2</v>
      </c>
      <c r="K519">
        <v>0</v>
      </c>
      <c r="L519" s="2">
        <f t="shared" si="48"/>
        <v>45292</v>
      </c>
      <c r="M519" s="2">
        <f t="shared" ca="1" si="49"/>
        <v>45334</v>
      </c>
      <c r="N519" s="2" t="str">
        <f t="shared" ca="1" si="50"/>
        <v>N/A</v>
      </c>
      <c r="O519" s="3">
        <f t="shared" ca="1" si="51"/>
        <v>42</v>
      </c>
      <c r="P519" s="3" t="str">
        <f t="shared" ca="1" si="52"/>
        <v>N/A</v>
      </c>
      <c r="Q519" s="1" t="str">
        <f>IF(K519=1,"Joined",IF(H519&gt;=70,"Dropped at Offer",IF(H519&gt;=50,"Dropped at Interview","Dropped at Screening")))</f>
        <v>Dropped at Offer</v>
      </c>
      <c r="R519" s="1" t="str">
        <f t="shared" ca="1" si="53"/>
        <v>Feb-2024</v>
      </c>
    </row>
    <row r="520" spans="1:18">
      <c r="A520">
        <v>37</v>
      </c>
      <c r="B520">
        <v>0</v>
      </c>
      <c r="C520">
        <v>2</v>
      </c>
      <c r="D520">
        <v>13</v>
      </c>
      <c r="E520">
        <v>5</v>
      </c>
      <c r="F520">
        <v>23.753781776019199</v>
      </c>
      <c r="G520">
        <v>69</v>
      </c>
      <c r="H520">
        <v>89</v>
      </c>
      <c r="I520">
        <v>41</v>
      </c>
      <c r="J520">
        <v>2</v>
      </c>
      <c r="K520">
        <v>0</v>
      </c>
      <c r="L520" s="2">
        <f t="shared" si="48"/>
        <v>45292</v>
      </c>
      <c r="M520" s="2">
        <f t="shared" ca="1" si="49"/>
        <v>45333</v>
      </c>
      <c r="N520" s="2" t="str">
        <f t="shared" ca="1" si="50"/>
        <v>N/A</v>
      </c>
      <c r="O520" s="3">
        <f t="shared" ca="1" si="51"/>
        <v>41</v>
      </c>
      <c r="P520" s="3" t="str">
        <f t="shared" ca="1" si="52"/>
        <v>N/A</v>
      </c>
      <c r="Q520" s="1" t="str">
        <f>IF(K520=1,"Joined",IF(H520&gt;=70,"Dropped at Offer",IF(H520&gt;=50,"Dropped at Interview","Dropped at Screening")))</f>
        <v>Dropped at Offer</v>
      </c>
      <c r="R520" s="1" t="str">
        <f t="shared" ca="1" si="53"/>
        <v>Feb-2024</v>
      </c>
    </row>
    <row r="521" spans="1:18">
      <c r="A521">
        <v>44</v>
      </c>
      <c r="B521">
        <v>1</v>
      </c>
      <c r="C521">
        <v>2</v>
      </c>
      <c r="D521">
        <v>13</v>
      </c>
      <c r="E521">
        <v>3</v>
      </c>
      <c r="F521">
        <v>9.1776897265093602</v>
      </c>
      <c r="G521">
        <v>29</v>
      </c>
      <c r="H521">
        <v>58</v>
      </c>
      <c r="I521">
        <v>39</v>
      </c>
      <c r="J521">
        <v>1</v>
      </c>
      <c r="K521">
        <v>1</v>
      </c>
      <c r="L521" s="2">
        <f t="shared" si="48"/>
        <v>45292</v>
      </c>
      <c r="M521" s="2">
        <f t="shared" ca="1" si="49"/>
        <v>45308</v>
      </c>
      <c r="N521" s="2">
        <f t="shared" ca="1" si="50"/>
        <v>45315</v>
      </c>
      <c r="O521" s="3">
        <f t="shared" ca="1" si="51"/>
        <v>16</v>
      </c>
      <c r="P521" s="3">
        <f t="shared" ca="1" si="52"/>
        <v>7</v>
      </c>
      <c r="Q521" s="1" t="str">
        <f>IF(K521=1,"Joined",IF(H521&gt;=70,"Dropped at Offer",IF(H521&gt;=50,"Dropped at Interview","Dropped at Screening")))</f>
        <v>Joined</v>
      </c>
      <c r="R521" s="1" t="str">
        <f t="shared" ca="1" si="53"/>
        <v>Jan-2024</v>
      </c>
    </row>
    <row r="522" spans="1:18">
      <c r="A522">
        <v>43</v>
      </c>
      <c r="B522">
        <v>1</v>
      </c>
      <c r="C522">
        <v>3</v>
      </c>
      <c r="D522">
        <v>8</v>
      </c>
      <c r="E522">
        <v>3</v>
      </c>
      <c r="F522">
        <v>16.206192473401799</v>
      </c>
      <c r="G522">
        <v>94</v>
      </c>
      <c r="H522">
        <v>18</v>
      </c>
      <c r="I522">
        <v>96</v>
      </c>
      <c r="J522">
        <v>3</v>
      </c>
      <c r="K522">
        <v>1</v>
      </c>
      <c r="L522" s="2">
        <f t="shared" si="48"/>
        <v>45292</v>
      </c>
      <c r="M522" s="2">
        <f t="shared" ca="1" si="49"/>
        <v>45319</v>
      </c>
      <c r="N522" s="2">
        <f t="shared" ca="1" si="50"/>
        <v>45326</v>
      </c>
      <c r="O522" s="3">
        <f t="shared" ca="1" si="51"/>
        <v>27</v>
      </c>
      <c r="P522" s="3">
        <f t="shared" ca="1" si="52"/>
        <v>7</v>
      </c>
      <c r="Q522" s="1" t="str">
        <f>IF(K522=1,"Joined",IF(H522&gt;=70,"Dropped at Offer",IF(H522&gt;=50,"Dropped at Interview","Dropped at Screening")))</f>
        <v>Joined</v>
      </c>
      <c r="R522" s="1" t="str">
        <f t="shared" ca="1" si="53"/>
        <v>Jan-2024</v>
      </c>
    </row>
    <row r="523" spans="1:18">
      <c r="A523">
        <v>32</v>
      </c>
      <c r="B523">
        <v>0</v>
      </c>
      <c r="C523">
        <v>2</v>
      </c>
      <c r="D523">
        <v>7</v>
      </c>
      <c r="E523">
        <v>4</v>
      </c>
      <c r="F523">
        <v>32.055316245510099</v>
      </c>
      <c r="G523">
        <v>16</v>
      </c>
      <c r="H523">
        <v>27</v>
      </c>
      <c r="I523">
        <v>11</v>
      </c>
      <c r="J523">
        <v>2</v>
      </c>
      <c r="K523">
        <v>0</v>
      </c>
      <c r="L523" s="2">
        <f t="shared" si="48"/>
        <v>45292</v>
      </c>
      <c r="M523" s="2">
        <f t="shared" ca="1" si="49"/>
        <v>45317</v>
      </c>
      <c r="N523" s="2" t="str">
        <f t="shared" ca="1" si="50"/>
        <v>N/A</v>
      </c>
      <c r="O523" s="3">
        <f t="shared" ca="1" si="51"/>
        <v>25</v>
      </c>
      <c r="P523" s="3" t="str">
        <f t="shared" ca="1" si="52"/>
        <v>N/A</v>
      </c>
      <c r="Q523" s="1" t="str">
        <f>IF(K523=1,"Joined",IF(H523&gt;=70,"Dropped at Offer",IF(H523&gt;=50,"Dropped at Interview","Dropped at Screening")))</f>
        <v>Dropped at Screening</v>
      </c>
      <c r="R523" s="1" t="str">
        <f t="shared" ca="1" si="53"/>
        <v>Jan-2024</v>
      </c>
    </row>
    <row r="524" spans="1:18">
      <c r="A524">
        <v>47</v>
      </c>
      <c r="B524">
        <v>0</v>
      </c>
      <c r="C524">
        <v>2</v>
      </c>
      <c r="D524">
        <v>1</v>
      </c>
      <c r="E524">
        <v>2</v>
      </c>
      <c r="F524">
        <v>16.0900027930577</v>
      </c>
      <c r="G524">
        <v>74</v>
      </c>
      <c r="H524">
        <v>71</v>
      </c>
      <c r="I524">
        <v>1</v>
      </c>
      <c r="J524">
        <v>2</v>
      </c>
      <c r="K524">
        <v>0</v>
      </c>
      <c r="L524" s="2">
        <f t="shared" si="48"/>
        <v>45292</v>
      </c>
      <c r="M524" s="2">
        <f t="shared" ca="1" si="49"/>
        <v>45317</v>
      </c>
      <c r="N524" s="2" t="str">
        <f t="shared" ca="1" si="50"/>
        <v>N/A</v>
      </c>
      <c r="O524" s="3">
        <f t="shared" ca="1" si="51"/>
        <v>25</v>
      </c>
      <c r="P524" s="3" t="str">
        <f t="shared" ca="1" si="52"/>
        <v>N/A</v>
      </c>
      <c r="Q524" s="1" t="str">
        <f>IF(K524=1,"Joined",IF(H524&gt;=70,"Dropped at Offer",IF(H524&gt;=50,"Dropped at Interview","Dropped at Screening")))</f>
        <v>Dropped at Offer</v>
      </c>
      <c r="R524" s="1" t="str">
        <f t="shared" ca="1" si="53"/>
        <v>Jan-2024</v>
      </c>
    </row>
    <row r="525" spans="1:18">
      <c r="A525">
        <v>45</v>
      </c>
      <c r="B525">
        <v>1</v>
      </c>
      <c r="C525">
        <v>2</v>
      </c>
      <c r="D525">
        <v>2</v>
      </c>
      <c r="E525">
        <v>2</v>
      </c>
      <c r="F525">
        <v>45.987153920443497</v>
      </c>
      <c r="G525">
        <v>19</v>
      </c>
      <c r="H525">
        <v>13</v>
      </c>
      <c r="I525">
        <v>27</v>
      </c>
      <c r="J525">
        <v>3</v>
      </c>
      <c r="K525">
        <v>0</v>
      </c>
      <c r="L525" s="2">
        <f t="shared" si="48"/>
        <v>45292</v>
      </c>
      <c r="M525" s="2">
        <f t="shared" ca="1" si="49"/>
        <v>45322</v>
      </c>
      <c r="N525" s="2" t="str">
        <f t="shared" ca="1" si="50"/>
        <v>N/A</v>
      </c>
      <c r="O525" s="3">
        <f t="shared" ca="1" si="51"/>
        <v>30</v>
      </c>
      <c r="P525" s="3" t="str">
        <f t="shared" ca="1" si="52"/>
        <v>N/A</v>
      </c>
      <c r="Q525" s="1" t="str">
        <f>IF(K525=1,"Joined",IF(H525&gt;=70,"Dropped at Offer",IF(H525&gt;=50,"Dropped at Interview","Dropped at Screening")))</f>
        <v>Dropped at Screening</v>
      </c>
      <c r="R525" s="1" t="str">
        <f t="shared" ca="1" si="53"/>
        <v>Jan-2024</v>
      </c>
    </row>
    <row r="526" spans="1:18">
      <c r="A526">
        <v>26</v>
      </c>
      <c r="B526">
        <v>0</v>
      </c>
      <c r="C526">
        <v>3</v>
      </c>
      <c r="D526">
        <v>15</v>
      </c>
      <c r="E526">
        <v>3</v>
      </c>
      <c r="F526">
        <v>32.420347882049398</v>
      </c>
      <c r="G526">
        <v>47</v>
      </c>
      <c r="H526">
        <v>23</v>
      </c>
      <c r="I526">
        <v>73</v>
      </c>
      <c r="J526">
        <v>2</v>
      </c>
      <c r="K526">
        <v>0</v>
      </c>
      <c r="L526" s="2">
        <f t="shared" si="48"/>
        <v>45292</v>
      </c>
      <c r="M526" s="2">
        <f t="shared" ca="1" si="49"/>
        <v>45336</v>
      </c>
      <c r="N526" s="2" t="str">
        <f t="shared" ca="1" si="50"/>
        <v>N/A</v>
      </c>
      <c r="O526" s="3">
        <f t="shared" ca="1" si="51"/>
        <v>44</v>
      </c>
      <c r="P526" s="3" t="str">
        <f t="shared" ca="1" si="52"/>
        <v>N/A</v>
      </c>
      <c r="Q526" s="1" t="str">
        <f>IF(K526=1,"Joined",IF(H526&gt;=70,"Dropped at Offer",IF(H526&gt;=50,"Dropped at Interview","Dropped at Screening")))</f>
        <v>Dropped at Screening</v>
      </c>
      <c r="R526" s="1" t="str">
        <f t="shared" ca="1" si="53"/>
        <v>Feb-2024</v>
      </c>
    </row>
    <row r="527" spans="1:18">
      <c r="A527">
        <v>44</v>
      </c>
      <c r="B527">
        <v>0</v>
      </c>
      <c r="C527">
        <v>2</v>
      </c>
      <c r="D527">
        <v>15</v>
      </c>
      <c r="E527">
        <v>2</v>
      </c>
      <c r="F527">
        <v>22.932450921799202</v>
      </c>
      <c r="G527">
        <v>72</v>
      </c>
      <c r="H527">
        <v>43</v>
      </c>
      <c r="I527">
        <v>85</v>
      </c>
      <c r="J527">
        <v>2</v>
      </c>
      <c r="K527">
        <v>0</v>
      </c>
      <c r="L527" s="2">
        <f t="shared" si="48"/>
        <v>45292</v>
      </c>
      <c r="M527" s="2">
        <f t="shared" ca="1" si="49"/>
        <v>45316</v>
      </c>
      <c r="N527" s="2" t="str">
        <f t="shared" ca="1" si="50"/>
        <v>N/A</v>
      </c>
      <c r="O527" s="3">
        <f t="shared" ca="1" si="51"/>
        <v>24</v>
      </c>
      <c r="P527" s="3" t="str">
        <f t="shared" ca="1" si="52"/>
        <v>N/A</v>
      </c>
      <c r="Q527" s="1" t="str">
        <f>IF(K527=1,"Joined",IF(H527&gt;=70,"Dropped at Offer",IF(H527&gt;=50,"Dropped at Interview","Dropped at Screening")))</f>
        <v>Dropped at Screening</v>
      </c>
      <c r="R527" s="1" t="str">
        <f t="shared" ca="1" si="53"/>
        <v>Jan-2024</v>
      </c>
    </row>
    <row r="528" spans="1:18">
      <c r="A528">
        <v>23</v>
      </c>
      <c r="B528">
        <v>1</v>
      </c>
      <c r="C528">
        <v>1</v>
      </c>
      <c r="D528">
        <v>1</v>
      </c>
      <c r="E528">
        <v>3</v>
      </c>
      <c r="F528">
        <v>2.9378467777091202</v>
      </c>
      <c r="G528">
        <v>1</v>
      </c>
      <c r="H528">
        <v>100</v>
      </c>
      <c r="I528">
        <v>80</v>
      </c>
      <c r="J528">
        <v>3</v>
      </c>
      <c r="K528">
        <v>0</v>
      </c>
      <c r="L528" s="2">
        <f t="shared" si="48"/>
        <v>45292</v>
      </c>
      <c r="M528" s="2">
        <f t="shared" ca="1" si="49"/>
        <v>45323</v>
      </c>
      <c r="N528" s="2" t="str">
        <f t="shared" ca="1" si="50"/>
        <v>N/A</v>
      </c>
      <c r="O528" s="3">
        <f t="shared" ca="1" si="51"/>
        <v>31</v>
      </c>
      <c r="P528" s="3" t="str">
        <f t="shared" ca="1" si="52"/>
        <v>N/A</v>
      </c>
      <c r="Q528" s="1" t="str">
        <f>IF(K528=1,"Joined",IF(H528&gt;=70,"Dropped at Offer",IF(H528&gt;=50,"Dropped at Interview","Dropped at Screening")))</f>
        <v>Dropped at Offer</v>
      </c>
      <c r="R528" s="1" t="str">
        <f t="shared" ca="1" si="53"/>
        <v>Feb-2024</v>
      </c>
    </row>
    <row r="529" spans="1:18">
      <c r="A529">
        <v>32</v>
      </c>
      <c r="B529">
        <v>0</v>
      </c>
      <c r="C529">
        <v>2</v>
      </c>
      <c r="D529">
        <v>15</v>
      </c>
      <c r="E529">
        <v>5</v>
      </c>
      <c r="F529">
        <v>25.977416760233499</v>
      </c>
      <c r="G529">
        <v>36</v>
      </c>
      <c r="H529">
        <v>55</v>
      </c>
      <c r="I529">
        <v>89</v>
      </c>
      <c r="J529">
        <v>1</v>
      </c>
      <c r="K529">
        <v>1</v>
      </c>
      <c r="L529" s="2">
        <f t="shared" si="48"/>
        <v>45292</v>
      </c>
      <c r="M529" s="2">
        <f t="shared" ca="1" si="49"/>
        <v>45331</v>
      </c>
      <c r="N529" s="2">
        <f t="shared" ca="1" si="50"/>
        <v>45358</v>
      </c>
      <c r="O529" s="3">
        <f t="shared" ca="1" si="51"/>
        <v>39</v>
      </c>
      <c r="P529" s="3">
        <f t="shared" ca="1" si="52"/>
        <v>27</v>
      </c>
      <c r="Q529" s="1" t="str">
        <f>IF(K529=1,"Joined",IF(H529&gt;=70,"Dropped at Offer",IF(H529&gt;=50,"Dropped at Interview","Dropped at Screening")))</f>
        <v>Joined</v>
      </c>
      <c r="R529" s="1" t="str">
        <f t="shared" ca="1" si="53"/>
        <v>Feb-2024</v>
      </c>
    </row>
    <row r="530" spans="1:18">
      <c r="A530">
        <v>39</v>
      </c>
      <c r="B530">
        <v>1</v>
      </c>
      <c r="C530">
        <v>2</v>
      </c>
      <c r="D530">
        <v>7</v>
      </c>
      <c r="E530">
        <v>4</v>
      </c>
      <c r="F530">
        <v>39.2388121062544</v>
      </c>
      <c r="G530">
        <v>0</v>
      </c>
      <c r="H530">
        <v>89</v>
      </c>
      <c r="I530">
        <v>66</v>
      </c>
      <c r="J530">
        <v>2</v>
      </c>
      <c r="K530">
        <v>0</v>
      </c>
      <c r="L530" s="2">
        <f t="shared" si="48"/>
        <v>45292</v>
      </c>
      <c r="M530" s="2">
        <f t="shared" ca="1" si="49"/>
        <v>45336</v>
      </c>
      <c r="N530" s="2" t="str">
        <f t="shared" ca="1" si="50"/>
        <v>N/A</v>
      </c>
      <c r="O530" s="3">
        <f t="shared" ca="1" si="51"/>
        <v>44</v>
      </c>
      <c r="P530" s="3" t="str">
        <f t="shared" ca="1" si="52"/>
        <v>N/A</v>
      </c>
      <c r="Q530" s="1" t="str">
        <f>IF(K530=1,"Joined",IF(H530&gt;=70,"Dropped at Offer",IF(H530&gt;=50,"Dropped at Interview","Dropped at Screening")))</f>
        <v>Dropped at Offer</v>
      </c>
      <c r="R530" s="1" t="str">
        <f t="shared" ca="1" si="53"/>
        <v>Feb-2024</v>
      </c>
    </row>
    <row r="531" spans="1:18">
      <c r="A531">
        <v>20</v>
      </c>
      <c r="B531">
        <v>0</v>
      </c>
      <c r="C531">
        <v>1</v>
      </c>
      <c r="D531">
        <v>5</v>
      </c>
      <c r="E531">
        <v>1</v>
      </c>
      <c r="F531">
        <v>14.277879900620601</v>
      </c>
      <c r="G531">
        <v>3</v>
      </c>
      <c r="H531">
        <v>94</v>
      </c>
      <c r="I531">
        <v>70</v>
      </c>
      <c r="J531">
        <v>1</v>
      </c>
      <c r="K531">
        <v>1</v>
      </c>
      <c r="L531" s="2">
        <f t="shared" si="48"/>
        <v>45292</v>
      </c>
      <c r="M531" s="2">
        <f t="shared" ca="1" si="49"/>
        <v>45323</v>
      </c>
      <c r="N531" s="2">
        <f t="shared" ca="1" si="50"/>
        <v>45350</v>
      </c>
      <c r="O531" s="3">
        <f t="shared" ca="1" si="51"/>
        <v>31</v>
      </c>
      <c r="P531" s="3">
        <f t="shared" ca="1" si="52"/>
        <v>27</v>
      </c>
      <c r="Q531" s="1" t="str">
        <f>IF(K531=1,"Joined",IF(H531&gt;=70,"Dropped at Offer",IF(H531&gt;=50,"Dropped at Interview","Dropped at Screening")))</f>
        <v>Joined</v>
      </c>
      <c r="R531" s="1" t="str">
        <f t="shared" ca="1" si="53"/>
        <v>Feb-2024</v>
      </c>
    </row>
    <row r="532" spans="1:18">
      <c r="A532">
        <v>27</v>
      </c>
      <c r="B532">
        <v>1</v>
      </c>
      <c r="C532">
        <v>3</v>
      </c>
      <c r="D532">
        <v>5</v>
      </c>
      <c r="E532">
        <v>4</v>
      </c>
      <c r="F532">
        <v>41.338678482438297</v>
      </c>
      <c r="G532">
        <v>99</v>
      </c>
      <c r="H532">
        <v>50</v>
      </c>
      <c r="I532">
        <v>71</v>
      </c>
      <c r="J532">
        <v>1</v>
      </c>
      <c r="K532">
        <v>1</v>
      </c>
      <c r="L532" s="2">
        <f t="shared" si="48"/>
        <v>45292</v>
      </c>
      <c r="M532" s="2">
        <f t="shared" ca="1" si="49"/>
        <v>45317</v>
      </c>
      <c r="N532" s="2">
        <f t="shared" ca="1" si="50"/>
        <v>45340</v>
      </c>
      <c r="O532" s="3">
        <f t="shared" ca="1" si="51"/>
        <v>25</v>
      </c>
      <c r="P532" s="3">
        <f t="shared" ca="1" si="52"/>
        <v>23</v>
      </c>
      <c r="Q532" s="1" t="str">
        <f>IF(K532=1,"Joined",IF(H532&gt;=70,"Dropped at Offer",IF(H532&gt;=50,"Dropped at Interview","Dropped at Screening")))</f>
        <v>Joined</v>
      </c>
      <c r="R532" s="1" t="str">
        <f t="shared" ca="1" si="53"/>
        <v>Jan-2024</v>
      </c>
    </row>
    <row r="533" spans="1:18">
      <c r="A533">
        <v>33</v>
      </c>
      <c r="B533">
        <v>0</v>
      </c>
      <c r="C533">
        <v>2</v>
      </c>
      <c r="D533">
        <v>11</v>
      </c>
      <c r="E533">
        <v>3</v>
      </c>
      <c r="F533">
        <v>13.590338302544</v>
      </c>
      <c r="G533">
        <v>53</v>
      </c>
      <c r="H533">
        <v>31</v>
      </c>
      <c r="I533">
        <v>83</v>
      </c>
      <c r="J533">
        <v>3</v>
      </c>
      <c r="K533">
        <v>0</v>
      </c>
      <c r="L533" s="2">
        <f t="shared" si="48"/>
        <v>45292</v>
      </c>
      <c r="M533" s="2">
        <f t="shared" ca="1" si="49"/>
        <v>45337</v>
      </c>
      <c r="N533" s="2" t="str">
        <f t="shared" ca="1" si="50"/>
        <v>N/A</v>
      </c>
      <c r="O533" s="3">
        <f t="shared" ca="1" si="51"/>
        <v>45</v>
      </c>
      <c r="P533" s="3" t="str">
        <f t="shared" ca="1" si="52"/>
        <v>N/A</v>
      </c>
      <c r="Q533" s="1" t="str">
        <f>IF(K533=1,"Joined",IF(H533&gt;=70,"Dropped at Offer",IF(H533&gt;=50,"Dropped at Interview","Dropped at Screening")))</f>
        <v>Dropped at Screening</v>
      </c>
      <c r="R533" s="1" t="str">
        <f t="shared" ca="1" si="53"/>
        <v>Feb-2024</v>
      </c>
    </row>
    <row r="534" spans="1:18">
      <c r="A534">
        <v>35</v>
      </c>
      <c r="B534">
        <v>0</v>
      </c>
      <c r="C534">
        <v>3</v>
      </c>
      <c r="D534">
        <v>14</v>
      </c>
      <c r="E534">
        <v>3</v>
      </c>
      <c r="F534">
        <v>42.187319397540001</v>
      </c>
      <c r="G534">
        <v>24</v>
      </c>
      <c r="H534">
        <v>49</v>
      </c>
      <c r="I534">
        <v>75</v>
      </c>
      <c r="J534">
        <v>2</v>
      </c>
      <c r="K534">
        <v>0</v>
      </c>
      <c r="L534" s="2">
        <f t="shared" si="48"/>
        <v>45292</v>
      </c>
      <c r="M534" s="2">
        <f t="shared" ca="1" si="49"/>
        <v>45337</v>
      </c>
      <c r="N534" s="2" t="str">
        <f t="shared" ca="1" si="50"/>
        <v>N/A</v>
      </c>
      <c r="O534" s="3">
        <f t="shared" ca="1" si="51"/>
        <v>45</v>
      </c>
      <c r="P534" s="3" t="str">
        <f t="shared" ca="1" si="52"/>
        <v>N/A</v>
      </c>
      <c r="Q534" s="1" t="str">
        <f>IF(K534=1,"Joined",IF(H534&gt;=70,"Dropped at Offer",IF(H534&gt;=50,"Dropped at Interview","Dropped at Screening")))</f>
        <v>Dropped at Screening</v>
      </c>
      <c r="R534" s="1" t="str">
        <f t="shared" ca="1" si="53"/>
        <v>Feb-2024</v>
      </c>
    </row>
    <row r="535" spans="1:18">
      <c r="A535">
        <v>33</v>
      </c>
      <c r="B535">
        <v>1</v>
      </c>
      <c r="C535">
        <v>2</v>
      </c>
      <c r="D535">
        <v>8</v>
      </c>
      <c r="E535">
        <v>4</v>
      </c>
      <c r="F535">
        <v>5.2634170805838698</v>
      </c>
      <c r="G535">
        <v>2</v>
      </c>
      <c r="H535">
        <v>40</v>
      </c>
      <c r="I535">
        <v>98</v>
      </c>
      <c r="J535">
        <v>2</v>
      </c>
      <c r="K535">
        <v>0</v>
      </c>
      <c r="L535" s="2">
        <f t="shared" si="48"/>
        <v>45292</v>
      </c>
      <c r="M535" s="2">
        <f t="shared" ca="1" si="49"/>
        <v>45325</v>
      </c>
      <c r="N535" s="2" t="str">
        <f t="shared" ca="1" si="50"/>
        <v>N/A</v>
      </c>
      <c r="O535" s="3">
        <f t="shared" ca="1" si="51"/>
        <v>33</v>
      </c>
      <c r="P535" s="3" t="str">
        <f t="shared" ca="1" si="52"/>
        <v>N/A</v>
      </c>
      <c r="Q535" s="1" t="str">
        <f>IF(K535=1,"Joined",IF(H535&gt;=70,"Dropped at Offer",IF(H535&gt;=50,"Dropped at Interview","Dropped at Screening")))</f>
        <v>Dropped at Screening</v>
      </c>
      <c r="R535" s="1" t="str">
        <f t="shared" ca="1" si="53"/>
        <v>Feb-2024</v>
      </c>
    </row>
    <row r="536" spans="1:18">
      <c r="A536">
        <v>31</v>
      </c>
      <c r="B536">
        <v>0</v>
      </c>
      <c r="C536">
        <v>3</v>
      </c>
      <c r="D536">
        <v>7</v>
      </c>
      <c r="E536">
        <v>3</v>
      </c>
      <c r="F536">
        <v>44.309185443451398</v>
      </c>
      <c r="G536">
        <v>8</v>
      </c>
      <c r="H536">
        <v>65</v>
      </c>
      <c r="I536">
        <v>80</v>
      </c>
      <c r="J536">
        <v>3</v>
      </c>
      <c r="K536">
        <v>1</v>
      </c>
      <c r="L536" s="2">
        <f t="shared" si="48"/>
        <v>45292</v>
      </c>
      <c r="M536" s="2">
        <f t="shared" ca="1" si="49"/>
        <v>45337</v>
      </c>
      <c r="N536" s="2">
        <f t="shared" ca="1" si="50"/>
        <v>45351</v>
      </c>
      <c r="O536" s="3">
        <f t="shared" ca="1" si="51"/>
        <v>45</v>
      </c>
      <c r="P536" s="3">
        <f t="shared" ca="1" si="52"/>
        <v>14</v>
      </c>
      <c r="Q536" s="1" t="str">
        <f>IF(K536=1,"Joined",IF(H536&gt;=70,"Dropped at Offer",IF(H536&gt;=50,"Dropped at Interview","Dropped at Screening")))</f>
        <v>Joined</v>
      </c>
      <c r="R536" s="1" t="str">
        <f t="shared" ca="1" si="53"/>
        <v>Feb-2024</v>
      </c>
    </row>
    <row r="537" spans="1:18">
      <c r="A537">
        <v>38</v>
      </c>
      <c r="B537">
        <v>1</v>
      </c>
      <c r="C537">
        <v>1</v>
      </c>
      <c r="D537">
        <v>3</v>
      </c>
      <c r="E537">
        <v>2</v>
      </c>
      <c r="F537">
        <v>25.959322546666499</v>
      </c>
      <c r="G537">
        <v>85</v>
      </c>
      <c r="H537">
        <v>24</v>
      </c>
      <c r="I537">
        <v>91</v>
      </c>
      <c r="J537">
        <v>3</v>
      </c>
      <c r="K537">
        <v>0</v>
      </c>
      <c r="L537" s="2">
        <f t="shared" si="48"/>
        <v>45292</v>
      </c>
      <c r="M537" s="2">
        <f t="shared" ca="1" si="49"/>
        <v>45313</v>
      </c>
      <c r="N537" s="2" t="str">
        <f t="shared" ca="1" si="50"/>
        <v>N/A</v>
      </c>
      <c r="O537" s="3">
        <f t="shared" ca="1" si="51"/>
        <v>21</v>
      </c>
      <c r="P537" s="3" t="str">
        <f t="shared" ca="1" si="52"/>
        <v>N/A</v>
      </c>
      <c r="Q537" s="1" t="str">
        <f>IF(K537=1,"Joined",IF(H537&gt;=70,"Dropped at Offer",IF(H537&gt;=50,"Dropped at Interview","Dropped at Screening")))</f>
        <v>Dropped at Screening</v>
      </c>
      <c r="R537" s="1" t="str">
        <f t="shared" ca="1" si="53"/>
        <v>Jan-2024</v>
      </c>
    </row>
    <row r="538" spans="1:18">
      <c r="A538">
        <v>42</v>
      </c>
      <c r="B538">
        <v>0</v>
      </c>
      <c r="C538">
        <v>2</v>
      </c>
      <c r="D538">
        <v>14</v>
      </c>
      <c r="E538">
        <v>2</v>
      </c>
      <c r="F538">
        <v>15.826879481013099</v>
      </c>
      <c r="G538">
        <v>86</v>
      </c>
      <c r="H538">
        <v>60</v>
      </c>
      <c r="I538">
        <v>9</v>
      </c>
      <c r="J538">
        <v>3</v>
      </c>
      <c r="K538">
        <v>0</v>
      </c>
      <c r="L538" s="2">
        <f t="shared" si="48"/>
        <v>45292</v>
      </c>
      <c r="M538" s="2">
        <f t="shared" ca="1" si="49"/>
        <v>45308</v>
      </c>
      <c r="N538" s="2" t="str">
        <f t="shared" ca="1" si="50"/>
        <v>N/A</v>
      </c>
      <c r="O538" s="3">
        <f t="shared" ca="1" si="51"/>
        <v>16</v>
      </c>
      <c r="P538" s="3" t="str">
        <f t="shared" ca="1" si="52"/>
        <v>N/A</v>
      </c>
      <c r="Q538" s="1" t="str">
        <f>IF(K538=1,"Joined",IF(H538&gt;=70,"Dropped at Offer",IF(H538&gt;=50,"Dropped at Interview","Dropped at Screening")))</f>
        <v>Dropped at Interview</v>
      </c>
      <c r="R538" s="1" t="str">
        <f t="shared" ca="1" si="53"/>
        <v>Jan-2024</v>
      </c>
    </row>
    <row r="539" spans="1:18">
      <c r="A539">
        <v>34</v>
      </c>
      <c r="B539">
        <v>1</v>
      </c>
      <c r="C539">
        <v>4</v>
      </c>
      <c r="D539">
        <v>11</v>
      </c>
      <c r="E539">
        <v>3</v>
      </c>
      <c r="F539">
        <v>14.255662520757401</v>
      </c>
      <c r="G539">
        <v>75</v>
      </c>
      <c r="H539">
        <v>65</v>
      </c>
      <c r="I539">
        <v>85</v>
      </c>
      <c r="J539">
        <v>2</v>
      </c>
      <c r="K539">
        <v>1</v>
      </c>
      <c r="L539" s="2">
        <f t="shared" si="48"/>
        <v>45292</v>
      </c>
      <c r="M539" s="2">
        <f t="shared" ca="1" si="49"/>
        <v>45322</v>
      </c>
      <c r="N539" s="2">
        <f t="shared" ca="1" si="50"/>
        <v>45340</v>
      </c>
      <c r="O539" s="3">
        <f t="shared" ca="1" si="51"/>
        <v>30</v>
      </c>
      <c r="P539" s="3">
        <f t="shared" ca="1" si="52"/>
        <v>18</v>
      </c>
      <c r="Q539" s="1" t="str">
        <f>IF(K539=1,"Joined",IF(H539&gt;=70,"Dropped at Offer",IF(H539&gt;=50,"Dropped at Interview","Dropped at Screening")))</f>
        <v>Joined</v>
      </c>
      <c r="R539" s="1" t="str">
        <f t="shared" ca="1" si="53"/>
        <v>Jan-2024</v>
      </c>
    </row>
    <row r="540" spans="1:18">
      <c r="A540">
        <v>47</v>
      </c>
      <c r="B540">
        <v>1</v>
      </c>
      <c r="C540">
        <v>3</v>
      </c>
      <c r="D540">
        <v>3</v>
      </c>
      <c r="E540">
        <v>3</v>
      </c>
      <c r="F540">
        <v>22.600527946518099</v>
      </c>
      <c r="G540">
        <v>73</v>
      </c>
      <c r="H540">
        <v>41</v>
      </c>
      <c r="I540">
        <v>56</v>
      </c>
      <c r="J540">
        <v>2</v>
      </c>
      <c r="K540">
        <v>0</v>
      </c>
      <c r="L540" s="2">
        <f t="shared" si="48"/>
        <v>45292</v>
      </c>
      <c r="M540" s="2">
        <f t="shared" ca="1" si="49"/>
        <v>45328</v>
      </c>
      <c r="N540" s="2" t="str">
        <f t="shared" ca="1" si="50"/>
        <v>N/A</v>
      </c>
      <c r="O540" s="3">
        <f t="shared" ca="1" si="51"/>
        <v>36</v>
      </c>
      <c r="P540" s="3" t="str">
        <f t="shared" ca="1" si="52"/>
        <v>N/A</v>
      </c>
      <c r="Q540" s="1" t="str">
        <f>IF(K540=1,"Joined",IF(H540&gt;=70,"Dropped at Offer",IF(H540&gt;=50,"Dropped at Interview","Dropped at Screening")))</f>
        <v>Dropped at Screening</v>
      </c>
      <c r="R540" s="1" t="str">
        <f t="shared" ca="1" si="53"/>
        <v>Feb-2024</v>
      </c>
    </row>
    <row r="541" spans="1:18">
      <c r="A541">
        <v>21</v>
      </c>
      <c r="B541">
        <v>1</v>
      </c>
      <c r="C541">
        <v>2</v>
      </c>
      <c r="D541">
        <v>8</v>
      </c>
      <c r="E541">
        <v>2</v>
      </c>
      <c r="F541">
        <v>50.9524749051822</v>
      </c>
      <c r="G541">
        <v>33</v>
      </c>
      <c r="H541">
        <v>64</v>
      </c>
      <c r="I541">
        <v>96</v>
      </c>
      <c r="J541">
        <v>1</v>
      </c>
      <c r="K541">
        <v>1</v>
      </c>
      <c r="L541" s="2">
        <f t="shared" si="48"/>
        <v>45292</v>
      </c>
      <c r="M541" s="2">
        <f t="shared" ca="1" si="49"/>
        <v>45308</v>
      </c>
      <c r="N541" s="2">
        <f t="shared" ca="1" si="50"/>
        <v>45338</v>
      </c>
      <c r="O541" s="3">
        <f t="shared" ca="1" si="51"/>
        <v>16</v>
      </c>
      <c r="P541" s="3">
        <f t="shared" ca="1" si="52"/>
        <v>30</v>
      </c>
      <c r="Q541" s="1" t="str">
        <f>IF(K541=1,"Joined",IF(H541&gt;=70,"Dropped at Offer",IF(H541&gt;=50,"Dropped at Interview","Dropped at Screening")))</f>
        <v>Joined</v>
      </c>
      <c r="R541" s="1" t="str">
        <f t="shared" ca="1" si="53"/>
        <v>Jan-2024</v>
      </c>
    </row>
    <row r="542" spans="1:18">
      <c r="A542">
        <v>21</v>
      </c>
      <c r="B542">
        <v>1</v>
      </c>
      <c r="C542">
        <v>2</v>
      </c>
      <c r="D542">
        <v>0</v>
      </c>
      <c r="E542">
        <v>3</v>
      </c>
      <c r="F542">
        <v>12.016369671879101</v>
      </c>
      <c r="G542">
        <v>42</v>
      </c>
      <c r="H542">
        <v>35</v>
      </c>
      <c r="I542">
        <v>85</v>
      </c>
      <c r="J542">
        <v>2</v>
      </c>
      <c r="K542">
        <v>0</v>
      </c>
      <c r="L542" s="2">
        <f t="shared" si="48"/>
        <v>45292</v>
      </c>
      <c r="M542" s="2">
        <f t="shared" ca="1" si="49"/>
        <v>45324</v>
      </c>
      <c r="N542" s="2" t="str">
        <f t="shared" ca="1" si="50"/>
        <v>N/A</v>
      </c>
      <c r="O542" s="3">
        <f t="shared" ca="1" si="51"/>
        <v>32</v>
      </c>
      <c r="P542" s="3" t="str">
        <f t="shared" ca="1" si="52"/>
        <v>N/A</v>
      </c>
      <c r="Q542" s="1" t="str">
        <f>IF(K542=1,"Joined",IF(H542&gt;=70,"Dropped at Offer",IF(H542&gt;=50,"Dropped at Interview","Dropped at Screening")))</f>
        <v>Dropped at Screening</v>
      </c>
      <c r="R542" s="1" t="str">
        <f t="shared" ca="1" si="53"/>
        <v>Feb-2024</v>
      </c>
    </row>
    <row r="543" spans="1:18">
      <c r="A543">
        <v>42</v>
      </c>
      <c r="B543">
        <v>0</v>
      </c>
      <c r="C543">
        <v>3</v>
      </c>
      <c r="D543">
        <v>12</v>
      </c>
      <c r="E543">
        <v>3</v>
      </c>
      <c r="F543">
        <v>6.16083244394998</v>
      </c>
      <c r="G543">
        <v>73</v>
      </c>
      <c r="H543">
        <v>75</v>
      </c>
      <c r="I543">
        <v>36</v>
      </c>
      <c r="J543">
        <v>2</v>
      </c>
      <c r="K543">
        <v>1</v>
      </c>
      <c r="L543" s="2">
        <f t="shared" si="48"/>
        <v>45292</v>
      </c>
      <c r="M543" s="2">
        <f t="shared" ca="1" si="49"/>
        <v>45336</v>
      </c>
      <c r="N543" s="2">
        <f t="shared" ca="1" si="50"/>
        <v>45343</v>
      </c>
      <c r="O543" s="3">
        <f t="shared" ca="1" si="51"/>
        <v>44</v>
      </c>
      <c r="P543" s="3">
        <f t="shared" ca="1" si="52"/>
        <v>7</v>
      </c>
      <c r="Q543" s="1" t="str">
        <f>IF(K543=1,"Joined",IF(H543&gt;=70,"Dropped at Offer",IF(H543&gt;=50,"Dropped at Interview","Dropped at Screening")))</f>
        <v>Joined</v>
      </c>
      <c r="R543" s="1" t="str">
        <f t="shared" ca="1" si="53"/>
        <v>Feb-2024</v>
      </c>
    </row>
    <row r="544" spans="1:18">
      <c r="A544">
        <v>50</v>
      </c>
      <c r="B544">
        <v>0</v>
      </c>
      <c r="C544">
        <v>2</v>
      </c>
      <c r="D544">
        <v>1</v>
      </c>
      <c r="E544">
        <v>4</v>
      </c>
      <c r="F544">
        <v>30.251758435932999</v>
      </c>
      <c r="G544">
        <v>93</v>
      </c>
      <c r="H544">
        <v>8</v>
      </c>
      <c r="I544">
        <v>76</v>
      </c>
      <c r="J544">
        <v>2</v>
      </c>
      <c r="K544">
        <v>0</v>
      </c>
      <c r="L544" s="2">
        <f t="shared" si="48"/>
        <v>45292</v>
      </c>
      <c r="M544" s="2">
        <f t="shared" ca="1" si="49"/>
        <v>45307</v>
      </c>
      <c r="N544" s="2" t="str">
        <f t="shared" ca="1" si="50"/>
        <v>N/A</v>
      </c>
      <c r="O544" s="3">
        <f t="shared" ca="1" si="51"/>
        <v>15</v>
      </c>
      <c r="P544" s="3" t="str">
        <f t="shared" ca="1" si="52"/>
        <v>N/A</v>
      </c>
      <c r="Q544" s="1" t="str">
        <f>IF(K544=1,"Joined",IF(H544&gt;=70,"Dropped at Offer",IF(H544&gt;=50,"Dropped at Interview","Dropped at Screening")))</f>
        <v>Dropped at Screening</v>
      </c>
      <c r="R544" s="1" t="str">
        <f t="shared" ca="1" si="53"/>
        <v>Jan-2024</v>
      </c>
    </row>
    <row r="545" spans="1:18">
      <c r="A545">
        <v>41</v>
      </c>
      <c r="B545">
        <v>1</v>
      </c>
      <c r="C545">
        <v>3</v>
      </c>
      <c r="D545">
        <v>1</v>
      </c>
      <c r="E545">
        <v>1</v>
      </c>
      <c r="F545">
        <v>25.4271233220128</v>
      </c>
      <c r="G545">
        <v>21</v>
      </c>
      <c r="H545">
        <v>35</v>
      </c>
      <c r="I545">
        <v>90</v>
      </c>
      <c r="J545">
        <v>2</v>
      </c>
      <c r="K545">
        <v>0</v>
      </c>
      <c r="L545" s="2">
        <f t="shared" si="48"/>
        <v>45292</v>
      </c>
      <c r="M545" s="2">
        <f t="shared" ca="1" si="49"/>
        <v>45318</v>
      </c>
      <c r="N545" s="2" t="str">
        <f t="shared" ca="1" si="50"/>
        <v>N/A</v>
      </c>
      <c r="O545" s="3">
        <f t="shared" ca="1" si="51"/>
        <v>26</v>
      </c>
      <c r="P545" s="3" t="str">
        <f t="shared" ca="1" si="52"/>
        <v>N/A</v>
      </c>
      <c r="Q545" s="1" t="str">
        <f>IF(K545=1,"Joined",IF(H545&gt;=70,"Dropped at Offer",IF(H545&gt;=50,"Dropped at Interview","Dropped at Screening")))</f>
        <v>Dropped at Screening</v>
      </c>
      <c r="R545" s="1" t="str">
        <f t="shared" ca="1" si="53"/>
        <v>Jan-2024</v>
      </c>
    </row>
    <row r="546" spans="1:18">
      <c r="A546">
        <v>38</v>
      </c>
      <c r="B546">
        <v>1</v>
      </c>
      <c r="C546">
        <v>3</v>
      </c>
      <c r="D546">
        <v>12</v>
      </c>
      <c r="E546">
        <v>2</v>
      </c>
      <c r="F546">
        <v>27.209813553165301</v>
      </c>
      <c r="G546">
        <v>69</v>
      </c>
      <c r="H546">
        <v>91</v>
      </c>
      <c r="I546">
        <v>63</v>
      </c>
      <c r="J546">
        <v>3</v>
      </c>
      <c r="K546">
        <v>1</v>
      </c>
      <c r="L546" s="2">
        <f t="shared" si="48"/>
        <v>45292</v>
      </c>
      <c r="M546" s="2">
        <f t="shared" ca="1" si="49"/>
        <v>45332</v>
      </c>
      <c r="N546" s="2">
        <f t="shared" ca="1" si="50"/>
        <v>45349</v>
      </c>
      <c r="O546" s="3">
        <f t="shared" ca="1" si="51"/>
        <v>40</v>
      </c>
      <c r="P546" s="3">
        <f t="shared" ca="1" si="52"/>
        <v>17</v>
      </c>
      <c r="Q546" s="1" t="str">
        <f>IF(K546=1,"Joined",IF(H546&gt;=70,"Dropped at Offer",IF(H546&gt;=50,"Dropped at Interview","Dropped at Screening")))</f>
        <v>Joined</v>
      </c>
      <c r="R546" s="1" t="str">
        <f t="shared" ca="1" si="53"/>
        <v>Feb-2024</v>
      </c>
    </row>
    <row r="547" spans="1:18">
      <c r="A547">
        <v>44</v>
      </c>
      <c r="B547">
        <v>1</v>
      </c>
      <c r="C547">
        <v>1</v>
      </c>
      <c r="D547">
        <v>12</v>
      </c>
      <c r="E547">
        <v>4</v>
      </c>
      <c r="F547">
        <v>34.346770877860799</v>
      </c>
      <c r="G547">
        <v>1</v>
      </c>
      <c r="H547">
        <v>37</v>
      </c>
      <c r="I547">
        <v>78</v>
      </c>
      <c r="J547">
        <v>2</v>
      </c>
      <c r="K547">
        <v>0</v>
      </c>
      <c r="L547" s="2">
        <f t="shared" si="48"/>
        <v>45292</v>
      </c>
      <c r="M547" s="2">
        <f t="shared" ca="1" si="49"/>
        <v>45310</v>
      </c>
      <c r="N547" s="2" t="str">
        <f t="shared" ca="1" si="50"/>
        <v>N/A</v>
      </c>
      <c r="O547" s="3">
        <f t="shared" ca="1" si="51"/>
        <v>18</v>
      </c>
      <c r="P547" s="3" t="str">
        <f t="shared" ca="1" si="52"/>
        <v>N/A</v>
      </c>
      <c r="Q547" s="1" t="str">
        <f>IF(K547=1,"Joined",IF(H547&gt;=70,"Dropped at Offer",IF(H547&gt;=50,"Dropped at Interview","Dropped at Screening")))</f>
        <v>Dropped at Screening</v>
      </c>
      <c r="R547" s="1" t="str">
        <f t="shared" ca="1" si="53"/>
        <v>Jan-2024</v>
      </c>
    </row>
    <row r="548" spans="1:18">
      <c r="A548">
        <v>45</v>
      </c>
      <c r="B548">
        <v>0</v>
      </c>
      <c r="C548">
        <v>1</v>
      </c>
      <c r="D548">
        <v>5</v>
      </c>
      <c r="E548">
        <v>1</v>
      </c>
      <c r="F548">
        <v>14.357203493532401</v>
      </c>
      <c r="G548">
        <v>93</v>
      </c>
      <c r="H548">
        <v>32</v>
      </c>
      <c r="I548">
        <v>85</v>
      </c>
      <c r="J548">
        <v>2</v>
      </c>
      <c r="K548">
        <v>0</v>
      </c>
      <c r="L548" s="2">
        <f t="shared" si="48"/>
        <v>45292</v>
      </c>
      <c r="M548" s="2">
        <f t="shared" ca="1" si="49"/>
        <v>45320</v>
      </c>
      <c r="N548" s="2" t="str">
        <f t="shared" ca="1" si="50"/>
        <v>N/A</v>
      </c>
      <c r="O548" s="3">
        <f t="shared" ca="1" si="51"/>
        <v>28</v>
      </c>
      <c r="P548" s="3" t="str">
        <f t="shared" ca="1" si="52"/>
        <v>N/A</v>
      </c>
      <c r="Q548" s="1" t="str">
        <f>IF(K548=1,"Joined",IF(H548&gt;=70,"Dropped at Offer",IF(H548&gt;=50,"Dropped at Interview","Dropped at Screening")))</f>
        <v>Dropped at Screening</v>
      </c>
      <c r="R548" s="1" t="str">
        <f t="shared" ca="1" si="53"/>
        <v>Jan-2024</v>
      </c>
    </row>
    <row r="549" spans="1:18">
      <c r="A549">
        <v>50</v>
      </c>
      <c r="B549">
        <v>0</v>
      </c>
      <c r="C549">
        <v>2</v>
      </c>
      <c r="D549">
        <v>14</v>
      </c>
      <c r="E549">
        <v>3</v>
      </c>
      <c r="F549">
        <v>46.533249769194398</v>
      </c>
      <c r="G549">
        <v>65</v>
      </c>
      <c r="H549">
        <v>41</v>
      </c>
      <c r="I549">
        <v>93</v>
      </c>
      <c r="J549">
        <v>2</v>
      </c>
      <c r="K549">
        <v>0</v>
      </c>
      <c r="L549" s="2">
        <f t="shared" si="48"/>
        <v>45292</v>
      </c>
      <c r="M549" s="2">
        <f t="shared" ca="1" si="49"/>
        <v>45328</v>
      </c>
      <c r="N549" s="2" t="str">
        <f t="shared" ca="1" si="50"/>
        <v>N/A</v>
      </c>
      <c r="O549" s="3">
        <f t="shared" ca="1" si="51"/>
        <v>36</v>
      </c>
      <c r="P549" s="3" t="str">
        <f t="shared" ca="1" si="52"/>
        <v>N/A</v>
      </c>
      <c r="Q549" s="1" t="str">
        <f>IF(K549=1,"Joined",IF(H549&gt;=70,"Dropped at Offer",IF(H549&gt;=50,"Dropped at Interview","Dropped at Screening")))</f>
        <v>Dropped at Screening</v>
      </c>
      <c r="R549" s="1" t="str">
        <f t="shared" ca="1" si="53"/>
        <v>Feb-2024</v>
      </c>
    </row>
    <row r="550" spans="1:18">
      <c r="A550">
        <v>49</v>
      </c>
      <c r="B550">
        <v>0</v>
      </c>
      <c r="C550">
        <v>1</v>
      </c>
      <c r="D550">
        <v>3</v>
      </c>
      <c r="E550">
        <v>3</v>
      </c>
      <c r="F550">
        <v>22.7836033061145</v>
      </c>
      <c r="G550">
        <v>31</v>
      </c>
      <c r="H550">
        <v>60</v>
      </c>
      <c r="I550">
        <v>39</v>
      </c>
      <c r="J550">
        <v>1</v>
      </c>
      <c r="K550">
        <v>0</v>
      </c>
      <c r="L550" s="2">
        <f t="shared" si="48"/>
        <v>45292</v>
      </c>
      <c r="M550" s="2">
        <f t="shared" ca="1" si="49"/>
        <v>45335</v>
      </c>
      <c r="N550" s="2" t="str">
        <f t="shared" ca="1" si="50"/>
        <v>N/A</v>
      </c>
      <c r="O550" s="3">
        <f t="shared" ca="1" si="51"/>
        <v>43</v>
      </c>
      <c r="P550" s="3" t="str">
        <f t="shared" ca="1" si="52"/>
        <v>N/A</v>
      </c>
      <c r="Q550" s="1" t="str">
        <f>IF(K550=1,"Joined",IF(H550&gt;=70,"Dropped at Offer",IF(H550&gt;=50,"Dropped at Interview","Dropped at Screening")))</f>
        <v>Dropped at Interview</v>
      </c>
      <c r="R550" s="1" t="str">
        <f t="shared" ca="1" si="53"/>
        <v>Feb-2024</v>
      </c>
    </row>
    <row r="551" spans="1:18">
      <c r="A551">
        <v>48</v>
      </c>
      <c r="B551">
        <v>0</v>
      </c>
      <c r="C551">
        <v>2</v>
      </c>
      <c r="D551">
        <v>15</v>
      </c>
      <c r="E551">
        <v>4</v>
      </c>
      <c r="F551">
        <v>7.4543097571230801</v>
      </c>
      <c r="G551">
        <v>15</v>
      </c>
      <c r="H551">
        <v>45</v>
      </c>
      <c r="I551">
        <v>100</v>
      </c>
      <c r="J551">
        <v>1</v>
      </c>
      <c r="K551">
        <v>1</v>
      </c>
      <c r="L551" s="2">
        <f t="shared" si="48"/>
        <v>45292</v>
      </c>
      <c r="M551" s="2">
        <f t="shared" ca="1" si="49"/>
        <v>45327</v>
      </c>
      <c r="N551" s="2">
        <f t="shared" ca="1" si="50"/>
        <v>45352</v>
      </c>
      <c r="O551" s="3">
        <f t="shared" ca="1" si="51"/>
        <v>35</v>
      </c>
      <c r="P551" s="3">
        <f t="shared" ca="1" si="52"/>
        <v>25</v>
      </c>
      <c r="Q551" s="1" t="str">
        <f>IF(K551=1,"Joined",IF(H551&gt;=70,"Dropped at Offer",IF(H551&gt;=50,"Dropped at Interview","Dropped at Screening")))</f>
        <v>Joined</v>
      </c>
      <c r="R551" s="1" t="str">
        <f t="shared" ca="1" si="53"/>
        <v>Feb-2024</v>
      </c>
    </row>
    <row r="552" spans="1:18">
      <c r="A552">
        <v>41</v>
      </c>
      <c r="B552">
        <v>1</v>
      </c>
      <c r="C552">
        <v>4</v>
      </c>
      <c r="D552">
        <v>12</v>
      </c>
      <c r="E552">
        <v>3</v>
      </c>
      <c r="F552">
        <v>38.114937836697202</v>
      </c>
      <c r="G552">
        <v>75</v>
      </c>
      <c r="H552">
        <v>85</v>
      </c>
      <c r="I552">
        <v>97</v>
      </c>
      <c r="J552">
        <v>2</v>
      </c>
      <c r="K552">
        <v>1</v>
      </c>
      <c r="L552" s="2">
        <f t="shared" si="48"/>
        <v>45292</v>
      </c>
      <c r="M552" s="2">
        <f t="shared" ca="1" si="49"/>
        <v>45320</v>
      </c>
      <c r="N552" s="2">
        <f t="shared" ca="1" si="50"/>
        <v>45336</v>
      </c>
      <c r="O552" s="3">
        <f t="shared" ca="1" si="51"/>
        <v>28</v>
      </c>
      <c r="P552" s="3">
        <f t="shared" ca="1" si="52"/>
        <v>16</v>
      </c>
      <c r="Q552" s="1" t="str">
        <f>IF(K552=1,"Joined",IF(H552&gt;=70,"Dropped at Offer",IF(H552&gt;=50,"Dropped at Interview","Dropped at Screening")))</f>
        <v>Joined</v>
      </c>
      <c r="R552" s="1" t="str">
        <f t="shared" ca="1" si="53"/>
        <v>Jan-2024</v>
      </c>
    </row>
    <row r="553" spans="1:18">
      <c r="A553">
        <v>45</v>
      </c>
      <c r="B553">
        <v>1</v>
      </c>
      <c r="C553">
        <v>2</v>
      </c>
      <c r="D553">
        <v>10</v>
      </c>
      <c r="E553">
        <v>5</v>
      </c>
      <c r="F553">
        <v>33.155217630892501</v>
      </c>
      <c r="G553">
        <v>0</v>
      </c>
      <c r="H553">
        <v>88</v>
      </c>
      <c r="I553">
        <v>59</v>
      </c>
      <c r="J553">
        <v>1</v>
      </c>
      <c r="K553">
        <v>1</v>
      </c>
      <c r="L553" s="2">
        <f t="shared" si="48"/>
        <v>45292</v>
      </c>
      <c r="M553" s="2">
        <f t="shared" ca="1" si="49"/>
        <v>45331</v>
      </c>
      <c r="N553" s="2">
        <f t="shared" ca="1" si="50"/>
        <v>45338</v>
      </c>
      <c r="O553" s="3">
        <f t="shared" ca="1" si="51"/>
        <v>39</v>
      </c>
      <c r="P553" s="3">
        <f t="shared" ca="1" si="52"/>
        <v>7</v>
      </c>
      <c r="Q553" s="1" t="str">
        <f>IF(K553=1,"Joined",IF(H553&gt;=70,"Dropped at Offer",IF(H553&gt;=50,"Dropped at Interview","Dropped at Screening")))</f>
        <v>Joined</v>
      </c>
      <c r="R553" s="1" t="str">
        <f t="shared" ca="1" si="53"/>
        <v>Feb-2024</v>
      </c>
    </row>
    <row r="554" spans="1:18">
      <c r="A554">
        <v>45</v>
      </c>
      <c r="B554">
        <v>1</v>
      </c>
      <c r="C554">
        <v>3</v>
      </c>
      <c r="D554">
        <v>9</v>
      </c>
      <c r="E554">
        <v>4</v>
      </c>
      <c r="F554">
        <v>16.787170124201801</v>
      </c>
      <c r="G554">
        <v>71</v>
      </c>
      <c r="H554">
        <v>60</v>
      </c>
      <c r="I554">
        <v>97</v>
      </c>
      <c r="J554">
        <v>2</v>
      </c>
      <c r="K554">
        <v>1</v>
      </c>
      <c r="L554" s="2">
        <f t="shared" si="48"/>
        <v>45292</v>
      </c>
      <c r="M554" s="2">
        <f t="shared" ca="1" si="49"/>
        <v>45312</v>
      </c>
      <c r="N554" s="2">
        <f t="shared" ca="1" si="50"/>
        <v>45319</v>
      </c>
      <c r="O554" s="3">
        <f t="shared" ca="1" si="51"/>
        <v>20</v>
      </c>
      <c r="P554" s="3">
        <f t="shared" ca="1" si="52"/>
        <v>7</v>
      </c>
      <c r="Q554" s="1" t="str">
        <f>IF(K554=1,"Joined",IF(H554&gt;=70,"Dropped at Offer",IF(H554&gt;=50,"Dropped at Interview","Dropped at Screening")))</f>
        <v>Joined</v>
      </c>
      <c r="R554" s="1" t="str">
        <f t="shared" ca="1" si="53"/>
        <v>Jan-2024</v>
      </c>
    </row>
    <row r="555" spans="1:18">
      <c r="A555">
        <v>41</v>
      </c>
      <c r="B555">
        <v>0</v>
      </c>
      <c r="C555">
        <v>2</v>
      </c>
      <c r="D555">
        <v>12</v>
      </c>
      <c r="E555">
        <v>1</v>
      </c>
      <c r="F555">
        <v>32.075936201702397</v>
      </c>
      <c r="G555">
        <v>47</v>
      </c>
      <c r="H555">
        <v>17</v>
      </c>
      <c r="I555">
        <v>47</v>
      </c>
      <c r="J555">
        <v>2</v>
      </c>
      <c r="K555">
        <v>0</v>
      </c>
      <c r="L555" s="2">
        <f t="shared" si="48"/>
        <v>45292</v>
      </c>
      <c r="M555" s="2">
        <f t="shared" ca="1" si="49"/>
        <v>45331</v>
      </c>
      <c r="N555" s="2" t="str">
        <f t="shared" ca="1" si="50"/>
        <v>N/A</v>
      </c>
      <c r="O555" s="3">
        <f t="shared" ca="1" si="51"/>
        <v>39</v>
      </c>
      <c r="P555" s="3" t="str">
        <f t="shared" ca="1" si="52"/>
        <v>N/A</v>
      </c>
      <c r="Q555" s="1" t="str">
        <f>IF(K555=1,"Joined",IF(H555&gt;=70,"Dropped at Offer",IF(H555&gt;=50,"Dropped at Interview","Dropped at Screening")))</f>
        <v>Dropped at Screening</v>
      </c>
      <c r="R555" s="1" t="str">
        <f t="shared" ca="1" si="53"/>
        <v>Feb-2024</v>
      </c>
    </row>
    <row r="556" spans="1:18">
      <c r="A556">
        <v>36</v>
      </c>
      <c r="B556">
        <v>0</v>
      </c>
      <c r="C556">
        <v>2</v>
      </c>
      <c r="D556">
        <v>2</v>
      </c>
      <c r="E556">
        <v>4</v>
      </c>
      <c r="F556">
        <v>11.993097818448801</v>
      </c>
      <c r="G556">
        <v>49</v>
      </c>
      <c r="H556">
        <v>69</v>
      </c>
      <c r="I556">
        <v>98</v>
      </c>
      <c r="J556">
        <v>1</v>
      </c>
      <c r="K556">
        <v>1</v>
      </c>
      <c r="L556" s="2">
        <f t="shared" si="48"/>
        <v>45292</v>
      </c>
      <c r="M556" s="2">
        <f t="shared" ca="1" si="49"/>
        <v>45332</v>
      </c>
      <c r="N556" s="2">
        <f t="shared" ca="1" si="50"/>
        <v>45352</v>
      </c>
      <c r="O556" s="3">
        <f t="shared" ca="1" si="51"/>
        <v>40</v>
      </c>
      <c r="P556" s="3">
        <f t="shared" ca="1" si="52"/>
        <v>20</v>
      </c>
      <c r="Q556" s="1" t="str">
        <f>IF(K556=1,"Joined",IF(H556&gt;=70,"Dropped at Offer",IF(H556&gt;=50,"Dropped at Interview","Dropped at Screening")))</f>
        <v>Joined</v>
      </c>
      <c r="R556" s="1" t="str">
        <f t="shared" ca="1" si="53"/>
        <v>Feb-2024</v>
      </c>
    </row>
    <row r="557" spans="1:18">
      <c r="A557">
        <v>39</v>
      </c>
      <c r="B557">
        <v>0</v>
      </c>
      <c r="C557">
        <v>1</v>
      </c>
      <c r="D557">
        <v>2</v>
      </c>
      <c r="E557">
        <v>2</v>
      </c>
      <c r="F557">
        <v>23.241967967026401</v>
      </c>
      <c r="G557">
        <v>12</v>
      </c>
      <c r="H557">
        <v>81</v>
      </c>
      <c r="I557">
        <v>18</v>
      </c>
      <c r="J557">
        <v>1</v>
      </c>
      <c r="K557">
        <v>0</v>
      </c>
      <c r="L557" s="2">
        <f t="shared" si="48"/>
        <v>45292</v>
      </c>
      <c r="M557" s="2">
        <f t="shared" ca="1" si="49"/>
        <v>45309</v>
      </c>
      <c r="N557" s="2" t="str">
        <f t="shared" ca="1" si="50"/>
        <v>N/A</v>
      </c>
      <c r="O557" s="3">
        <f t="shared" ca="1" si="51"/>
        <v>17</v>
      </c>
      <c r="P557" s="3" t="str">
        <f t="shared" ca="1" si="52"/>
        <v>N/A</v>
      </c>
      <c r="Q557" s="1" t="str">
        <f>IF(K557=1,"Joined",IF(H557&gt;=70,"Dropped at Offer",IF(H557&gt;=50,"Dropped at Interview","Dropped at Screening")))</f>
        <v>Dropped at Offer</v>
      </c>
      <c r="R557" s="1" t="str">
        <f t="shared" ca="1" si="53"/>
        <v>Jan-2024</v>
      </c>
    </row>
    <row r="558" spans="1:18">
      <c r="A558">
        <v>29</v>
      </c>
      <c r="B558">
        <v>1</v>
      </c>
      <c r="C558">
        <v>2</v>
      </c>
      <c r="D558">
        <v>2</v>
      </c>
      <c r="E558">
        <v>4</v>
      </c>
      <c r="F558">
        <v>45.970626108366197</v>
      </c>
      <c r="G558">
        <v>14</v>
      </c>
      <c r="H558">
        <v>79</v>
      </c>
      <c r="I558">
        <v>71</v>
      </c>
      <c r="J558">
        <v>2</v>
      </c>
      <c r="K558">
        <v>0</v>
      </c>
      <c r="L558" s="2">
        <f t="shared" si="48"/>
        <v>45292</v>
      </c>
      <c r="M558" s="2">
        <f t="shared" ca="1" si="49"/>
        <v>45329</v>
      </c>
      <c r="N558" s="2" t="str">
        <f t="shared" ca="1" si="50"/>
        <v>N/A</v>
      </c>
      <c r="O558" s="3">
        <f t="shared" ca="1" si="51"/>
        <v>37</v>
      </c>
      <c r="P558" s="3" t="str">
        <f t="shared" ca="1" si="52"/>
        <v>N/A</v>
      </c>
      <c r="Q558" s="1" t="str">
        <f>IF(K558=1,"Joined",IF(H558&gt;=70,"Dropped at Offer",IF(H558&gt;=50,"Dropped at Interview","Dropped at Screening")))</f>
        <v>Dropped at Offer</v>
      </c>
      <c r="R558" s="1" t="str">
        <f t="shared" ca="1" si="53"/>
        <v>Feb-2024</v>
      </c>
    </row>
    <row r="559" spans="1:18">
      <c r="A559">
        <v>25</v>
      </c>
      <c r="B559">
        <v>1</v>
      </c>
      <c r="C559">
        <v>2</v>
      </c>
      <c r="D559">
        <v>5</v>
      </c>
      <c r="E559">
        <v>3</v>
      </c>
      <c r="F559">
        <v>7.6767116580374699</v>
      </c>
      <c r="G559">
        <v>52</v>
      </c>
      <c r="H559">
        <v>14</v>
      </c>
      <c r="I559">
        <v>32</v>
      </c>
      <c r="J559">
        <v>2</v>
      </c>
      <c r="K559">
        <v>0</v>
      </c>
      <c r="L559" s="2">
        <f t="shared" si="48"/>
        <v>45292</v>
      </c>
      <c r="M559" s="2">
        <f t="shared" ca="1" si="49"/>
        <v>45309</v>
      </c>
      <c r="N559" s="2" t="str">
        <f t="shared" ca="1" si="50"/>
        <v>N/A</v>
      </c>
      <c r="O559" s="3">
        <f t="shared" ca="1" si="51"/>
        <v>17</v>
      </c>
      <c r="P559" s="3" t="str">
        <f t="shared" ca="1" si="52"/>
        <v>N/A</v>
      </c>
      <c r="Q559" s="1" t="str">
        <f>IF(K559=1,"Joined",IF(H559&gt;=70,"Dropped at Offer",IF(H559&gt;=50,"Dropped at Interview","Dropped at Screening")))</f>
        <v>Dropped at Screening</v>
      </c>
      <c r="R559" s="1" t="str">
        <f t="shared" ca="1" si="53"/>
        <v>Jan-2024</v>
      </c>
    </row>
    <row r="560" spans="1:18">
      <c r="A560">
        <v>34</v>
      </c>
      <c r="B560">
        <v>0</v>
      </c>
      <c r="C560">
        <v>2</v>
      </c>
      <c r="D560">
        <v>13</v>
      </c>
      <c r="E560">
        <v>3</v>
      </c>
      <c r="F560">
        <v>20.3348224993731</v>
      </c>
      <c r="G560">
        <v>43</v>
      </c>
      <c r="H560">
        <v>47</v>
      </c>
      <c r="I560">
        <v>43</v>
      </c>
      <c r="J560">
        <v>2</v>
      </c>
      <c r="K560">
        <v>0</v>
      </c>
      <c r="L560" s="2">
        <f t="shared" si="48"/>
        <v>45292</v>
      </c>
      <c r="M560" s="2">
        <f t="shared" ca="1" si="49"/>
        <v>45324</v>
      </c>
      <c r="N560" s="2" t="str">
        <f t="shared" ca="1" si="50"/>
        <v>N/A</v>
      </c>
      <c r="O560" s="3">
        <f t="shared" ca="1" si="51"/>
        <v>32</v>
      </c>
      <c r="P560" s="3" t="str">
        <f t="shared" ca="1" si="52"/>
        <v>N/A</v>
      </c>
      <c r="Q560" s="1" t="str">
        <f>IF(K560=1,"Joined",IF(H560&gt;=70,"Dropped at Offer",IF(H560&gt;=50,"Dropped at Interview","Dropped at Screening")))</f>
        <v>Dropped at Screening</v>
      </c>
      <c r="R560" s="1" t="str">
        <f t="shared" ca="1" si="53"/>
        <v>Feb-2024</v>
      </c>
    </row>
    <row r="561" spans="1:18">
      <c r="A561">
        <v>41</v>
      </c>
      <c r="B561">
        <v>1</v>
      </c>
      <c r="C561">
        <v>3</v>
      </c>
      <c r="D561">
        <v>15</v>
      </c>
      <c r="E561">
        <v>5</v>
      </c>
      <c r="F561">
        <v>42.057121236017302</v>
      </c>
      <c r="G561">
        <v>7</v>
      </c>
      <c r="H561">
        <v>71</v>
      </c>
      <c r="I561">
        <v>91</v>
      </c>
      <c r="J561">
        <v>2</v>
      </c>
      <c r="K561">
        <v>1</v>
      </c>
      <c r="L561" s="2">
        <f t="shared" si="48"/>
        <v>45292</v>
      </c>
      <c r="M561" s="2">
        <f t="shared" ca="1" si="49"/>
        <v>45324</v>
      </c>
      <c r="N561" s="2">
        <f t="shared" ca="1" si="50"/>
        <v>45345</v>
      </c>
      <c r="O561" s="3">
        <f t="shared" ca="1" si="51"/>
        <v>32</v>
      </c>
      <c r="P561" s="3">
        <f t="shared" ca="1" si="52"/>
        <v>21</v>
      </c>
      <c r="Q561" s="1" t="str">
        <f>IF(K561=1,"Joined",IF(H561&gt;=70,"Dropped at Offer",IF(H561&gt;=50,"Dropped at Interview","Dropped at Screening")))</f>
        <v>Joined</v>
      </c>
      <c r="R561" s="1" t="str">
        <f t="shared" ca="1" si="53"/>
        <v>Feb-2024</v>
      </c>
    </row>
    <row r="562" spans="1:18">
      <c r="A562">
        <v>30</v>
      </c>
      <c r="B562">
        <v>0</v>
      </c>
      <c r="C562">
        <v>2</v>
      </c>
      <c r="D562">
        <v>7</v>
      </c>
      <c r="E562">
        <v>5</v>
      </c>
      <c r="F562">
        <v>49.474544970308898</v>
      </c>
      <c r="G562">
        <v>73</v>
      </c>
      <c r="H562">
        <v>12</v>
      </c>
      <c r="I562">
        <v>36</v>
      </c>
      <c r="J562">
        <v>2</v>
      </c>
      <c r="K562">
        <v>0</v>
      </c>
      <c r="L562" s="2">
        <f t="shared" si="48"/>
        <v>45292</v>
      </c>
      <c r="M562" s="2">
        <f t="shared" ca="1" si="49"/>
        <v>45313</v>
      </c>
      <c r="N562" s="2" t="str">
        <f t="shared" ca="1" si="50"/>
        <v>N/A</v>
      </c>
      <c r="O562" s="3">
        <f t="shared" ca="1" si="51"/>
        <v>21</v>
      </c>
      <c r="P562" s="3" t="str">
        <f t="shared" ca="1" si="52"/>
        <v>N/A</v>
      </c>
      <c r="Q562" s="1" t="str">
        <f>IF(K562=1,"Joined",IF(H562&gt;=70,"Dropped at Offer",IF(H562&gt;=50,"Dropped at Interview","Dropped at Screening")))</f>
        <v>Dropped at Screening</v>
      </c>
      <c r="R562" s="1" t="str">
        <f t="shared" ca="1" si="53"/>
        <v>Jan-2024</v>
      </c>
    </row>
    <row r="563" spans="1:18">
      <c r="A563">
        <v>47</v>
      </c>
      <c r="B563">
        <v>0</v>
      </c>
      <c r="C563">
        <v>2</v>
      </c>
      <c r="D563">
        <v>10</v>
      </c>
      <c r="E563">
        <v>5</v>
      </c>
      <c r="F563">
        <v>23.696306821089699</v>
      </c>
      <c r="G563">
        <v>45</v>
      </c>
      <c r="H563">
        <v>42</v>
      </c>
      <c r="I563">
        <v>88</v>
      </c>
      <c r="J563">
        <v>3</v>
      </c>
      <c r="K563">
        <v>0</v>
      </c>
      <c r="L563" s="2">
        <f t="shared" si="48"/>
        <v>45292</v>
      </c>
      <c r="M563" s="2">
        <f t="shared" ca="1" si="49"/>
        <v>45310</v>
      </c>
      <c r="N563" s="2" t="str">
        <f t="shared" ca="1" si="50"/>
        <v>N/A</v>
      </c>
      <c r="O563" s="3">
        <f t="shared" ca="1" si="51"/>
        <v>18</v>
      </c>
      <c r="P563" s="3" t="str">
        <f t="shared" ca="1" si="52"/>
        <v>N/A</v>
      </c>
      <c r="Q563" s="1" t="str">
        <f>IF(K563=1,"Joined",IF(H563&gt;=70,"Dropped at Offer",IF(H563&gt;=50,"Dropped at Interview","Dropped at Screening")))</f>
        <v>Dropped at Screening</v>
      </c>
      <c r="R563" s="1" t="str">
        <f t="shared" ca="1" si="53"/>
        <v>Jan-2024</v>
      </c>
    </row>
    <row r="564" spans="1:18">
      <c r="A564">
        <v>24</v>
      </c>
      <c r="B564">
        <v>1</v>
      </c>
      <c r="C564">
        <v>2</v>
      </c>
      <c r="D564">
        <v>6</v>
      </c>
      <c r="E564">
        <v>1</v>
      </c>
      <c r="F564">
        <v>26.349981007167301</v>
      </c>
      <c r="G564">
        <v>68</v>
      </c>
      <c r="H564">
        <v>59</v>
      </c>
      <c r="I564">
        <v>35</v>
      </c>
      <c r="J564">
        <v>2</v>
      </c>
      <c r="K564">
        <v>0</v>
      </c>
      <c r="L564" s="2">
        <f t="shared" si="48"/>
        <v>45292</v>
      </c>
      <c r="M564" s="2">
        <f t="shared" ca="1" si="49"/>
        <v>45336</v>
      </c>
      <c r="N564" s="2" t="str">
        <f t="shared" ca="1" si="50"/>
        <v>N/A</v>
      </c>
      <c r="O564" s="3">
        <f t="shared" ca="1" si="51"/>
        <v>44</v>
      </c>
      <c r="P564" s="3" t="str">
        <f t="shared" ca="1" si="52"/>
        <v>N/A</v>
      </c>
      <c r="Q564" s="1" t="str">
        <f>IF(K564=1,"Joined",IF(H564&gt;=70,"Dropped at Offer",IF(H564&gt;=50,"Dropped at Interview","Dropped at Screening")))</f>
        <v>Dropped at Interview</v>
      </c>
      <c r="R564" s="1" t="str">
        <f t="shared" ca="1" si="53"/>
        <v>Feb-2024</v>
      </c>
    </row>
    <row r="565" spans="1:18">
      <c r="A565">
        <v>20</v>
      </c>
      <c r="B565">
        <v>0</v>
      </c>
      <c r="C565">
        <v>1</v>
      </c>
      <c r="D565">
        <v>13</v>
      </c>
      <c r="E565">
        <v>5</v>
      </c>
      <c r="F565">
        <v>29.608598089188401</v>
      </c>
      <c r="G565">
        <v>18</v>
      </c>
      <c r="H565">
        <v>56</v>
      </c>
      <c r="I565">
        <v>80</v>
      </c>
      <c r="J565">
        <v>3</v>
      </c>
      <c r="K565">
        <v>0</v>
      </c>
      <c r="L565" s="2">
        <f t="shared" si="48"/>
        <v>45292</v>
      </c>
      <c r="M565" s="2">
        <f t="shared" ca="1" si="49"/>
        <v>45317</v>
      </c>
      <c r="N565" s="2" t="str">
        <f t="shared" ca="1" si="50"/>
        <v>N/A</v>
      </c>
      <c r="O565" s="3">
        <f t="shared" ca="1" si="51"/>
        <v>25</v>
      </c>
      <c r="P565" s="3" t="str">
        <f t="shared" ca="1" si="52"/>
        <v>N/A</v>
      </c>
      <c r="Q565" s="1" t="str">
        <f>IF(K565=1,"Joined",IF(H565&gt;=70,"Dropped at Offer",IF(H565&gt;=50,"Dropped at Interview","Dropped at Screening")))</f>
        <v>Dropped at Interview</v>
      </c>
      <c r="R565" s="1" t="str">
        <f t="shared" ca="1" si="53"/>
        <v>Jan-2024</v>
      </c>
    </row>
    <row r="566" spans="1:18">
      <c r="A566">
        <v>27</v>
      </c>
      <c r="B566">
        <v>1</v>
      </c>
      <c r="C566">
        <v>2</v>
      </c>
      <c r="D566">
        <v>3</v>
      </c>
      <c r="E566">
        <v>1</v>
      </c>
      <c r="F566">
        <v>47.617407081685499</v>
      </c>
      <c r="G566">
        <v>37</v>
      </c>
      <c r="H566">
        <v>70</v>
      </c>
      <c r="I566">
        <v>87</v>
      </c>
      <c r="J566">
        <v>1</v>
      </c>
      <c r="K566">
        <v>1</v>
      </c>
      <c r="L566" s="2">
        <f t="shared" si="48"/>
        <v>45292</v>
      </c>
      <c r="M566" s="2">
        <f t="shared" ca="1" si="49"/>
        <v>45325</v>
      </c>
      <c r="N566" s="2">
        <f t="shared" ca="1" si="50"/>
        <v>45334</v>
      </c>
      <c r="O566" s="3">
        <f t="shared" ca="1" si="51"/>
        <v>33</v>
      </c>
      <c r="P566" s="3">
        <f t="shared" ca="1" si="52"/>
        <v>9</v>
      </c>
      <c r="Q566" s="1" t="str">
        <f>IF(K566=1,"Joined",IF(H566&gt;=70,"Dropped at Offer",IF(H566&gt;=50,"Dropped at Interview","Dropped at Screening")))</f>
        <v>Joined</v>
      </c>
      <c r="R566" s="1" t="str">
        <f t="shared" ca="1" si="53"/>
        <v>Feb-2024</v>
      </c>
    </row>
    <row r="567" spans="1:18">
      <c r="A567">
        <v>40</v>
      </c>
      <c r="B567">
        <v>0</v>
      </c>
      <c r="C567">
        <v>1</v>
      </c>
      <c r="D567">
        <v>10</v>
      </c>
      <c r="E567">
        <v>5</v>
      </c>
      <c r="F567">
        <v>43.910339548851397</v>
      </c>
      <c r="G567">
        <v>10</v>
      </c>
      <c r="H567">
        <v>16</v>
      </c>
      <c r="I567">
        <v>20</v>
      </c>
      <c r="J567">
        <v>2</v>
      </c>
      <c r="K567">
        <v>0</v>
      </c>
      <c r="L567" s="2">
        <f t="shared" si="48"/>
        <v>45292</v>
      </c>
      <c r="M567" s="2">
        <f t="shared" ca="1" si="49"/>
        <v>45335</v>
      </c>
      <c r="N567" s="2" t="str">
        <f t="shared" ca="1" si="50"/>
        <v>N/A</v>
      </c>
      <c r="O567" s="3">
        <f t="shared" ca="1" si="51"/>
        <v>43</v>
      </c>
      <c r="P567" s="3" t="str">
        <f t="shared" ca="1" si="52"/>
        <v>N/A</v>
      </c>
      <c r="Q567" s="1" t="str">
        <f>IF(K567=1,"Joined",IF(H567&gt;=70,"Dropped at Offer",IF(H567&gt;=50,"Dropped at Interview","Dropped at Screening")))</f>
        <v>Dropped at Screening</v>
      </c>
      <c r="R567" s="1" t="str">
        <f t="shared" ca="1" si="53"/>
        <v>Feb-2024</v>
      </c>
    </row>
    <row r="568" spans="1:18">
      <c r="A568">
        <v>47</v>
      </c>
      <c r="B568">
        <v>1</v>
      </c>
      <c r="C568">
        <v>1</v>
      </c>
      <c r="D568">
        <v>11</v>
      </c>
      <c r="E568">
        <v>1</v>
      </c>
      <c r="F568">
        <v>9.5300562310822095</v>
      </c>
      <c r="G568">
        <v>42</v>
      </c>
      <c r="H568">
        <v>49</v>
      </c>
      <c r="I568">
        <v>1</v>
      </c>
      <c r="J568">
        <v>2</v>
      </c>
      <c r="K568">
        <v>0</v>
      </c>
      <c r="L568" s="2">
        <f t="shared" si="48"/>
        <v>45292</v>
      </c>
      <c r="M568" s="2">
        <f t="shared" ca="1" si="49"/>
        <v>45336</v>
      </c>
      <c r="N568" s="2" t="str">
        <f t="shared" ca="1" si="50"/>
        <v>N/A</v>
      </c>
      <c r="O568" s="3">
        <f t="shared" ca="1" si="51"/>
        <v>44</v>
      </c>
      <c r="P568" s="3" t="str">
        <f t="shared" ca="1" si="52"/>
        <v>N/A</v>
      </c>
      <c r="Q568" s="1" t="str">
        <f>IF(K568=1,"Joined",IF(H568&gt;=70,"Dropped at Offer",IF(H568&gt;=50,"Dropped at Interview","Dropped at Screening")))</f>
        <v>Dropped at Screening</v>
      </c>
      <c r="R568" s="1" t="str">
        <f t="shared" ca="1" si="53"/>
        <v>Feb-2024</v>
      </c>
    </row>
    <row r="569" spans="1:18">
      <c r="A569">
        <v>31</v>
      </c>
      <c r="B569">
        <v>1</v>
      </c>
      <c r="C569">
        <v>1</v>
      </c>
      <c r="D569">
        <v>3</v>
      </c>
      <c r="E569">
        <v>4</v>
      </c>
      <c r="F569">
        <v>22.837890892353698</v>
      </c>
      <c r="G569">
        <v>19</v>
      </c>
      <c r="H569">
        <v>31</v>
      </c>
      <c r="I569">
        <v>30</v>
      </c>
      <c r="J569">
        <v>1</v>
      </c>
      <c r="K569">
        <v>0</v>
      </c>
      <c r="L569" s="2">
        <f t="shared" si="48"/>
        <v>45292</v>
      </c>
      <c r="M569" s="2">
        <f t="shared" ca="1" si="49"/>
        <v>45310</v>
      </c>
      <c r="N569" s="2" t="str">
        <f t="shared" ca="1" si="50"/>
        <v>N/A</v>
      </c>
      <c r="O569" s="3">
        <f t="shared" ca="1" si="51"/>
        <v>18</v>
      </c>
      <c r="P569" s="3" t="str">
        <f t="shared" ca="1" si="52"/>
        <v>N/A</v>
      </c>
      <c r="Q569" s="1" t="str">
        <f>IF(K569=1,"Joined",IF(H569&gt;=70,"Dropped at Offer",IF(H569&gt;=50,"Dropped at Interview","Dropped at Screening")))</f>
        <v>Dropped at Screening</v>
      </c>
      <c r="R569" s="1" t="str">
        <f t="shared" ca="1" si="53"/>
        <v>Jan-2024</v>
      </c>
    </row>
    <row r="570" spans="1:18">
      <c r="A570">
        <v>31</v>
      </c>
      <c r="B570">
        <v>1</v>
      </c>
      <c r="C570">
        <v>2</v>
      </c>
      <c r="D570">
        <v>10</v>
      </c>
      <c r="E570">
        <v>4</v>
      </c>
      <c r="F570">
        <v>24.2000214098213</v>
      </c>
      <c r="G570">
        <v>19</v>
      </c>
      <c r="H570">
        <v>21</v>
      </c>
      <c r="I570">
        <v>96</v>
      </c>
      <c r="J570">
        <v>1</v>
      </c>
      <c r="K570">
        <v>1</v>
      </c>
      <c r="L570" s="2">
        <f t="shared" si="48"/>
        <v>45292</v>
      </c>
      <c r="M570" s="2">
        <f t="shared" ca="1" si="49"/>
        <v>45313</v>
      </c>
      <c r="N570" s="2">
        <f t="shared" ca="1" si="50"/>
        <v>45329</v>
      </c>
      <c r="O570" s="3">
        <f t="shared" ca="1" si="51"/>
        <v>21</v>
      </c>
      <c r="P570" s="3">
        <f t="shared" ca="1" si="52"/>
        <v>16</v>
      </c>
      <c r="Q570" s="1" t="str">
        <f>IF(K570=1,"Joined",IF(H570&gt;=70,"Dropped at Offer",IF(H570&gt;=50,"Dropped at Interview","Dropped at Screening")))</f>
        <v>Joined</v>
      </c>
      <c r="R570" s="1" t="str">
        <f t="shared" ca="1" si="53"/>
        <v>Jan-2024</v>
      </c>
    </row>
    <row r="571" spans="1:18">
      <c r="A571">
        <v>24</v>
      </c>
      <c r="B571">
        <v>0</v>
      </c>
      <c r="C571">
        <v>3</v>
      </c>
      <c r="D571">
        <v>9</v>
      </c>
      <c r="E571">
        <v>3</v>
      </c>
      <c r="F571">
        <v>40.4548055824378</v>
      </c>
      <c r="G571">
        <v>20</v>
      </c>
      <c r="H571">
        <v>54</v>
      </c>
      <c r="I571">
        <v>29</v>
      </c>
      <c r="J571">
        <v>2</v>
      </c>
      <c r="K571">
        <v>0</v>
      </c>
      <c r="L571" s="2">
        <f t="shared" si="48"/>
        <v>45292</v>
      </c>
      <c r="M571" s="2">
        <f t="shared" ca="1" si="49"/>
        <v>45323</v>
      </c>
      <c r="N571" s="2" t="str">
        <f t="shared" ca="1" si="50"/>
        <v>N/A</v>
      </c>
      <c r="O571" s="3">
        <f t="shared" ca="1" si="51"/>
        <v>31</v>
      </c>
      <c r="P571" s="3" t="str">
        <f t="shared" ca="1" si="52"/>
        <v>N/A</v>
      </c>
      <c r="Q571" s="1" t="str">
        <f>IF(K571=1,"Joined",IF(H571&gt;=70,"Dropped at Offer",IF(H571&gt;=50,"Dropped at Interview","Dropped at Screening")))</f>
        <v>Dropped at Interview</v>
      </c>
      <c r="R571" s="1" t="str">
        <f t="shared" ca="1" si="53"/>
        <v>Feb-2024</v>
      </c>
    </row>
    <row r="572" spans="1:18">
      <c r="A572">
        <v>26</v>
      </c>
      <c r="B572">
        <v>0</v>
      </c>
      <c r="C572">
        <v>2</v>
      </c>
      <c r="D572">
        <v>14</v>
      </c>
      <c r="E572">
        <v>1</v>
      </c>
      <c r="F572">
        <v>31.144644130271701</v>
      </c>
      <c r="G572">
        <v>81</v>
      </c>
      <c r="H572">
        <v>56</v>
      </c>
      <c r="I572">
        <v>75</v>
      </c>
      <c r="J572">
        <v>1</v>
      </c>
      <c r="K572">
        <v>1</v>
      </c>
      <c r="L572" s="2">
        <f t="shared" si="48"/>
        <v>45292</v>
      </c>
      <c r="M572" s="2">
        <f t="shared" ca="1" si="49"/>
        <v>45313</v>
      </c>
      <c r="N572" s="2">
        <f t="shared" ca="1" si="50"/>
        <v>45323</v>
      </c>
      <c r="O572" s="3">
        <f t="shared" ca="1" si="51"/>
        <v>21</v>
      </c>
      <c r="P572" s="3">
        <f t="shared" ca="1" si="52"/>
        <v>10</v>
      </c>
      <c r="Q572" s="1" t="str">
        <f>IF(K572=1,"Joined",IF(H572&gt;=70,"Dropped at Offer",IF(H572&gt;=50,"Dropped at Interview","Dropped at Screening")))</f>
        <v>Joined</v>
      </c>
      <c r="R572" s="1" t="str">
        <f t="shared" ca="1" si="53"/>
        <v>Jan-2024</v>
      </c>
    </row>
    <row r="573" spans="1:18">
      <c r="A573">
        <v>23</v>
      </c>
      <c r="B573">
        <v>1</v>
      </c>
      <c r="C573">
        <v>2</v>
      </c>
      <c r="D573">
        <v>10</v>
      </c>
      <c r="E573">
        <v>2</v>
      </c>
      <c r="F573">
        <v>33.7110231014506</v>
      </c>
      <c r="G573">
        <v>56</v>
      </c>
      <c r="H573">
        <v>12</v>
      </c>
      <c r="I573">
        <v>43</v>
      </c>
      <c r="J573">
        <v>1</v>
      </c>
      <c r="K573">
        <v>0</v>
      </c>
      <c r="L573" s="2">
        <f t="shared" si="48"/>
        <v>45292</v>
      </c>
      <c r="M573" s="2">
        <f t="shared" ca="1" si="49"/>
        <v>45317</v>
      </c>
      <c r="N573" s="2" t="str">
        <f t="shared" ca="1" si="50"/>
        <v>N/A</v>
      </c>
      <c r="O573" s="3">
        <f t="shared" ca="1" si="51"/>
        <v>25</v>
      </c>
      <c r="P573" s="3" t="str">
        <f t="shared" ca="1" si="52"/>
        <v>N/A</v>
      </c>
      <c r="Q573" s="1" t="str">
        <f>IF(K573=1,"Joined",IF(H573&gt;=70,"Dropped at Offer",IF(H573&gt;=50,"Dropped at Interview","Dropped at Screening")))</f>
        <v>Dropped at Screening</v>
      </c>
      <c r="R573" s="1" t="str">
        <f t="shared" ca="1" si="53"/>
        <v>Jan-2024</v>
      </c>
    </row>
    <row r="574" spans="1:18">
      <c r="A574">
        <v>25</v>
      </c>
      <c r="B574">
        <v>1</v>
      </c>
      <c r="C574">
        <v>2</v>
      </c>
      <c r="D574">
        <v>15</v>
      </c>
      <c r="E574">
        <v>3</v>
      </c>
      <c r="F574">
        <v>50.909995383280801</v>
      </c>
      <c r="G574">
        <v>49</v>
      </c>
      <c r="H574">
        <v>46</v>
      </c>
      <c r="I574">
        <v>11</v>
      </c>
      <c r="J574">
        <v>3</v>
      </c>
      <c r="K574">
        <v>0</v>
      </c>
      <c r="L574" s="2">
        <f t="shared" si="48"/>
        <v>45292</v>
      </c>
      <c r="M574" s="2">
        <f t="shared" ca="1" si="49"/>
        <v>45316</v>
      </c>
      <c r="N574" s="2" t="str">
        <f t="shared" ca="1" si="50"/>
        <v>N/A</v>
      </c>
      <c r="O574" s="3">
        <f t="shared" ca="1" si="51"/>
        <v>24</v>
      </c>
      <c r="P574" s="3" t="str">
        <f t="shared" ca="1" si="52"/>
        <v>N/A</v>
      </c>
      <c r="Q574" s="1" t="str">
        <f>IF(K574=1,"Joined",IF(H574&gt;=70,"Dropped at Offer",IF(H574&gt;=50,"Dropped at Interview","Dropped at Screening")))</f>
        <v>Dropped at Screening</v>
      </c>
      <c r="R574" s="1" t="str">
        <f t="shared" ca="1" si="53"/>
        <v>Jan-2024</v>
      </c>
    </row>
    <row r="575" spans="1:18">
      <c r="A575">
        <v>32</v>
      </c>
      <c r="B575">
        <v>0</v>
      </c>
      <c r="C575">
        <v>1</v>
      </c>
      <c r="D575">
        <v>10</v>
      </c>
      <c r="E575">
        <v>4</v>
      </c>
      <c r="F575">
        <v>4.7480021735006499</v>
      </c>
      <c r="G575">
        <v>73</v>
      </c>
      <c r="H575">
        <v>86</v>
      </c>
      <c r="I575">
        <v>50</v>
      </c>
      <c r="J575">
        <v>3</v>
      </c>
      <c r="K575">
        <v>0</v>
      </c>
      <c r="L575" s="2">
        <f t="shared" si="48"/>
        <v>45292</v>
      </c>
      <c r="M575" s="2">
        <f t="shared" ca="1" si="49"/>
        <v>45308</v>
      </c>
      <c r="N575" s="2" t="str">
        <f t="shared" ca="1" si="50"/>
        <v>N/A</v>
      </c>
      <c r="O575" s="3">
        <f t="shared" ca="1" si="51"/>
        <v>16</v>
      </c>
      <c r="P575" s="3" t="str">
        <f t="shared" ca="1" si="52"/>
        <v>N/A</v>
      </c>
      <c r="Q575" s="1" t="str">
        <f>IF(K575=1,"Joined",IF(H575&gt;=70,"Dropped at Offer",IF(H575&gt;=50,"Dropped at Interview","Dropped at Screening")))</f>
        <v>Dropped at Offer</v>
      </c>
      <c r="R575" s="1" t="str">
        <f t="shared" ca="1" si="53"/>
        <v>Jan-2024</v>
      </c>
    </row>
    <row r="576" spans="1:18">
      <c r="A576">
        <v>39</v>
      </c>
      <c r="B576">
        <v>0</v>
      </c>
      <c r="C576">
        <v>3</v>
      </c>
      <c r="D576">
        <v>13</v>
      </c>
      <c r="E576">
        <v>1</v>
      </c>
      <c r="F576">
        <v>12.1504911766866</v>
      </c>
      <c r="G576">
        <v>97</v>
      </c>
      <c r="H576">
        <v>61</v>
      </c>
      <c r="I576">
        <v>48</v>
      </c>
      <c r="J576">
        <v>2</v>
      </c>
      <c r="K576">
        <v>1</v>
      </c>
      <c r="L576" s="2">
        <f t="shared" si="48"/>
        <v>45292</v>
      </c>
      <c r="M576" s="2">
        <f t="shared" ca="1" si="49"/>
        <v>45318</v>
      </c>
      <c r="N576" s="2">
        <f t="shared" ca="1" si="50"/>
        <v>45335</v>
      </c>
      <c r="O576" s="3">
        <f t="shared" ca="1" si="51"/>
        <v>26</v>
      </c>
      <c r="P576" s="3">
        <f t="shared" ca="1" si="52"/>
        <v>17</v>
      </c>
      <c r="Q576" s="1" t="str">
        <f>IF(K576=1,"Joined",IF(H576&gt;=70,"Dropped at Offer",IF(H576&gt;=50,"Dropped at Interview","Dropped at Screening")))</f>
        <v>Joined</v>
      </c>
      <c r="R576" s="1" t="str">
        <f t="shared" ca="1" si="53"/>
        <v>Jan-2024</v>
      </c>
    </row>
    <row r="577" spans="1:18">
      <c r="A577">
        <v>49</v>
      </c>
      <c r="B577">
        <v>0</v>
      </c>
      <c r="C577">
        <v>2</v>
      </c>
      <c r="D577">
        <v>10</v>
      </c>
      <c r="E577">
        <v>5</v>
      </c>
      <c r="F577">
        <v>21.394796868577298</v>
      </c>
      <c r="G577">
        <v>25</v>
      </c>
      <c r="H577">
        <v>53</v>
      </c>
      <c r="I577">
        <v>23</v>
      </c>
      <c r="J577">
        <v>2</v>
      </c>
      <c r="K577">
        <v>0</v>
      </c>
      <c r="L577" s="2">
        <f t="shared" si="48"/>
        <v>45292</v>
      </c>
      <c r="M577" s="2">
        <f t="shared" ca="1" si="49"/>
        <v>45332</v>
      </c>
      <c r="N577" s="2" t="str">
        <f t="shared" ca="1" si="50"/>
        <v>N/A</v>
      </c>
      <c r="O577" s="3">
        <f t="shared" ca="1" si="51"/>
        <v>40</v>
      </c>
      <c r="P577" s="3" t="str">
        <f t="shared" ca="1" si="52"/>
        <v>N/A</v>
      </c>
      <c r="Q577" s="1" t="str">
        <f>IF(K577=1,"Joined",IF(H577&gt;=70,"Dropped at Offer",IF(H577&gt;=50,"Dropped at Interview","Dropped at Screening")))</f>
        <v>Dropped at Interview</v>
      </c>
      <c r="R577" s="1" t="str">
        <f t="shared" ca="1" si="53"/>
        <v>Feb-2024</v>
      </c>
    </row>
    <row r="578" spans="1:18">
      <c r="A578">
        <v>34</v>
      </c>
      <c r="B578">
        <v>1</v>
      </c>
      <c r="C578">
        <v>2</v>
      </c>
      <c r="D578">
        <v>1</v>
      </c>
      <c r="E578">
        <v>2</v>
      </c>
      <c r="F578">
        <v>18.389120152444299</v>
      </c>
      <c r="G578">
        <v>29</v>
      </c>
      <c r="H578">
        <v>28</v>
      </c>
      <c r="I578">
        <v>23</v>
      </c>
      <c r="J578">
        <v>3</v>
      </c>
      <c r="K578">
        <v>0</v>
      </c>
      <c r="L578" s="2">
        <f t="shared" ref="L578:L641" si="54">DATE(2024,1,1)</f>
        <v>45292</v>
      </c>
      <c r="M578" s="2">
        <f t="shared" ref="M578:M641" ca="1" si="55">L578+RANDBETWEEN(14,45)</f>
        <v>45316</v>
      </c>
      <c r="N578" s="2" t="str">
        <f t="shared" ref="N578:N641" ca="1" si="56">IF(K578=1, M578+RANDBETWEEN(7,30), "N/A")</f>
        <v>N/A</v>
      </c>
      <c r="O578" s="3">
        <f t="shared" ref="O578:O641" ca="1" si="57">IF(AND(M578&lt;&gt;"",L578&lt;&gt;""), M578-L578, "N/A")</f>
        <v>24</v>
      </c>
      <c r="P578" s="3" t="str">
        <f t="shared" ref="P578:Q641" ca="1" si="58">IF(AND(K578=1, N578&lt;&gt;"", M578&lt;&gt;""), N578 - M578, "N/A")</f>
        <v>N/A</v>
      </c>
      <c r="Q578" s="1" t="str">
        <f>IF(K578=1,"Joined",IF(H578&gt;=70,"Dropped at Offer",IF(H578&gt;=50,"Dropped at Interview","Dropped at Screening")))</f>
        <v>Dropped at Screening</v>
      </c>
      <c r="R578" s="1" t="str">
        <f t="shared" ref="R578:R641" ca="1" si="59">TEXT(M578,"MMM-YYYY")</f>
        <v>Jan-2024</v>
      </c>
    </row>
    <row r="579" spans="1:18">
      <c r="A579">
        <v>22</v>
      </c>
      <c r="B579">
        <v>0</v>
      </c>
      <c r="C579">
        <v>2</v>
      </c>
      <c r="D579">
        <v>13</v>
      </c>
      <c r="E579">
        <v>4</v>
      </c>
      <c r="F579">
        <v>2.0822780673491699</v>
      </c>
      <c r="G579">
        <v>72</v>
      </c>
      <c r="H579">
        <v>21</v>
      </c>
      <c r="I579">
        <v>59</v>
      </c>
      <c r="J579">
        <v>2</v>
      </c>
      <c r="K579">
        <v>0</v>
      </c>
      <c r="L579" s="2">
        <f t="shared" si="54"/>
        <v>45292</v>
      </c>
      <c r="M579" s="2">
        <f t="shared" ca="1" si="55"/>
        <v>45329</v>
      </c>
      <c r="N579" s="2" t="str">
        <f t="shared" ca="1" si="56"/>
        <v>N/A</v>
      </c>
      <c r="O579" s="3">
        <f t="shared" ca="1" si="57"/>
        <v>37</v>
      </c>
      <c r="P579" s="3" t="str">
        <f t="shared" ca="1" si="58"/>
        <v>N/A</v>
      </c>
      <c r="Q579" s="1" t="str">
        <f>IF(K579=1,"Joined",IF(H579&gt;=70,"Dropped at Offer",IF(H579&gt;=50,"Dropped at Interview","Dropped at Screening")))</f>
        <v>Dropped at Screening</v>
      </c>
      <c r="R579" s="1" t="str">
        <f t="shared" ca="1" si="59"/>
        <v>Feb-2024</v>
      </c>
    </row>
    <row r="580" spans="1:18">
      <c r="A580">
        <v>42</v>
      </c>
      <c r="B580">
        <v>0</v>
      </c>
      <c r="C580">
        <v>1</v>
      </c>
      <c r="D580">
        <v>15</v>
      </c>
      <c r="E580">
        <v>3</v>
      </c>
      <c r="F580">
        <v>5.5888803235587901</v>
      </c>
      <c r="G580">
        <v>30</v>
      </c>
      <c r="H580">
        <v>64</v>
      </c>
      <c r="I580">
        <v>10</v>
      </c>
      <c r="J580">
        <v>1</v>
      </c>
      <c r="K580">
        <v>1</v>
      </c>
      <c r="L580" s="2">
        <f t="shared" si="54"/>
        <v>45292</v>
      </c>
      <c r="M580" s="2">
        <f t="shared" ca="1" si="55"/>
        <v>45317</v>
      </c>
      <c r="N580" s="2">
        <f t="shared" ca="1" si="56"/>
        <v>45337</v>
      </c>
      <c r="O580" s="3">
        <f t="shared" ca="1" si="57"/>
        <v>25</v>
      </c>
      <c r="P580" s="3">
        <f t="shared" ca="1" si="58"/>
        <v>20</v>
      </c>
      <c r="Q580" s="1" t="str">
        <f>IF(K580=1,"Joined",IF(H580&gt;=70,"Dropped at Offer",IF(H580&gt;=50,"Dropped at Interview","Dropped at Screening")))</f>
        <v>Joined</v>
      </c>
      <c r="R580" s="1" t="str">
        <f t="shared" ca="1" si="59"/>
        <v>Jan-2024</v>
      </c>
    </row>
    <row r="581" spans="1:18">
      <c r="A581">
        <v>27</v>
      </c>
      <c r="B581">
        <v>1</v>
      </c>
      <c r="C581">
        <v>2</v>
      </c>
      <c r="D581">
        <v>0</v>
      </c>
      <c r="E581">
        <v>1</v>
      </c>
      <c r="F581">
        <v>35.047664570178803</v>
      </c>
      <c r="G581">
        <v>41</v>
      </c>
      <c r="H581">
        <v>28</v>
      </c>
      <c r="I581">
        <v>12</v>
      </c>
      <c r="J581">
        <v>3</v>
      </c>
      <c r="K581">
        <v>0</v>
      </c>
      <c r="L581" s="2">
        <f t="shared" si="54"/>
        <v>45292</v>
      </c>
      <c r="M581" s="2">
        <f t="shared" ca="1" si="55"/>
        <v>45308</v>
      </c>
      <c r="N581" s="2" t="str">
        <f t="shared" ca="1" si="56"/>
        <v>N/A</v>
      </c>
      <c r="O581" s="3">
        <f t="shared" ca="1" si="57"/>
        <v>16</v>
      </c>
      <c r="P581" s="3" t="str">
        <f t="shared" ca="1" si="58"/>
        <v>N/A</v>
      </c>
      <c r="Q581" s="1" t="str">
        <f>IF(K581=1,"Joined",IF(H581&gt;=70,"Dropped at Offer",IF(H581&gt;=50,"Dropped at Interview","Dropped at Screening")))</f>
        <v>Dropped at Screening</v>
      </c>
      <c r="R581" s="1" t="str">
        <f t="shared" ca="1" si="59"/>
        <v>Jan-2024</v>
      </c>
    </row>
    <row r="582" spans="1:18">
      <c r="A582">
        <v>39</v>
      </c>
      <c r="B582">
        <v>0</v>
      </c>
      <c r="C582">
        <v>2</v>
      </c>
      <c r="D582">
        <v>8</v>
      </c>
      <c r="E582">
        <v>2</v>
      </c>
      <c r="F582">
        <v>44.966223168128003</v>
      </c>
      <c r="G582">
        <v>67</v>
      </c>
      <c r="H582">
        <v>47</v>
      </c>
      <c r="I582">
        <v>90</v>
      </c>
      <c r="J582">
        <v>2</v>
      </c>
      <c r="K582">
        <v>0</v>
      </c>
      <c r="L582" s="2">
        <f t="shared" si="54"/>
        <v>45292</v>
      </c>
      <c r="M582" s="2">
        <f t="shared" ca="1" si="55"/>
        <v>45316</v>
      </c>
      <c r="N582" s="2" t="str">
        <f t="shared" ca="1" si="56"/>
        <v>N/A</v>
      </c>
      <c r="O582" s="3">
        <f t="shared" ca="1" si="57"/>
        <v>24</v>
      </c>
      <c r="P582" s="3" t="str">
        <f t="shared" ca="1" si="58"/>
        <v>N/A</v>
      </c>
      <c r="Q582" s="1" t="str">
        <f>IF(K582=1,"Joined",IF(H582&gt;=70,"Dropped at Offer",IF(H582&gt;=50,"Dropped at Interview","Dropped at Screening")))</f>
        <v>Dropped at Screening</v>
      </c>
      <c r="R582" s="1" t="str">
        <f t="shared" ca="1" si="59"/>
        <v>Jan-2024</v>
      </c>
    </row>
    <row r="583" spans="1:18">
      <c r="A583">
        <v>35</v>
      </c>
      <c r="B583">
        <v>0</v>
      </c>
      <c r="C583">
        <v>3</v>
      </c>
      <c r="D583">
        <v>11</v>
      </c>
      <c r="E583">
        <v>1</v>
      </c>
      <c r="F583">
        <v>26.711350563298801</v>
      </c>
      <c r="G583">
        <v>60</v>
      </c>
      <c r="H583">
        <v>4</v>
      </c>
      <c r="I583">
        <v>71</v>
      </c>
      <c r="J583">
        <v>2</v>
      </c>
      <c r="K583">
        <v>0</v>
      </c>
      <c r="L583" s="2">
        <f t="shared" si="54"/>
        <v>45292</v>
      </c>
      <c r="M583" s="2">
        <f t="shared" ca="1" si="55"/>
        <v>45321</v>
      </c>
      <c r="N583" s="2" t="str">
        <f t="shared" ca="1" si="56"/>
        <v>N/A</v>
      </c>
      <c r="O583" s="3">
        <f t="shared" ca="1" si="57"/>
        <v>29</v>
      </c>
      <c r="P583" s="3" t="str">
        <f t="shared" ca="1" si="58"/>
        <v>N/A</v>
      </c>
      <c r="Q583" s="1" t="str">
        <f>IF(K583=1,"Joined",IF(H583&gt;=70,"Dropped at Offer",IF(H583&gt;=50,"Dropped at Interview","Dropped at Screening")))</f>
        <v>Dropped at Screening</v>
      </c>
      <c r="R583" s="1" t="str">
        <f t="shared" ca="1" si="59"/>
        <v>Jan-2024</v>
      </c>
    </row>
    <row r="584" spans="1:18">
      <c r="A584">
        <v>32</v>
      </c>
      <c r="B584">
        <v>0</v>
      </c>
      <c r="C584">
        <v>1</v>
      </c>
      <c r="D584">
        <v>14</v>
      </c>
      <c r="E584">
        <v>5</v>
      </c>
      <c r="F584">
        <v>27.959553975681601</v>
      </c>
      <c r="G584">
        <v>60</v>
      </c>
      <c r="H584">
        <v>34</v>
      </c>
      <c r="I584">
        <v>73</v>
      </c>
      <c r="J584">
        <v>2</v>
      </c>
      <c r="K584">
        <v>0</v>
      </c>
      <c r="L584" s="2">
        <f t="shared" si="54"/>
        <v>45292</v>
      </c>
      <c r="M584" s="2">
        <f t="shared" ca="1" si="55"/>
        <v>45335</v>
      </c>
      <c r="N584" s="2" t="str">
        <f t="shared" ca="1" si="56"/>
        <v>N/A</v>
      </c>
      <c r="O584" s="3">
        <f t="shared" ca="1" si="57"/>
        <v>43</v>
      </c>
      <c r="P584" s="3" t="str">
        <f t="shared" ca="1" si="58"/>
        <v>N/A</v>
      </c>
      <c r="Q584" s="1" t="str">
        <f>IF(K584=1,"Joined",IF(H584&gt;=70,"Dropped at Offer",IF(H584&gt;=50,"Dropped at Interview","Dropped at Screening")))</f>
        <v>Dropped at Screening</v>
      </c>
      <c r="R584" s="1" t="str">
        <f t="shared" ca="1" si="59"/>
        <v>Feb-2024</v>
      </c>
    </row>
    <row r="585" spans="1:18">
      <c r="A585">
        <v>37</v>
      </c>
      <c r="B585">
        <v>1</v>
      </c>
      <c r="C585">
        <v>2</v>
      </c>
      <c r="D585">
        <v>11</v>
      </c>
      <c r="E585">
        <v>3</v>
      </c>
      <c r="F585">
        <v>13.7546716416189</v>
      </c>
      <c r="G585">
        <v>69</v>
      </c>
      <c r="H585">
        <v>73</v>
      </c>
      <c r="I585">
        <v>71</v>
      </c>
      <c r="J585">
        <v>2</v>
      </c>
      <c r="K585">
        <v>0</v>
      </c>
      <c r="L585" s="2">
        <f t="shared" si="54"/>
        <v>45292</v>
      </c>
      <c r="M585" s="2">
        <f t="shared" ca="1" si="55"/>
        <v>45323</v>
      </c>
      <c r="N585" s="2" t="str">
        <f t="shared" ca="1" si="56"/>
        <v>N/A</v>
      </c>
      <c r="O585" s="3">
        <f t="shared" ca="1" si="57"/>
        <v>31</v>
      </c>
      <c r="P585" s="3" t="str">
        <f t="shared" ca="1" si="58"/>
        <v>N/A</v>
      </c>
      <c r="Q585" s="1" t="str">
        <f>IF(K585=1,"Joined",IF(H585&gt;=70,"Dropped at Offer",IF(H585&gt;=50,"Dropped at Interview","Dropped at Screening")))</f>
        <v>Dropped at Offer</v>
      </c>
      <c r="R585" s="1" t="str">
        <f t="shared" ca="1" si="59"/>
        <v>Feb-2024</v>
      </c>
    </row>
    <row r="586" spans="1:18">
      <c r="A586">
        <v>47</v>
      </c>
      <c r="B586">
        <v>1</v>
      </c>
      <c r="C586">
        <v>2</v>
      </c>
      <c r="D586">
        <v>1</v>
      </c>
      <c r="E586">
        <v>1</v>
      </c>
      <c r="F586">
        <v>39.393818181685504</v>
      </c>
      <c r="G586">
        <v>77</v>
      </c>
      <c r="H586">
        <v>82</v>
      </c>
      <c r="I586">
        <v>63</v>
      </c>
      <c r="J586">
        <v>3</v>
      </c>
      <c r="K586">
        <v>0</v>
      </c>
      <c r="L586" s="2">
        <f t="shared" si="54"/>
        <v>45292</v>
      </c>
      <c r="M586" s="2">
        <f t="shared" ca="1" si="55"/>
        <v>45313</v>
      </c>
      <c r="N586" s="2" t="str">
        <f t="shared" ca="1" si="56"/>
        <v>N/A</v>
      </c>
      <c r="O586" s="3">
        <f t="shared" ca="1" si="57"/>
        <v>21</v>
      </c>
      <c r="P586" s="3" t="str">
        <f t="shared" ca="1" si="58"/>
        <v>N/A</v>
      </c>
      <c r="Q586" s="1" t="str">
        <f>IF(K586=1,"Joined",IF(H586&gt;=70,"Dropped at Offer",IF(H586&gt;=50,"Dropped at Interview","Dropped at Screening")))</f>
        <v>Dropped at Offer</v>
      </c>
      <c r="R586" s="1" t="str">
        <f t="shared" ca="1" si="59"/>
        <v>Jan-2024</v>
      </c>
    </row>
    <row r="587" spans="1:18">
      <c r="A587">
        <v>29</v>
      </c>
      <c r="B587">
        <v>1</v>
      </c>
      <c r="C587">
        <v>1</v>
      </c>
      <c r="D587">
        <v>12</v>
      </c>
      <c r="E587">
        <v>4</v>
      </c>
      <c r="F587">
        <v>38.589729368362804</v>
      </c>
      <c r="G587">
        <v>67</v>
      </c>
      <c r="H587">
        <v>100</v>
      </c>
      <c r="I587">
        <v>19</v>
      </c>
      <c r="J587">
        <v>2</v>
      </c>
      <c r="K587">
        <v>0</v>
      </c>
      <c r="L587" s="2">
        <f t="shared" si="54"/>
        <v>45292</v>
      </c>
      <c r="M587" s="2">
        <f t="shared" ca="1" si="55"/>
        <v>45330</v>
      </c>
      <c r="N587" s="2" t="str">
        <f t="shared" ca="1" si="56"/>
        <v>N/A</v>
      </c>
      <c r="O587" s="3">
        <f t="shared" ca="1" si="57"/>
        <v>38</v>
      </c>
      <c r="P587" s="3" t="str">
        <f t="shared" ca="1" si="58"/>
        <v>N/A</v>
      </c>
      <c r="Q587" s="1" t="str">
        <f>IF(K587=1,"Joined",IF(H587&gt;=70,"Dropped at Offer",IF(H587&gt;=50,"Dropped at Interview","Dropped at Screening")))</f>
        <v>Dropped at Offer</v>
      </c>
      <c r="R587" s="1" t="str">
        <f t="shared" ca="1" si="59"/>
        <v>Feb-2024</v>
      </c>
    </row>
    <row r="588" spans="1:18">
      <c r="A588">
        <v>49</v>
      </c>
      <c r="B588">
        <v>1</v>
      </c>
      <c r="C588">
        <v>2</v>
      </c>
      <c r="D588">
        <v>7</v>
      </c>
      <c r="E588">
        <v>3</v>
      </c>
      <c r="F588">
        <v>30.418284460882798</v>
      </c>
      <c r="G588">
        <v>89</v>
      </c>
      <c r="H588">
        <v>70</v>
      </c>
      <c r="I588">
        <v>71</v>
      </c>
      <c r="J588">
        <v>3</v>
      </c>
      <c r="K588">
        <v>1</v>
      </c>
      <c r="L588" s="2">
        <f t="shared" si="54"/>
        <v>45292</v>
      </c>
      <c r="M588" s="2">
        <f t="shared" ca="1" si="55"/>
        <v>45318</v>
      </c>
      <c r="N588" s="2">
        <f t="shared" ca="1" si="56"/>
        <v>45328</v>
      </c>
      <c r="O588" s="3">
        <f t="shared" ca="1" si="57"/>
        <v>26</v>
      </c>
      <c r="P588" s="3">
        <f t="shared" ca="1" si="58"/>
        <v>10</v>
      </c>
      <c r="Q588" s="1" t="str">
        <f>IF(K588=1,"Joined",IF(H588&gt;=70,"Dropped at Offer",IF(H588&gt;=50,"Dropped at Interview","Dropped at Screening")))</f>
        <v>Joined</v>
      </c>
      <c r="R588" s="1" t="str">
        <f t="shared" ca="1" si="59"/>
        <v>Jan-2024</v>
      </c>
    </row>
    <row r="589" spans="1:18">
      <c r="A589">
        <v>38</v>
      </c>
      <c r="B589">
        <v>1</v>
      </c>
      <c r="C589">
        <v>3</v>
      </c>
      <c r="D589">
        <v>14</v>
      </c>
      <c r="E589">
        <v>4</v>
      </c>
      <c r="F589">
        <v>11.633214325567099</v>
      </c>
      <c r="G589">
        <v>16</v>
      </c>
      <c r="H589">
        <v>45</v>
      </c>
      <c r="I589">
        <v>72</v>
      </c>
      <c r="J589">
        <v>3</v>
      </c>
      <c r="K589">
        <v>0</v>
      </c>
      <c r="L589" s="2">
        <f t="shared" si="54"/>
        <v>45292</v>
      </c>
      <c r="M589" s="2">
        <f t="shared" ca="1" si="55"/>
        <v>45319</v>
      </c>
      <c r="N589" s="2" t="str">
        <f t="shared" ca="1" si="56"/>
        <v>N/A</v>
      </c>
      <c r="O589" s="3">
        <f t="shared" ca="1" si="57"/>
        <v>27</v>
      </c>
      <c r="P589" s="3" t="str">
        <f t="shared" ca="1" si="58"/>
        <v>N/A</v>
      </c>
      <c r="Q589" s="1" t="str">
        <f>IF(K589=1,"Joined",IF(H589&gt;=70,"Dropped at Offer",IF(H589&gt;=50,"Dropped at Interview","Dropped at Screening")))</f>
        <v>Dropped at Screening</v>
      </c>
      <c r="R589" s="1" t="str">
        <f t="shared" ca="1" si="59"/>
        <v>Jan-2024</v>
      </c>
    </row>
    <row r="590" spans="1:18">
      <c r="A590">
        <v>36</v>
      </c>
      <c r="B590">
        <v>1</v>
      </c>
      <c r="C590">
        <v>3</v>
      </c>
      <c r="D590">
        <v>15</v>
      </c>
      <c r="E590">
        <v>1</v>
      </c>
      <c r="F590">
        <v>5.85091091185447</v>
      </c>
      <c r="G590">
        <v>18</v>
      </c>
      <c r="H590">
        <v>34</v>
      </c>
      <c r="I590">
        <v>70</v>
      </c>
      <c r="J590">
        <v>2</v>
      </c>
      <c r="K590">
        <v>0</v>
      </c>
      <c r="L590" s="2">
        <f t="shared" si="54"/>
        <v>45292</v>
      </c>
      <c r="M590" s="2">
        <f t="shared" ca="1" si="55"/>
        <v>45325</v>
      </c>
      <c r="N590" s="2" t="str">
        <f t="shared" ca="1" si="56"/>
        <v>N/A</v>
      </c>
      <c r="O590" s="3">
        <f t="shared" ca="1" si="57"/>
        <v>33</v>
      </c>
      <c r="P590" s="3" t="str">
        <f t="shared" ca="1" si="58"/>
        <v>N/A</v>
      </c>
      <c r="Q590" s="1" t="str">
        <f>IF(K590=1,"Joined",IF(H590&gt;=70,"Dropped at Offer",IF(H590&gt;=50,"Dropped at Interview","Dropped at Screening")))</f>
        <v>Dropped at Screening</v>
      </c>
      <c r="R590" s="1" t="str">
        <f t="shared" ca="1" si="59"/>
        <v>Feb-2024</v>
      </c>
    </row>
    <row r="591" spans="1:18">
      <c r="A591">
        <v>43</v>
      </c>
      <c r="B591">
        <v>1</v>
      </c>
      <c r="C591">
        <v>2</v>
      </c>
      <c r="D591">
        <v>8</v>
      </c>
      <c r="E591">
        <v>3</v>
      </c>
      <c r="F591">
        <v>4.2119287928562903</v>
      </c>
      <c r="G591">
        <v>50</v>
      </c>
      <c r="H591">
        <v>44</v>
      </c>
      <c r="I591">
        <v>77</v>
      </c>
      <c r="J591">
        <v>2</v>
      </c>
      <c r="K591">
        <v>0</v>
      </c>
      <c r="L591" s="2">
        <f t="shared" si="54"/>
        <v>45292</v>
      </c>
      <c r="M591" s="2">
        <f t="shared" ca="1" si="55"/>
        <v>45323</v>
      </c>
      <c r="N591" s="2" t="str">
        <f t="shared" ca="1" si="56"/>
        <v>N/A</v>
      </c>
      <c r="O591" s="3">
        <f t="shared" ca="1" si="57"/>
        <v>31</v>
      </c>
      <c r="P591" s="3" t="str">
        <f t="shared" ca="1" si="58"/>
        <v>N/A</v>
      </c>
      <c r="Q591" s="1" t="str">
        <f>IF(K591=1,"Joined",IF(H591&gt;=70,"Dropped at Offer",IF(H591&gt;=50,"Dropped at Interview","Dropped at Screening")))</f>
        <v>Dropped at Screening</v>
      </c>
      <c r="R591" s="1" t="str">
        <f t="shared" ca="1" si="59"/>
        <v>Feb-2024</v>
      </c>
    </row>
    <row r="592" spans="1:18">
      <c r="A592">
        <v>50</v>
      </c>
      <c r="B592">
        <v>0</v>
      </c>
      <c r="C592">
        <v>3</v>
      </c>
      <c r="D592">
        <v>3</v>
      </c>
      <c r="E592">
        <v>4</v>
      </c>
      <c r="F592">
        <v>30.6348033321438</v>
      </c>
      <c r="G592">
        <v>69</v>
      </c>
      <c r="H592">
        <v>12</v>
      </c>
      <c r="I592">
        <v>27</v>
      </c>
      <c r="J592">
        <v>2</v>
      </c>
      <c r="K592">
        <v>0</v>
      </c>
      <c r="L592" s="2">
        <f t="shared" si="54"/>
        <v>45292</v>
      </c>
      <c r="M592" s="2">
        <f t="shared" ca="1" si="55"/>
        <v>45323</v>
      </c>
      <c r="N592" s="2" t="str">
        <f t="shared" ca="1" si="56"/>
        <v>N/A</v>
      </c>
      <c r="O592" s="3">
        <f t="shared" ca="1" si="57"/>
        <v>31</v>
      </c>
      <c r="P592" s="3" t="str">
        <f t="shared" ca="1" si="58"/>
        <v>N/A</v>
      </c>
      <c r="Q592" s="1" t="str">
        <f>IF(K592=1,"Joined",IF(H592&gt;=70,"Dropped at Offer",IF(H592&gt;=50,"Dropped at Interview","Dropped at Screening")))</f>
        <v>Dropped at Screening</v>
      </c>
      <c r="R592" s="1" t="str">
        <f t="shared" ca="1" si="59"/>
        <v>Feb-2024</v>
      </c>
    </row>
    <row r="593" spans="1:18">
      <c r="A593">
        <v>38</v>
      </c>
      <c r="B593">
        <v>0</v>
      </c>
      <c r="C593">
        <v>4</v>
      </c>
      <c r="D593">
        <v>7</v>
      </c>
      <c r="E593">
        <v>5</v>
      </c>
      <c r="F593">
        <v>42.251765957140002</v>
      </c>
      <c r="G593">
        <v>62</v>
      </c>
      <c r="H593">
        <v>9</v>
      </c>
      <c r="I593">
        <v>1</v>
      </c>
      <c r="J593">
        <v>1</v>
      </c>
      <c r="K593">
        <v>1</v>
      </c>
      <c r="L593" s="2">
        <f t="shared" si="54"/>
        <v>45292</v>
      </c>
      <c r="M593" s="2">
        <f t="shared" ca="1" si="55"/>
        <v>45312</v>
      </c>
      <c r="N593" s="2">
        <f t="shared" ca="1" si="56"/>
        <v>45319</v>
      </c>
      <c r="O593" s="3">
        <f t="shared" ca="1" si="57"/>
        <v>20</v>
      </c>
      <c r="P593" s="3">
        <f t="shared" ca="1" si="58"/>
        <v>7</v>
      </c>
      <c r="Q593" s="1" t="str">
        <f>IF(K593=1,"Joined",IF(H593&gt;=70,"Dropped at Offer",IF(H593&gt;=50,"Dropped at Interview","Dropped at Screening")))</f>
        <v>Joined</v>
      </c>
      <c r="R593" s="1" t="str">
        <f t="shared" ca="1" si="59"/>
        <v>Jan-2024</v>
      </c>
    </row>
    <row r="594" spans="1:18">
      <c r="A594">
        <v>47</v>
      </c>
      <c r="B594">
        <v>1</v>
      </c>
      <c r="C594">
        <v>3</v>
      </c>
      <c r="D594">
        <v>8</v>
      </c>
      <c r="E594">
        <v>5</v>
      </c>
      <c r="F594">
        <v>43.916521589046198</v>
      </c>
      <c r="G594">
        <v>92</v>
      </c>
      <c r="H594">
        <v>65</v>
      </c>
      <c r="I594">
        <v>42</v>
      </c>
      <c r="J594">
        <v>1</v>
      </c>
      <c r="K594">
        <v>1</v>
      </c>
      <c r="L594" s="2">
        <f t="shared" si="54"/>
        <v>45292</v>
      </c>
      <c r="M594" s="2">
        <f t="shared" ca="1" si="55"/>
        <v>45309</v>
      </c>
      <c r="N594" s="2">
        <f t="shared" ca="1" si="56"/>
        <v>45334</v>
      </c>
      <c r="O594" s="3">
        <f t="shared" ca="1" si="57"/>
        <v>17</v>
      </c>
      <c r="P594" s="3">
        <f t="shared" ca="1" si="58"/>
        <v>25</v>
      </c>
      <c r="Q594" s="1" t="str">
        <f>IF(K594=1,"Joined",IF(H594&gt;=70,"Dropped at Offer",IF(H594&gt;=50,"Dropped at Interview","Dropped at Screening")))</f>
        <v>Joined</v>
      </c>
      <c r="R594" s="1" t="str">
        <f t="shared" ca="1" si="59"/>
        <v>Jan-2024</v>
      </c>
    </row>
    <row r="595" spans="1:18">
      <c r="A595">
        <v>45</v>
      </c>
      <c r="B595">
        <v>0</v>
      </c>
      <c r="C595">
        <v>1</v>
      </c>
      <c r="D595">
        <v>9</v>
      </c>
      <c r="E595">
        <v>1</v>
      </c>
      <c r="F595">
        <v>24.181103717172402</v>
      </c>
      <c r="G595">
        <v>74</v>
      </c>
      <c r="H595">
        <v>69</v>
      </c>
      <c r="I595">
        <v>7</v>
      </c>
      <c r="J595">
        <v>2</v>
      </c>
      <c r="K595">
        <v>0</v>
      </c>
      <c r="L595" s="2">
        <f t="shared" si="54"/>
        <v>45292</v>
      </c>
      <c r="M595" s="2">
        <f t="shared" ca="1" si="55"/>
        <v>45321</v>
      </c>
      <c r="N595" s="2" t="str">
        <f t="shared" ca="1" si="56"/>
        <v>N/A</v>
      </c>
      <c r="O595" s="3">
        <f t="shared" ca="1" si="57"/>
        <v>29</v>
      </c>
      <c r="P595" s="3" t="str">
        <f t="shared" ca="1" si="58"/>
        <v>N/A</v>
      </c>
      <c r="Q595" s="1" t="str">
        <f>IF(K595=1,"Joined",IF(H595&gt;=70,"Dropped at Offer",IF(H595&gt;=50,"Dropped at Interview","Dropped at Screening")))</f>
        <v>Dropped at Interview</v>
      </c>
      <c r="R595" s="1" t="str">
        <f t="shared" ca="1" si="59"/>
        <v>Jan-2024</v>
      </c>
    </row>
    <row r="596" spans="1:18">
      <c r="A596">
        <v>42</v>
      </c>
      <c r="B596">
        <v>0</v>
      </c>
      <c r="C596">
        <v>3</v>
      </c>
      <c r="D596">
        <v>9</v>
      </c>
      <c r="E596">
        <v>3</v>
      </c>
      <c r="F596">
        <v>40.213564965335799</v>
      </c>
      <c r="G596">
        <v>79</v>
      </c>
      <c r="H596">
        <v>71</v>
      </c>
      <c r="I596">
        <v>12</v>
      </c>
      <c r="J596">
        <v>2</v>
      </c>
      <c r="K596">
        <v>1</v>
      </c>
      <c r="L596" s="2">
        <f t="shared" si="54"/>
        <v>45292</v>
      </c>
      <c r="M596" s="2">
        <f t="shared" ca="1" si="55"/>
        <v>45325</v>
      </c>
      <c r="N596" s="2">
        <f t="shared" ca="1" si="56"/>
        <v>45354</v>
      </c>
      <c r="O596" s="3">
        <f t="shared" ca="1" si="57"/>
        <v>33</v>
      </c>
      <c r="P596" s="3">
        <f t="shared" ca="1" si="58"/>
        <v>29</v>
      </c>
      <c r="Q596" s="1" t="str">
        <f>IF(K596=1,"Joined",IF(H596&gt;=70,"Dropped at Offer",IF(H596&gt;=50,"Dropped at Interview","Dropped at Screening")))</f>
        <v>Joined</v>
      </c>
      <c r="R596" s="1" t="str">
        <f t="shared" ca="1" si="59"/>
        <v>Feb-2024</v>
      </c>
    </row>
    <row r="597" spans="1:18">
      <c r="A597">
        <v>45</v>
      </c>
      <c r="B597">
        <v>1</v>
      </c>
      <c r="C597">
        <v>2</v>
      </c>
      <c r="D597">
        <v>4</v>
      </c>
      <c r="E597">
        <v>2</v>
      </c>
      <c r="F597">
        <v>48.344009817051102</v>
      </c>
      <c r="G597">
        <v>29</v>
      </c>
      <c r="H597">
        <v>99</v>
      </c>
      <c r="I597">
        <v>84</v>
      </c>
      <c r="J597">
        <v>1</v>
      </c>
      <c r="K597">
        <v>1</v>
      </c>
      <c r="L597" s="2">
        <f t="shared" si="54"/>
        <v>45292</v>
      </c>
      <c r="M597" s="2">
        <f t="shared" ca="1" si="55"/>
        <v>45314</v>
      </c>
      <c r="N597" s="2">
        <f t="shared" ca="1" si="56"/>
        <v>45323</v>
      </c>
      <c r="O597" s="3">
        <f t="shared" ca="1" si="57"/>
        <v>22</v>
      </c>
      <c r="P597" s="3">
        <f t="shared" ca="1" si="58"/>
        <v>9</v>
      </c>
      <c r="Q597" s="1" t="str">
        <f>IF(K597=1,"Joined",IF(H597&gt;=70,"Dropped at Offer",IF(H597&gt;=50,"Dropped at Interview","Dropped at Screening")))</f>
        <v>Joined</v>
      </c>
      <c r="R597" s="1" t="str">
        <f t="shared" ca="1" si="59"/>
        <v>Jan-2024</v>
      </c>
    </row>
    <row r="598" spans="1:18">
      <c r="A598">
        <v>24</v>
      </c>
      <c r="B598">
        <v>0</v>
      </c>
      <c r="C598">
        <v>4</v>
      </c>
      <c r="D598">
        <v>15</v>
      </c>
      <c r="E598">
        <v>3</v>
      </c>
      <c r="F598">
        <v>14.7585056244034</v>
      </c>
      <c r="G598">
        <v>24</v>
      </c>
      <c r="H598">
        <v>24</v>
      </c>
      <c r="I598">
        <v>91</v>
      </c>
      <c r="J598">
        <v>1</v>
      </c>
      <c r="K598">
        <v>1</v>
      </c>
      <c r="L598" s="2">
        <f t="shared" si="54"/>
        <v>45292</v>
      </c>
      <c r="M598" s="2">
        <f t="shared" ca="1" si="55"/>
        <v>45324</v>
      </c>
      <c r="N598" s="2">
        <f t="shared" ca="1" si="56"/>
        <v>45337</v>
      </c>
      <c r="O598" s="3">
        <f t="shared" ca="1" si="57"/>
        <v>32</v>
      </c>
      <c r="P598" s="3">
        <f t="shared" ca="1" si="58"/>
        <v>13</v>
      </c>
      <c r="Q598" s="1" t="str">
        <f>IF(K598=1,"Joined",IF(H598&gt;=70,"Dropped at Offer",IF(H598&gt;=50,"Dropped at Interview","Dropped at Screening")))</f>
        <v>Joined</v>
      </c>
      <c r="R598" s="1" t="str">
        <f t="shared" ca="1" si="59"/>
        <v>Feb-2024</v>
      </c>
    </row>
    <row r="599" spans="1:18">
      <c r="A599">
        <v>45</v>
      </c>
      <c r="B599">
        <v>0</v>
      </c>
      <c r="C599">
        <v>2</v>
      </c>
      <c r="D599">
        <v>12</v>
      </c>
      <c r="E599">
        <v>5</v>
      </c>
      <c r="F599">
        <v>20.898017319037798</v>
      </c>
      <c r="G599">
        <v>74</v>
      </c>
      <c r="H599">
        <v>43</v>
      </c>
      <c r="I599">
        <v>34</v>
      </c>
      <c r="J599">
        <v>3</v>
      </c>
      <c r="K599">
        <v>0</v>
      </c>
      <c r="L599" s="2">
        <f t="shared" si="54"/>
        <v>45292</v>
      </c>
      <c r="M599" s="2">
        <f t="shared" ca="1" si="55"/>
        <v>45323</v>
      </c>
      <c r="N599" s="2" t="str">
        <f t="shared" ca="1" si="56"/>
        <v>N/A</v>
      </c>
      <c r="O599" s="3">
        <f t="shared" ca="1" si="57"/>
        <v>31</v>
      </c>
      <c r="P599" s="3" t="str">
        <f t="shared" ca="1" si="58"/>
        <v>N/A</v>
      </c>
      <c r="Q599" s="1" t="str">
        <f>IF(K599=1,"Joined",IF(H599&gt;=70,"Dropped at Offer",IF(H599&gt;=50,"Dropped at Interview","Dropped at Screening")))</f>
        <v>Dropped at Screening</v>
      </c>
      <c r="R599" s="1" t="str">
        <f t="shared" ca="1" si="59"/>
        <v>Feb-2024</v>
      </c>
    </row>
    <row r="600" spans="1:18">
      <c r="A600">
        <v>40</v>
      </c>
      <c r="B600">
        <v>0</v>
      </c>
      <c r="C600">
        <v>1</v>
      </c>
      <c r="D600">
        <v>13</v>
      </c>
      <c r="E600">
        <v>4</v>
      </c>
      <c r="F600">
        <v>47.573949629833997</v>
      </c>
      <c r="G600">
        <v>70</v>
      </c>
      <c r="H600">
        <v>59</v>
      </c>
      <c r="I600">
        <v>22</v>
      </c>
      <c r="J600">
        <v>2</v>
      </c>
      <c r="K600">
        <v>0</v>
      </c>
      <c r="L600" s="2">
        <f t="shared" si="54"/>
        <v>45292</v>
      </c>
      <c r="M600" s="2">
        <f t="shared" ca="1" si="55"/>
        <v>45319</v>
      </c>
      <c r="N600" s="2" t="str">
        <f t="shared" ca="1" si="56"/>
        <v>N/A</v>
      </c>
      <c r="O600" s="3">
        <f t="shared" ca="1" si="57"/>
        <v>27</v>
      </c>
      <c r="P600" s="3" t="str">
        <f t="shared" ca="1" si="58"/>
        <v>N/A</v>
      </c>
      <c r="Q600" s="1" t="str">
        <f>IF(K600=1,"Joined",IF(H600&gt;=70,"Dropped at Offer",IF(H600&gt;=50,"Dropped at Interview","Dropped at Screening")))</f>
        <v>Dropped at Interview</v>
      </c>
      <c r="R600" s="1" t="str">
        <f t="shared" ca="1" si="59"/>
        <v>Jan-2024</v>
      </c>
    </row>
    <row r="601" spans="1:18">
      <c r="A601">
        <v>49</v>
      </c>
      <c r="B601">
        <v>0</v>
      </c>
      <c r="C601">
        <v>3</v>
      </c>
      <c r="D601">
        <v>6</v>
      </c>
      <c r="E601">
        <v>2</v>
      </c>
      <c r="F601">
        <v>17.911548365864199</v>
      </c>
      <c r="G601">
        <v>25</v>
      </c>
      <c r="H601">
        <v>46</v>
      </c>
      <c r="I601">
        <v>45</v>
      </c>
      <c r="J601">
        <v>3</v>
      </c>
      <c r="K601">
        <v>0</v>
      </c>
      <c r="L601" s="2">
        <f t="shared" si="54"/>
        <v>45292</v>
      </c>
      <c r="M601" s="2">
        <f t="shared" ca="1" si="55"/>
        <v>45332</v>
      </c>
      <c r="N601" s="2" t="str">
        <f t="shared" ca="1" si="56"/>
        <v>N/A</v>
      </c>
      <c r="O601" s="3">
        <f t="shared" ca="1" si="57"/>
        <v>40</v>
      </c>
      <c r="P601" s="3" t="str">
        <f t="shared" ca="1" si="58"/>
        <v>N/A</v>
      </c>
      <c r="Q601" s="1" t="str">
        <f>IF(K601=1,"Joined",IF(H601&gt;=70,"Dropped at Offer",IF(H601&gt;=50,"Dropped at Interview","Dropped at Screening")))</f>
        <v>Dropped at Screening</v>
      </c>
      <c r="R601" s="1" t="str">
        <f t="shared" ca="1" si="59"/>
        <v>Feb-2024</v>
      </c>
    </row>
    <row r="602" spans="1:18">
      <c r="A602">
        <v>42</v>
      </c>
      <c r="B602">
        <v>0</v>
      </c>
      <c r="C602">
        <v>2</v>
      </c>
      <c r="D602">
        <v>15</v>
      </c>
      <c r="E602">
        <v>1</v>
      </c>
      <c r="F602">
        <v>46.693814516089802</v>
      </c>
      <c r="G602">
        <v>55</v>
      </c>
      <c r="H602">
        <v>39</v>
      </c>
      <c r="I602">
        <v>14</v>
      </c>
      <c r="J602">
        <v>2</v>
      </c>
      <c r="K602">
        <v>0</v>
      </c>
      <c r="L602" s="2">
        <f t="shared" si="54"/>
        <v>45292</v>
      </c>
      <c r="M602" s="2">
        <f t="shared" ca="1" si="55"/>
        <v>45325</v>
      </c>
      <c r="N602" s="2" t="str">
        <f t="shared" ca="1" si="56"/>
        <v>N/A</v>
      </c>
      <c r="O602" s="3">
        <f t="shared" ca="1" si="57"/>
        <v>33</v>
      </c>
      <c r="P602" s="3" t="str">
        <f t="shared" ca="1" si="58"/>
        <v>N/A</v>
      </c>
      <c r="Q602" s="1" t="str">
        <f>IF(K602=1,"Joined",IF(H602&gt;=70,"Dropped at Offer",IF(H602&gt;=50,"Dropped at Interview","Dropped at Screening")))</f>
        <v>Dropped at Screening</v>
      </c>
      <c r="R602" s="1" t="str">
        <f t="shared" ca="1" si="59"/>
        <v>Feb-2024</v>
      </c>
    </row>
    <row r="603" spans="1:18">
      <c r="A603">
        <v>50</v>
      </c>
      <c r="B603">
        <v>1</v>
      </c>
      <c r="C603">
        <v>4</v>
      </c>
      <c r="D603">
        <v>9</v>
      </c>
      <c r="E603">
        <v>2</v>
      </c>
      <c r="F603">
        <v>50.052243112723197</v>
      </c>
      <c r="G603">
        <v>21</v>
      </c>
      <c r="H603">
        <v>6</v>
      </c>
      <c r="I603">
        <v>1</v>
      </c>
      <c r="J603">
        <v>2</v>
      </c>
      <c r="K603">
        <v>0</v>
      </c>
      <c r="L603" s="2">
        <f t="shared" si="54"/>
        <v>45292</v>
      </c>
      <c r="M603" s="2">
        <f t="shared" ca="1" si="55"/>
        <v>45322</v>
      </c>
      <c r="N603" s="2" t="str">
        <f t="shared" ca="1" si="56"/>
        <v>N/A</v>
      </c>
      <c r="O603" s="3">
        <f t="shared" ca="1" si="57"/>
        <v>30</v>
      </c>
      <c r="P603" s="3" t="str">
        <f t="shared" ca="1" si="58"/>
        <v>N/A</v>
      </c>
      <c r="Q603" s="1" t="str">
        <f>IF(K603=1,"Joined",IF(H603&gt;=70,"Dropped at Offer",IF(H603&gt;=50,"Dropped at Interview","Dropped at Screening")))</f>
        <v>Dropped at Screening</v>
      </c>
      <c r="R603" s="1" t="str">
        <f t="shared" ca="1" si="59"/>
        <v>Jan-2024</v>
      </c>
    </row>
    <row r="604" spans="1:18">
      <c r="A604">
        <v>28</v>
      </c>
      <c r="B604">
        <v>1</v>
      </c>
      <c r="C604">
        <v>4</v>
      </c>
      <c r="D604">
        <v>3</v>
      </c>
      <c r="E604">
        <v>1</v>
      </c>
      <c r="F604">
        <v>34.090536428721201</v>
      </c>
      <c r="G604">
        <v>88</v>
      </c>
      <c r="H604">
        <v>45</v>
      </c>
      <c r="I604">
        <v>60</v>
      </c>
      <c r="J604">
        <v>1</v>
      </c>
      <c r="K604">
        <v>1</v>
      </c>
      <c r="L604" s="2">
        <f t="shared" si="54"/>
        <v>45292</v>
      </c>
      <c r="M604" s="2">
        <f t="shared" ca="1" si="55"/>
        <v>45308</v>
      </c>
      <c r="N604" s="2">
        <f t="shared" ca="1" si="56"/>
        <v>45330</v>
      </c>
      <c r="O604" s="3">
        <f t="shared" ca="1" si="57"/>
        <v>16</v>
      </c>
      <c r="P604" s="3">
        <f t="shared" ca="1" si="58"/>
        <v>22</v>
      </c>
      <c r="Q604" s="1" t="str">
        <f>IF(K604=1,"Joined",IF(H604&gt;=70,"Dropped at Offer",IF(H604&gt;=50,"Dropped at Interview","Dropped at Screening")))</f>
        <v>Joined</v>
      </c>
      <c r="R604" s="1" t="str">
        <f t="shared" ca="1" si="59"/>
        <v>Jan-2024</v>
      </c>
    </row>
    <row r="605" spans="1:18">
      <c r="A605">
        <v>31</v>
      </c>
      <c r="B605">
        <v>1</v>
      </c>
      <c r="C605">
        <v>2</v>
      </c>
      <c r="D605">
        <v>0</v>
      </c>
      <c r="E605">
        <v>2</v>
      </c>
      <c r="F605">
        <v>41.844514475208399</v>
      </c>
      <c r="G605">
        <v>18</v>
      </c>
      <c r="H605">
        <v>22</v>
      </c>
      <c r="I605">
        <v>75</v>
      </c>
      <c r="J605">
        <v>2</v>
      </c>
      <c r="K605">
        <v>0</v>
      </c>
      <c r="L605" s="2">
        <f t="shared" si="54"/>
        <v>45292</v>
      </c>
      <c r="M605" s="2">
        <f t="shared" ca="1" si="55"/>
        <v>45317</v>
      </c>
      <c r="N605" s="2" t="str">
        <f t="shared" ca="1" si="56"/>
        <v>N/A</v>
      </c>
      <c r="O605" s="3">
        <f t="shared" ca="1" si="57"/>
        <v>25</v>
      </c>
      <c r="P605" s="3" t="str">
        <f t="shared" ca="1" si="58"/>
        <v>N/A</v>
      </c>
      <c r="Q605" s="1" t="str">
        <f>IF(K605=1,"Joined",IF(H605&gt;=70,"Dropped at Offer",IF(H605&gt;=50,"Dropped at Interview","Dropped at Screening")))</f>
        <v>Dropped at Screening</v>
      </c>
      <c r="R605" s="1" t="str">
        <f t="shared" ca="1" si="59"/>
        <v>Jan-2024</v>
      </c>
    </row>
    <row r="606" spans="1:18">
      <c r="A606">
        <v>40</v>
      </c>
      <c r="B606">
        <v>0</v>
      </c>
      <c r="C606">
        <v>1</v>
      </c>
      <c r="D606">
        <v>2</v>
      </c>
      <c r="E606">
        <v>1</v>
      </c>
      <c r="F606">
        <v>38.477278211054198</v>
      </c>
      <c r="G606">
        <v>30</v>
      </c>
      <c r="H606">
        <v>82</v>
      </c>
      <c r="I606">
        <v>63</v>
      </c>
      <c r="J606">
        <v>2</v>
      </c>
      <c r="K606">
        <v>0</v>
      </c>
      <c r="L606" s="2">
        <f t="shared" si="54"/>
        <v>45292</v>
      </c>
      <c r="M606" s="2">
        <f t="shared" ca="1" si="55"/>
        <v>45326</v>
      </c>
      <c r="N606" s="2" t="str">
        <f t="shared" ca="1" si="56"/>
        <v>N/A</v>
      </c>
      <c r="O606" s="3">
        <f t="shared" ca="1" si="57"/>
        <v>34</v>
      </c>
      <c r="P606" s="3" t="str">
        <f t="shared" ca="1" si="58"/>
        <v>N/A</v>
      </c>
      <c r="Q606" s="1" t="str">
        <f>IF(K606=1,"Joined",IF(H606&gt;=70,"Dropped at Offer",IF(H606&gt;=50,"Dropped at Interview","Dropped at Screening")))</f>
        <v>Dropped at Offer</v>
      </c>
      <c r="R606" s="1" t="str">
        <f t="shared" ca="1" si="59"/>
        <v>Feb-2024</v>
      </c>
    </row>
    <row r="607" spans="1:18">
      <c r="A607">
        <v>20</v>
      </c>
      <c r="B607">
        <v>1</v>
      </c>
      <c r="C607">
        <v>2</v>
      </c>
      <c r="D607">
        <v>4</v>
      </c>
      <c r="E607">
        <v>1</v>
      </c>
      <c r="F607">
        <v>35.976712880776098</v>
      </c>
      <c r="G607">
        <v>25</v>
      </c>
      <c r="H607">
        <v>45</v>
      </c>
      <c r="I607">
        <v>51</v>
      </c>
      <c r="J607">
        <v>1</v>
      </c>
      <c r="K607">
        <v>0</v>
      </c>
      <c r="L607" s="2">
        <f t="shared" si="54"/>
        <v>45292</v>
      </c>
      <c r="M607" s="2">
        <f t="shared" ca="1" si="55"/>
        <v>45337</v>
      </c>
      <c r="N607" s="2" t="str">
        <f t="shared" ca="1" si="56"/>
        <v>N/A</v>
      </c>
      <c r="O607" s="3">
        <f t="shared" ca="1" si="57"/>
        <v>45</v>
      </c>
      <c r="P607" s="3" t="str">
        <f t="shared" ca="1" si="58"/>
        <v>N/A</v>
      </c>
      <c r="Q607" s="1" t="str">
        <f>IF(K607=1,"Joined",IF(H607&gt;=70,"Dropped at Offer",IF(H607&gt;=50,"Dropped at Interview","Dropped at Screening")))</f>
        <v>Dropped at Screening</v>
      </c>
      <c r="R607" s="1" t="str">
        <f t="shared" ca="1" si="59"/>
        <v>Feb-2024</v>
      </c>
    </row>
    <row r="608" spans="1:18">
      <c r="A608">
        <v>45</v>
      </c>
      <c r="B608">
        <v>0</v>
      </c>
      <c r="C608">
        <v>1</v>
      </c>
      <c r="D608">
        <v>2</v>
      </c>
      <c r="E608">
        <v>2</v>
      </c>
      <c r="F608">
        <v>16.346553649061601</v>
      </c>
      <c r="G608">
        <v>41</v>
      </c>
      <c r="H608">
        <v>85</v>
      </c>
      <c r="I608">
        <v>35</v>
      </c>
      <c r="J608">
        <v>2</v>
      </c>
      <c r="K608">
        <v>0</v>
      </c>
      <c r="L608" s="2">
        <f t="shared" si="54"/>
        <v>45292</v>
      </c>
      <c r="M608" s="2">
        <f t="shared" ca="1" si="55"/>
        <v>45308</v>
      </c>
      <c r="N608" s="2" t="str">
        <f t="shared" ca="1" si="56"/>
        <v>N/A</v>
      </c>
      <c r="O608" s="3">
        <f t="shared" ca="1" si="57"/>
        <v>16</v>
      </c>
      <c r="P608" s="3" t="str">
        <f t="shared" ca="1" si="58"/>
        <v>N/A</v>
      </c>
      <c r="Q608" s="1" t="str">
        <f>IF(K608=1,"Joined",IF(H608&gt;=70,"Dropped at Offer",IF(H608&gt;=50,"Dropped at Interview","Dropped at Screening")))</f>
        <v>Dropped at Offer</v>
      </c>
      <c r="R608" s="1" t="str">
        <f t="shared" ca="1" si="59"/>
        <v>Jan-2024</v>
      </c>
    </row>
    <row r="609" spans="1:18">
      <c r="A609">
        <v>45</v>
      </c>
      <c r="B609">
        <v>0</v>
      </c>
      <c r="C609">
        <v>1</v>
      </c>
      <c r="D609">
        <v>15</v>
      </c>
      <c r="E609">
        <v>2</v>
      </c>
      <c r="F609">
        <v>3.8547168953971802</v>
      </c>
      <c r="G609">
        <v>40</v>
      </c>
      <c r="H609">
        <v>12</v>
      </c>
      <c r="I609">
        <v>66</v>
      </c>
      <c r="J609">
        <v>2</v>
      </c>
      <c r="K609">
        <v>0</v>
      </c>
      <c r="L609" s="2">
        <f t="shared" si="54"/>
        <v>45292</v>
      </c>
      <c r="M609" s="2">
        <f t="shared" ca="1" si="55"/>
        <v>45329</v>
      </c>
      <c r="N609" s="2" t="str">
        <f t="shared" ca="1" si="56"/>
        <v>N/A</v>
      </c>
      <c r="O609" s="3">
        <f t="shared" ca="1" si="57"/>
        <v>37</v>
      </c>
      <c r="P609" s="3" t="str">
        <f t="shared" ca="1" si="58"/>
        <v>N/A</v>
      </c>
      <c r="Q609" s="1" t="str">
        <f>IF(K609=1,"Joined",IF(H609&gt;=70,"Dropped at Offer",IF(H609&gt;=50,"Dropped at Interview","Dropped at Screening")))</f>
        <v>Dropped at Screening</v>
      </c>
      <c r="R609" s="1" t="str">
        <f t="shared" ca="1" si="59"/>
        <v>Feb-2024</v>
      </c>
    </row>
    <row r="610" spans="1:18">
      <c r="A610">
        <v>20</v>
      </c>
      <c r="B610">
        <v>0</v>
      </c>
      <c r="C610">
        <v>3</v>
      </c>
      <c r="D610">
        <v>11</v>
      </c>
      <c r="E610">
        <v>1</v>
      </c>
      <c r="F610">
        <v>18.152586625982501</v>
      </c>
      <c r="G610">
        <v>99</v>
      </c>
      <c r="H610">
        <v>20</v>
      </c>
      <c r="I610">
        <v>68</v>
      </c>
      <c r="J610">
        <v>2</v>
      </c>
      <c r="K610">
        <v>1</v>
      </c>
      <c r="L610" s="2">
        <f t="shared" si="54"/>
        <v>45292</v>
      </c>
      <c r="M610" s="2">
        <f t="shared" ca="1" si="55"/>
        <v>45323</v>
      </c>
      <c r="N610" s="2">
        <f t="shared" ca="1" si="56"/>
        <v>45343</v>
      </c>
      <c r="O610" s="3">
        <f t="shared" ca="1" si="57"/>
        <v>31</v>
      </c>
      <c r="P610" s="3">
        <f t="shared" ca="1" si="58"/>
        <v>20</v>
      </c>
      <c r="Q610" s="1" t="str">
        <f>IF(K610=1,"Joined",IF(H610&gt;=70,"Dropped at Offer",IF(H610&gt;=50,"Dropped at Interview","Dropped at Screening")))</f>
        <v>Joined</v>
      </c>
      <c r="R610" s="1" t="str">
        <f t="shared" ca="1" si="59"/>
        <v>Feb-2024</v>
      </c>
    </row>
    <row r="611" spans="1:18">
      <c r="A611">
        <v>34</v>
      </c>
      <c r="B611">
        <v>0</v>
      </c>
      <c r="C611">
        <v>2</v>
      </c>
      <c r="D611">
        <v>12</v>
      </c>
      <c r="E611">
        <v>5</v>
      </c>
      <c r="F611">
        <v>34.346799260195297</v>
      </c>
      <c r="G611">
        <v>22</v>
      </c>
      <c r="H611">
        <v>0</v>
      </c>
      <c r="I611">
        <v>66</v>
      </c>
      <c r="J611">
        <v>2</v>
      </c>
      <c r="K611">
        <v>0</v>
      </c>
      <c r="L611" s="2">
        <f t="shared" si="54"/>
        <v>45292</v>
      </c>
      <c r="M611" s="2">
        <f t="shared" ca="1" si="55"/>
        <v>45336</v>
      </c>
      <c r="N611" s="2" t="str">
        <f t="shared" ca="1" si="56"/>
        <v>N/A</v>
      </c>
      <c r="O611" s="3">
        <f t="shared" ca="1" si="57"/>
        <v>44</v>
      </c>
      <c r="P611" s="3" t="str">
        <f t="shared" ca="1" si="58"/>
        <v>N/A</v>
      </c>
      <c r="Q611" s="1" t="str">
        <f>IF(K611=1,"Joined",IF(H611&gt;=70,"Dropped at Offer",IF(H611&gt;=50,"Dropped at Interview","Dropped at Screening")))</f>
        <v>Dropped at Screening</v>
      </c>
      <c r="R611" s="1" t="str">
        <f t="shared" ca="1" si="59"/>
        <v>Feb-2024</v>
      </c>
    </row>
    <row r="612" spans="1:18">
      <c r="A612">
        <v>21</v>
      </c>
      <c r="B612">
        <v>1</v>
      </c>
      <c r="C612">
        <v>2</v>
      </c>
      <c r="D612">
        <v>10</v>
      </c>
      <c r="E612">
        <v>2</v>
      </c>
      <c r="F612">
        <v>6.12645991139006</v>
      </c>
      <c r="G612">
        <v>46</v>
      </c>
      <c r="H612">
        <v>18</v>
      </c>
      <c r="I612">
        <v>46</v>
      </c>
      <c r="J612">
        <v>2</v>
      </c>
      <c r="K612">
        <v>0</v>
      </c>
      <c r="L612" s="2">
        <f t="shared" si="54"/>
        <v>45292</v>
      </c>
      <c r="M612" s="2">
        <f t="shared" ca="1" si="55"/>
        <v>45331</v>
      </c>
      <c r="N612" s="2" t="str">
        <f t="shared" ca="1" si="56"/>
        <v>N/A</v>
      </c>
      <c r="O612" s="3">
        <f t="shared" ca="1" si="57"/>
        <v>39</v>
      </c>
      <c r="P612" s="3" t="str">
        <f t="shared" ca="1" si="58"/>
        <v>N/A</v>
      </c>
      <c r="Q612" s="1" t="str">
        <f>IF(K612=1,"Joined",IF(H612&gt;=70,"Dropped at Offer",IF(H612&gt;=50,"Dropped at Interview","Dropped at Screening")))</f>
        <v>Dropped at Screening</v>
      </c>
      <c r="R612" s="1" t="str">
        <f t="shared" ca="1" si="59"/>
        <v>Feb-2024</v>
      </c>
    </row>
    <row r="613" spans="1:18">
      <c r="A613">
        <v>49</v>
      </c>
      <c r="B613">
        <v>1</v>
      </c>
      <c r="C613">
        <v>4</v>
      </c>
      <c r="D613">
        <v>6</v>
      </c>
      <c r="E613">
        <v>3</v>
      </c>
      <c r="F613">
        <v>1.5958991489120999</v>
      </c>
      <c r="G613">
        <v>12</v>
      </c>
      <c r="H613">
        <v>59</v>
      </c>
      <c r="I613">
        <v>82</v>
      </c>
      <c r="J613">
        <v>2</v>
      </c>
      <c r="K613">
        <v>1</v>
      </c>
      <c r="L613" s="2">
        <f t="shared" si="54"/>
        <v>45292</v>
      </c>
      <c r="M613" s="2">
        <f t="shared" ca="1" si="55"/>
        <v>45330</v>
      </c>
      <c r="N613" s="2">
        <f t="shared" ca="1" si="56"/>
        <v>45342</v>
      </c>
      <c r="O613" s="3">
        <f t="shared" ca="1" si="57"/>
        <v>38</v>
      </c>
      <c r="P613" s="3">
        <f t="shared" ca="1" si="58"/>
        <v>12</v>
      </c>
      <c r="Q613" s="1" t="str">
        <f>IF(K613=1,"Joined",IF(H613&gt;=70,"Dropped at Offer",IF(H613&gt;=50,"Dropped at Interview","Dropped at Screening")))</f>
        <v>Joined</v>
      </c>
      <c r="R613" s="1" t="str">
        <f t="shared" ca="1" si="59"/>
        <v>Feb-2024</v>
      </c>
    </row>
    <row r="614" spans="1:18">
      <c r="A614">
        <v>41</v>
      </c>
      <c r="B614">
        <v>0</v>
      </c>
      <c r="C614">
        <v>2</v>
      </c>
      <c r="D614">
        <v>11</v>
      </c>
      <c r="E614">
        <v>4</v>
      </c>
      <c r="F614">
        <v>7.9846186301469304</v>
      </c>
      <c r="G614">
        <v>88</v>
      </c>
      <c r="H614">
        <v>32</v>
      </c>
      <c r="I614">
        <v>1</v>
      </c>
      <c r="J614">
        <v>3</v>
      </c>
      <c r="K614">
        <v>0</v>
      </c>
      <c r="L614" s="2">
        <f t="shared" si="54"/>
        <v>45292</v>
      </c>
      <c r="M614" s="2">
        <f t="shared" ca="1" si="55"/>
        <v>45336</v>
      </c>
      <c r="N614" s="2" t="str">
        <f t="shared" ca="1" si="56"/>
        <v>N/A</v>
      </c>
      <c r="O614" s="3">
        <f t="shared" ca="1" si="57"/>
        <v>44</v>
      </c>
      <c r="P614" s="3" t="str">
        <f t="shared" ca="1" si="58"/>
        <v>N/A</v>
      </c>
      <c r="Q614" s="1" t="str">
        <f>IF(K614=1,"Joined",IF(H614&gt;=70,"Dropped at Offer",IF(H614&gt;=50,"Dropped at Interview","Dropped at Screening")))</f>
        <v>Dropped at Screening</v>
      </c>
      <c r="R614" s="1" t="str">
        <f t="shared" ca="1" si="59"/>
        <v>Feb-2024</v>
      </c>
    </row>
    <row r="615" spans="1:18">
      <c r="A615">
        <v>35</v>
      </c>
      <c r="B615">
        <v>1</v>
      </c>
      <c r="C615">
        <v>2</v>
      </c>
      <c r="D615">
        <v>8</v>
      </c>
      <c r="E615">
        <v>1</v>
      </c>
      <c r="F615">
        <v>36.7867963205397</v>
      </c>
      <c r="G615">
        <v>65</v>
      </c>
      <c r="H615">
        <v>3</v>
      </c>
      <c r="I615">
        <v>43</v>
      </c>
      <c r="J615">
        <v>3</v>
      </c>
      <c r="K615">
        <v>0</v>
      </c>
      <c r="L615" s="2">
        <f t="shared" si="54"/>
        <v>45292</v>
      </c>
      <c r="M615" s="2">
        <f t="shared" ca="1" si="55"/>
        <v>45318</v>
      </c>
      <c r="N615" s="2" t="str">
        <f t="shared" ca="1" si="56"/>
        <v>N/A</v>
      </c>
      <c r="O615" s="3">
        <f t="shared" ca="1" si="57"/>
        <v>26</v>
      </c>
      <c r="P615" s="3" t="str">
        <f t="shared" ca="1" si="58"/>
        <v>N/A</v>
      </c>
      <c r="Q615" s="1" t="str">
        <f>IF(K615=1,"Joined",IF(H615&gt;=70,"Dropped at Offer",IF(H615&gt;=50,"Dropped at Interview","Dropped at Screening")))</f>
        <v>Dropped at Screening</v>
      </c>
      <c r="R615" s="1" t="str">
        <f t="shared" ca="1" si="59"/>
        <v>Jan-2024</v>
      </c>
    </row>
    <row r="616" spans="1:18">
      <c r="A616">
        <v>44</v>
      </c>
      <c r="B616">
        <v>0</v>
      </c>
      <c r="C616">
        <v>4</v>
      </c>
      <c r="D616">
        <v>14</v>
      </c>
      <c r="E616">
        <v>1</v>
      </c>
      <c r="F616">
        <v>49.639685082822197</v>
      </c>
      <c r="G616">
        <v>65</v>
      </c>
      <c r="H616">
        <v>2</v>
      </c>
      <c r="I616">
        <v>100</v>
      </c>
      <c r="J616">
        <v>3</v>
      </c>
      <c r="K616">
        <v>0</v>
      </c>
      <c r="L616" s="2">
        <f t="shared" si="54"/>
        <v>45292</v>
      </c>
      <c r="M616" s="2">
        <f t="shared" ca="1" si="55"/>
        <v>45327</v>
      </c>
      <c r="N616" s="2" t="str">
        <f t="shared" ca="1" si="56"/>
        <v>N/A</v>
      </c>
      <c r="O616" s="3">
        <f t="shared" ca="1" si="57"/>
        <v>35</v>
      </c>
      <c r="P616" s="3" t="str">
        <f t="shared" ca="1" si="58"/>
        <v>N/A</v>
      </c>
      <c r="Q616" s="1" t="str">
        <f>IF(K616=1,"Joined",IF(H616&gt;=70,"Dropped at Offer",IF(H616&gt;=50,"Dropped at Interview","Dropped at Screening")))</f>
        <v>Dropped at Screening</v>
      </c>
      <c r="R616" s="1" t="str">
        <f t="shared" ca="1" si="59"/>
        <v>Feb-2024</v>
      </c>
    </row>
    <row r="617" spans="1:18">
      <c r="A617">
        <v>27</v>
      </c>
      <c r="B617">
        <v>1</v>
      </c>
      <c r="C617">
        <v>1</v>
      </c>
      <c r="D617">
        <v>11</v>
      </c>
      <c r="E617">
        <v>4</v>
      </c>
      <c r="F617">
        <v>50.153234980740997</v>
      </c>
      <c r="G617">
        <v>15</v>
      </c>
      <c r="H617">
        <v>90</v>
      </c>
      <c r="I617">
        <v>63</v>
      </c>
      <c r="J617">
        <v>2</v>
      </c>
      <c r="K617">
        <v>0</v>
      </c>
      <c r="L617" s="2">
        <f t="shared" si="54"/>
        <v>45292</v>
      </c>
      <c r="M617" s="2">
        <f t="shared" ca="1" si="55"/>
        <v>45328</v>
      </c>
      <c r="N617" s="2" t="str">
        <f t="shared" ca="1" si="56"/>
        <v>N/A</v>
      </c>
      <c r="O617" s="3">
        <f t="shared" ca="1" si="57"/>
        <v>36</v>
      </c>
      <c r="P617" s="3" t="str">
        <f t="shared" ca="1" si="58"/>
        <v>N/A</v>
      </c>
      <c r="Q617" s="1" t="str">
        <f>IF(K617=1,"Joined",IF(H617&gt;=70,"Dropped at Offer",IF(H617&gt;=50,"Dropped at Interview","Dropped at Screening")))</f>
        <v>Dropped at Offer</v>
      </c>
      <c r="R617" s="1" t="str">
        <f t="shared" ca="1" si="59"/>
        <v>Feb-2024</v>
      </c>
    </row>
    <row r="618" spans="1:18">
      <c r="A618">
        <v>32</v>
      </c>
      <c r="B618">
        <v>1</v>
      </c>
      <c r="C618">
        <v>3</v>
      </c>
      <c r="D618">
        <v>5</v>
      </c>
      <c r="E618">
        <v>5</v>
      </c>
      <c r="F618">
        <v>25.6989574570093</v>
      </c>
      <c r="G618">
        <v>72</v>
      </c>
      <c r="H618">
        <v>51</v>
      </c>
      <c r="I618">
        <v>80</v>
      </c>
      <c r="J618">
        <v>2</v>
      </c>
      <c r="K618">
        <v>1</v>
      </c>
      <c r="L618" s="2">
        <f t="shared" si="54"/>
        <v>45292</v>
      </c>
      <c r="M618" s="2">
        <f t="shared" ca="1" si="55"/>
        <v>45333</v>
      </c>
      <c r="N618" s="2">
        <f t="shared" ca="1" si="56"/>
        <v>45357</v>
      </c>
      <c r="O618" s="3">
        <f t="shared" ca="1" si="57"/>
        <v>41</v>
      </c>
      <c r="P618" s="3">
        <f t="shared" ca="1" si="58"/>
        <v>24</v>
      </c>
      <c r="Q618" s="1" t="str">
        <f>IF(K618=1,"Joined",IF(H618&gt;=70,"Dropped at Offer",IF(H618&gt;=50,"Dropped at Interview","Dropped at Screening")))</f>
        <v>Joined</v>
      </c>
      <c r="R618" s="1" t="str">
        <f t="shared" ca="1" si="59"/>
        <v>Feb-2024</v>
      </c>
    </row>
    <row r="619" spans="1:18">
      <c r="A619">
        <v>40</v>
      </c>
      <c r="B619">
        <v>0</v>
      </c>
      <c r="C619">
        <v>4</v>
      </c>
      <c r="D619">
        <v>12</v>
      </c>
      <c r="E619">
        <v>4</v>
      </c>
      <c r="F619">
        <v>44.467615049617301</v>
      </c>
      <c r="G619">
        <v>27</v>
      </c>
      <c r="H619">
        <v>98</v>
      </c>
      <c r="I619">
        <v>77</v>
      </c>
      <c r="J619">
        <v>2</v>
      </c>
      <c r="K619">
        <v>1</v>
      </c>
      <c r="L619" s="2">
        <f t="shared" si="54"/>
        <v>45292</v>
      </c>
      <c r="M619" s="2">
        <f t="shared" ca="1" si="55"/>
        <v>45333</v>
      </c>
      <c r="N619" s="2">
        <f t="shared" ca="1" si="56"/>
        <v>45349</v>
      </c>
      <c r="O619" s="3">
        <f t="shared" ca="1" si="57"/>
        <v>41</v>
      </c>
      <c r="P619" s="3">
        <f t="shared" ca="1" si="58"/>
        <v>16</v>
      </c>
      <c r="Q619" s="1" t="str">
        <f>IF(K619=1,"Joined",IF(H619&gt;=70,"Dropped at Offer",IF(H619&gt;=50,"Dropped at Interview","Dropped at Screening")))</f>
        <v>Joined</v>
      </c>
      <c r="R619" s="1" t="str">
        <f t="shared" ca="1" si="59"/>
        <v>Feb-2024</v>
      </c>
    </row>
    <row r="620" spans="1:18">
      <c r="A620">
        <v>20</v>
      </c>
      <c r="B620">
        <v>1</v>
      </c>
      <c r="C620">
        <v>4</v>
      </c>
      <c r="D620">
        <v>9</v>
      </c>
      <c r="E620">
        <v>2</v>
      </c>
      <c r="F620">
        <v>37.841322787575201</v>
      </c>
      <c r="G620">
        <v>76</v>
      </c>
      <c r="H620">
        <v>27</v>
      </c>
      <c r="I620">
        <v>27</v>
      </c>
      <c r="J620">
        <v>1</v>
      </c>
      <c r="K620">
        <v>1</v>
      </c>
      <c r="L620" s="2">
        <f t="shared" si="54"/>
        <v>45292</v>
      </c>
      <c r="M620" s="2">
        <f t="shared" ca="1" si="55"/>
        <v>45320</v>
      </c>
      <c r="N620" s="2">
        <f t="shared" ca="1" si="56"/>
        <v>45347</v>
      </c>
      <c r="O620" s="3">
        <f t="shared" ca="1" si="57"/>
        <v>28</v>
      </c>
      <c r="P620" s="3">
        <f t="shared" ca="1" si="58"/>
        <v>27</v>
      </c>
      <c r="Q620" s="1" t="str">
        <f>IF(K620=1,"Joined",IF(H620&gt;=70,"Dropped at Offer",IF(H620&gt;=50,"Dropped at Interview","Dropped at Screening")))</f>
        <v>Joined</v>
      </c>
      <c r="R620" s="1" t="str">
        <f t="shared" ca="1" si="59"/>
        <v>Jan-2024</v>
      </c>
    </row>
    <row r="621" spans="1:18">
      <c r="A621">
        <v>35</v>
      </c>
      <c r="B621">
        <v>0</v>
      </c>
      <c r="C621">
        <v>2</v>
      </c>
      <c r="D621">
        <v>0</v>
      </c>
      <c r="E621">
        <v>4</v>
      </c>
      <c r="F621">
        <v>26.052011849230102</v>
      </c>
      <c r="G621">
        <v>34</v>
      </c>
      <c r="H621">
        <v>69</v>
      </c>
      <c r="I621">
        <v>90</v>
      </c>
      <c r="J621">
        <v>3</v>
      </c>
      <c r="K621">
        <v>0</v>
      </c>
      <c r="L621" s="2">
        <f t="shared" si="54"/>
        <v>45292</v>
      </c>
      <c r="M621" s="2">
        <f t="shared" ca="1" si="55"/>
        <v>45321</v>
      </c>
      <c r="N621" s="2" t="str">
        <f t="shared" ca="1" si="56"/>
        <v>N/A</v>
      </c>
      <c r="O621" s="3">
        <f t="shared" ca="1" si="57"/>
        <v>29</v>
      </c>
      <c r="P621" s="3" t="str">
        <f t="shared" ca="1" si="58"/>
        <v>N/A</v>
      </c>
      <c r="Q621" s="1" t="str">
        <f>IF(K621=1,"Joined",IF(H621&gt;=70,"Dropped at Offer",IF(H621&gt;=50,"Dropped at Interview","Dropped at Screening")))</f>
        <v>Dropped at Interview</v>
      </c>
      <c r="R621" s="1" t="str">
        <f t="shared" ca="1" si="59"/>
        <v>Jan-2024</v>
      </c>
    </row>
    <row r="622" spans="1:18">
      <c r="A622">
        <v>48</v>
      </c>
      <c r="B622">
        <v>1</v>
      </c>
      <c r="C622">
        <v>2</v>
      </c>
      <c r="D622">
        <v>15</v>
      </c>
      <c r="E622">
        <v>1</v>
      </c>
      <c r="F622">
        <v>29.638026647754302</v>
      </c>
      <c r="G622">
        <v>40</v>
      </c>
      <c r="H622">
        <v>69</v>
      </c>
      <c r="I622">
        <v>53</v>
      </c>
      <c r="J622">
        <v>2</v>
      </c>
      <c r="K622">
        <v>0</v>
      </c>
      <c r="L622" s="2">
        <f t="shared" si="54"/>
        <v>45292</v>
      </c>
      <c r="M622" s="2">
        <f t="shared" ca="1" si="55"/>
        <v>45328</v>
      </c>
      <c r="N622" s="2" t="str">
        <f t="shared" ca="1" si="56"/>
        <v>N/A</v>
      </c>
      <c r="O622" s="3">
        <f t="shared" ca="1" si="57"/>
        <v>36</v>
      </c>
      <c r="P622" s="3" t="str">
        <f t="shared" ca="1" si="58"/>
        <v>N/A</v>
      </c>
      <c r="Q622" s="1" t="str">
        <f>IF(K622=1,"Joined",IF(H622&gt;=70,"Dropped at Offer",IF(H622&gt;=50,"Dropped at Interview","Dropped at Screening")))</f>
        <v>Dropped at Interview</v>
      </c>
      <c r="R622" s="1" t="str">
        <f t="shared" ca="1" si="59"/>
        <v>Feb-2024</v>
      </c>
    </row>
    <row r="623" spans="1:18">
      <c r="A623">
        <v>26</v>
      </c>
      <c r="B623">
        <v>0</v>
      </c>
      <c r="C623">
        <v>2</v>
      </c>
      <c r="D623">
        <v>6</v>
      </c>
      <c r="E623">
        <v>4</v>
      </c>
      <c r="F623">
        <v>7.8613573308435498</v>
      </c>
      <c r="G623">
        <v>76</v>
      </c>
      <c r="H623">
        <v>54</v>
      </c>
      <c r="I623">
        <v>73</v>
      </c>
      <c r="J623">
        <v>1</v>
      </c>
      <c r="K623">
        <v>1</v>
      </c>
      <c r="L623" s="2">
        <f t="shared" si="54"/>
        <v>45292</v>
      </c>
      <c r="M623" s="2">
        <f t="shared" ca="1" si="55"/>
        <v>45320</v>
      </c>
      <c r="N623" s="2">
        <f t="shared" ca="1" si="56"/>
        <v>45347</v>
      </c>
      <c r="O623" s="3">
        <f t="shared" ca="1" si="57"/>
        <v>28</v>
      </c>
      <c r="P623" s="3">
        <f t="shared" ca="1" si="58"/>
        <v>27</v>
      </c>
      <c r="Q623" s="1" t="str">
        <f>IF(K623=1,"Joined",IF(H623&gt;=70,"Dropped at Offer",IF(H623&gt;=50,"Dropped at Interview","Dropped at Screening")))</f>
        <v>Joined</v>
      </c>
      <c r="R623" s="1" t="str">
        <f t="shared" ca="1" si="59"/>
        <v>Jan-2024</v>
      </c>
    </row>
    <row r="624" spans="1:18">
      <c r="A624">
        <v>50</v>
      </c>
      <c r="B624">
        <v>0</v>
      </c>
      <c r="C624">
        <v>3</v>
      </c>
      <c r="D624">
        <v>14</v>
      </c>
      <c r="E624">
        <v>3</v>
      </c>
      <c r="F624">
        <v>47.8830730308296</v>
      </c>
      <c r="G624">
        <v>30</v>
      </c>
      <c r="H624">
        <v>56</v>
      </c>
      <c r="I624">
        <v>66</v>
      </c>
      <c r="J624">
        <v>1</v>
      </c>
      <c r="K624">
        <v>1</v>
      </c>
      <c r="L624" s="2">
        <f t="shared" si="54"/>
        <v>45292</v>
      </c>
      <c r="M624" s="2">
        <f t="shared" ca="1" si="55"/>
        <v>45327</v>
      </c>
      <c r="N624" s="2">
        <f t="shared" ca="1" si="56"/>
        <v>45353</v>
      </c>
      <c r="O624" s="3">
        <f t="shared" ca="1" si="57"/>
        <v>35</v>
      </c>
      <c r="P624" s="3">
        <f t="shared" ca="1" si="58"/>
        <v>26</v>
      </c>
      <c r="Q624" s="1" t="str">
        <f>IF(K624=1,"Joined",IF(H624&gt;=70,"Dropped at Offer",IF(H624&gt;=50,"Dropped at Interview","Dropped at Screening")))</f>
        <v>Joined</v>
      </c>
      <c r="R624" s="1" t="str">
        <f t="shared" ca="1" si="59"/>
        <v>Feb-2024</v>
      </c>
    </row>
    <row r="625" spans="1:18">
      <c r="A625">
        <v>24</v>
      </c>
      <c r="B625">
        <v>1</v>
      </c>
      <c r="C625">
        <v>3</v>
      </c>
      <c r="D625">
        <v>2</v>
      </c>
      <c r="E625">
        <v>2</v>
      </c>
      <c r="F625">
        <v>18.596488536588801</v>
      </c>
      <c r="G625">
        <v>84</v>
      </c>
      <c r="H625">
        <v>86</v>
      </c>
      <c r="I625">
        <v>35</v>
      </c>
      <c r="J625">
        <v>3</v>
      </c>
      <c r="K625">
        <v>0</v>
      </c>
      <c r="L625" s="2">
        <f t="shared" si="54"/>
        <v>45292</v>
      </c>
      <c r="M625" s="2">
        <f t="shared" ca="1" si="55"/>
        <v>45333</v>
      </c>
      <c r="N625" s="2" t="str">
        <f t="shared" ca="1" si="56"/>
        <v>N/A</v>
      </c>
      <c r="O625" s="3">
        <f t="shared" ca="1" si="57"/>
        <v>41</v>
      </c>
      <c r="P625" s="3" t="str">
        <f t="shared" ca="1" si="58"/>
        <v>N/A</v>
      </c>
      <c r="Q625" s="1" t="str">
        <f>IF(K625=1,"Joined",IF(H625&gt;=70,"Dropped at Offer",IF(H625&gt;=50,"Dropped at Interview","Dropped at Screening")))</f>
        <v>Dropped at Offer</v>
      </c>
      <c r="R625" s="1" t="str">
        <f t="shared" ca="1" si="59"/>
        <v>Feb-2024</v>
      </c>
    </row>
    <row r="626" spans="1:18">
      <c r="A626">
        <v>41</v>
      </c>
      <c r="B626">
        <v>1</v>
      </c>
      <c r="C626">
        <v>2</v>
      </c>
      <c r="D626">
        <v>4</v>
      </c>
      <c r="E626">
        <v>4</v>
      </c>
      <c r="F626">
        <v>23.307462822858401</v>
      </c>
      <c r="G626">
        <v>31</v>
      </c>
      <c r="H626">
        <v>96</v>
      </c>
      <c r="I626">
        <v>62</v>
      </c>
      <c r="J626">
        <v>1</v>
      </c>
      <c r="K626">
        <v>1</v>
      </c>
      <c r="L626" s="2">
        <f t="shared" si="54"/>
        <v>45292</v>
      </c>
      <c r="M626" s="2">
        <f t="shared" ca="1" si="55"/>
        <v>45327</v>
      </c>
      <c r="N626" s="2">
        <f t="shared" ca="1" si="56"/>
        <v>45351</v>
      </c>
      <c r="O626" s="3">
        <f t="shared" ca="1" si="57"/>
        <v>35</v>
      </c>
      <c r="P626" s="3">
        <f t="shared" ca="1" si="58"/>
        <v>24</v>
      </c>
      <c r="Q626" s="1" t="str">
        <f>IF(K626=1,"Joined",IF(H626&gt;=70,"Dropped at Offer",IF(H626&gt;=50,"Dropped at Interview","Dropped at Screening")))</f>
        <v>Joined</v>
      </c>
      <c r="R626" s="1" t="str">
        <f t="shared" ca="1" si="59"/>
        <v>Feb-2024</v>
      </c>
    </row>
    <row r="627" spans="1:18">
      <c r="A627">
        <v>48</v>
      </c>
      <c r="B627">
        <v>0</v>
      </c>
      <c r="C627">
        <v>2</v>
      </c>
      <c r="D627">
        <v>15</v>
      </c>
      <c r="E627">
        <v>1</v>
      </c>
      <c r="F627">
        <v>34.583011549894898</v>
      </c>
      <c r="G627">
        <v>53</v>
      </c>
      <c r="H627">
        <v>15</v>
      </c>
      <c r="I627">
        <v>24</v>
      </c>
      <c r="J627">
        <v>1</v>
      </c>
      <c r="K627">
        <v>0</v>
      </c>
      <c r="L627" s="2">
        <f t="shared" si="54"/>
        <v>45292</v>
      </c>
      <c r="M627" s="2">
        <f t="shared" ca="1" si="55"/>
        <v>45323</v>
      </c>
      <c r="N627" s="2" t="str">
        <f t="shared" ca="1" si="56"/>
        <v>N/A</v>
      </c>
      <c r="O627" s="3">
        <f t="shared" ca="1" si="57"/>
        <v>31</v>
      </c>
      <c r="P627" s="3" t="str">
        <f t="shared" ca="1" si="58"/>
        <v>N/A</v>
      </c>
      <c r="Q627" s="1" t="str">
        <f>IF(K627=1,"Joined",IF(H627&gt;=70,"Dropped at Offer",IF(H627&gt;=50,"Dropped at Interview","Dropped at Screening")))</f>
        <v>Dropped at Screening</v>
      </c>
      <c r="R627" s="1" t="str">
        <f t="shared" ca="1" si="59"/>
        <v>Feb-2024</v>
      </c>
    </row>
    <row r="628" spans="1:18">
      <c r="A628">
        <v>42</v>
      </c>
      <c r="B628">
        <v>1</v>
      </c>
      <c r="C628">
        <v>1</v>
      </c>
      <c r="D628">
        <v>9</v>
      </c>
      <c r="E628">
        <v>2</v>
      </c>
      <c r="F628">
        <v>17.6951235763276</v>
      </c>
      <c r="G628">
        <v>97</v>
      </c>
      <c r="H628">
        <v>23</v>
      </c>
      <c r="I628">
        <v>85</v>
      </c>
      <c r="J628">
        <v>2</v>
      </c>
      <c r="K628">
        <v>0</v>
      </c>
      <c r="L628" s="2">
        <f t="shared" si="54"/>
        <v>45292</v>
      </c>
      <c r="M628" s="2">
        <f t="shared" ca="1" si="55"/>
        <v>45332</v>
      </c>
      <c r="N628" s="2" t="str">
        <f t="shared" ca="1" si="56"/>
        <v>N/A</v>
      </c>
      <c r="O628" s="3">
        <f t="shared" ca="1" si="57"/>
        <v>40</v>
      </c>
      <c r="P628" s="3" t="str">
        <f t="shared" ca="1" si="58"/>
        <v>N/A</v>
      </c>
      <c r="Q628" s="1" t="str">
        <f>IF(K628=1,"Joined",IF(H628&gt;=70,"Dropped at Offer",IF(H628&gt;=50,"Dropped at Interview","Dropped at Screening")))</f>
        <v>Dropped at Screening</v>
      </c>
      <c r="R628" s="1" t="str">
        <f t="shared" ca="1" si="59"/>
        <v>Feb-2024</v>
      </c>
    </row>
    <row r="629" spans="1:18">
      <c r="A629">
        <v>22</v>
      </c>
      <c r="B629">
        <v>1</v>
      </c>
      <c r="C629">
        <v>1</v>
      </c>
      <c r="D629">
        <v>3</v>
      </c>
      <c r="E629">
        <v>1</v>
      </c>
      <c r="F629">
        <v>13.712958049446501</v>
      </c>
      <c r="G629">
        <v>71</v>
      </c>
      <c r="H629">
        <v>68</v>
      </c>
      <c r="I629">
        <v>47</v>
      </c>
      <c r="J629">
        <v>1</v>
      </c>
      <c r="K629">
        <v>1</v>
      </c>
      <c r="L629" s="2">
        <f t="shared" si="54"/>
        <v>45292</v>
      </c>
      <c r="M629" s="2">
        <f t="shared" ca="1" si="55"/>
        <v>45322</v>
      </c>
      <c r="N629" s="2">
        <f t="shared" ca="1" si="56"/>
        <v>45347</v>
      </c>
      <c r="O629" s="3">
        <f t="shared" ca="1" si="57"/>
        <v>30</v>
      </c>
      <c r="P629" s="3">
        <f t="shared" ca="1" si="58"/>
        <v>25</v>
      </c>
      <c r="Q629" s="1" t="str">
        <f>IF(K629=1,"Joined",IF(H629&gt;=70,"Dropped at Offer",IF(H629&gt;=50,"Dropped at Interview","Dropped at Screening")))</f>
        <v>Joined</v>
      </c>
      <c r="R629" s="1" t="str">
        <f t="shared" ca="1" si="59"/>
        <v>Jan-2024</v>
      </c>
    </row>
    <row r="630" spans="1:18">
      <c r="A630">
        <v>31</v>
      </c>
      <c r="B630">
        <v>0</v>
      </c>
      <c r="C630">
        <v>3</v>
      </c>
      <c r="D630">
        <v>9</v>
      </c>
      <c r="E630">
        <v>5</v>
      </c>
      <c r="F630">
        <v>32.552469663510998</v>
      </c>
      <c r="G630">
        <v>58</v>
      </c>
      <c r="H630">
        <v>40</v>
      </c>
      <c r="I630">
        <v>38</v>
      </c>
      <c r="J630">
        <v>3</v>
      </c>
      <c r="K630">
        <v>0</v>
      </c>
      <c r="L630" s="2">
        <f t="shared" si="54"/>
        <v>45292</v>
      </c>
      <c r="M630" s="2">
        <f t="shared" ca="1" si="55"/>
        <v>45313</v>
      </c>
      <c r="N630" s="2" t="str">
        <f t="shared" ca="1" si="56"/>
        <v>N/A</v>
      </c>
      <c r="O630" s="3">
        <f t="shared" ca="1" si="57"/>
        <v>21</v>
      </c>
      <c r="P630" s="3" t="str">
        <f t="shared" ca="1" si="58"/>
        <v>N/A</v>
      </c>
      <c r="Q630" s="1" t="str">
        <f>IF(K630=1,"Joined",IF(H630&gt;=70,"Dropped at Offer",IF(H630&gt;=50,"Dropped at Interview","Dropped at Screening")))</f>
        <v>Dropped at Screening</v>
      </c>
      <c r="R630" s="1" t="str">
        <f t="shared" ca="1" si="59"/>
        <v>Jan-2024</v>
      </c>
    </row>
    <row r="631" spans="1:18">
      <c r="A631">
        <v>45</v>
      </c>
      <c r="B631">
        <v>0</v>
      </c>
      <c r="C631">
        <v>2</v>
      </c>
      <c r="D631">
        <v>4</v>
      </c>
      <c r="E631">
        <v>3</v>
      </c>
      <c r="F631">
        <v>2.2492041140924699</v>
      </c>
      <c r="G631">
        <v>40</v>
      </c>
      <c r="H631">
        <v>76</v>
      </c>
      <c r="I631">
        <v>46</v>
      </c>
      <c r="J631">
        <v>2</v>
      </c>
      <c r="K631">
        <v>0</v>
      </c>
      <c r="L631" s="2">
        <f t="shared" si="54"/>
        <v>45292</v>
      </c>
      <c r="M631" s="2">
        <f t="shared" ca="1" si="55"/>
        <v>45314</v>
      </c>
      <c r="N631" s="2" t="str">
        <f t="shared" ca="1" si="56"/>
        <v>N/A</v>
      </c>
      <c r="O631" s="3">
        <f t="shared" ca="1" si="57"/>
        <v>22</v>
      </c>
      <c r="P631" s="3" t="str">
        <f t="shared" ca="1" si="58"/>
        <v>N/A</v>
      </c>
      <c r="Q631" s="1" t="str">
        <f>IF(K631=1,"Joined",IF(H631&gt;=70,"Dropped at Offer",IF(H631&gt;=50,"Dropped at Interview","Dropped at Screening")))</f>
        <v>Dropped at Offer</v>
      </c>
      <c r="R631" s="1" t="str">
        <f t="shared" ca="1" si="59"/>
        <v>Jan-2024</v>
      </c>
    </row>
    <row r="632" spans="1:18">
      <c r="A632">
        <v>35</v>
      </c>
      <c r="B632">
        <v>1</v>
      </c>
      <c r="C632">
        <v>4</v>
      </c>
      <c r="D632">
        <v>4</v>
      </c>
      <c r="E632">
        <v>5</v>
      </c>
      <c r="F632">
        <v>37.036255601333899</v>
      </c>
      <c r="G632">
        <v>65</v>
      </c>
      <c r="H632">
        <v>46</v>
      </c>
      <c r="I632">
        <v>93</v>
      </c>
      <c r="J632">
        <v>2</v>
      </c>
      <c r="K632">
        <v>0</v>
      </c>
      <c r="L632" s="2">
        <f t="shared" si="54"/>
        <v>45292</v>
      </c>
      <c r="M632" s="2">
        <f t="shared" ca="1" si="55"/>
        <v>45328</v>
      </c>
      <c r="N632" s="2" t="str">
        <f t="shared" ca="1" si="56"/>
        <v>N/A</v>
      </c>
      <c r="O632" s="3">
        <f t="shared" ca="1" si="57"/>
        <v>36</v>
      </c>
      <c r="P632" s="3" t="str">
        <f t="shared" ca="1" si="58"/>
        <v>N/A</v>
      </c>
      <c r="Q632" s="1" t="str">
        <f>IF(K632=1,"Joined",IF(H632&gt;=70,"Dropped at Offer",IF(H632&gt;=50,"Dropped at Interview","Dropped at Screening")))</f>
        <v>Dropped at Screening</v>
      </c>
      <c r="R632" s="1" t="str">
        <f t="shared" ca="1" si="59"/>
        <v>Feb-2024</v>
      </c>
    </row>
    <row r="633" spans="1:18">
      <c r="A633">
        <v>38</v>
      </c>
      <c r="B633">
        <v>0</v>
      </c>
      <c r="C633">
        <v>3</v>
      </c>
      <c r="D633">
        <v>5</v>
      </c>
      <c r="E633">
        <v>3</v>
      </c>
      <c r="F633">
        <v>26.701168493825399</v>
      </c>
      <c r="G633">
        <v>95</v>
      </c>
      <c r="H633">
        <v>75</v>
      </c>
      <c r="I633">
        <v>20</v>
      </c>
      <c r="J633">
        <v>3</v>
      </c>
      <c r="K633">
        <v>0</v>
      </c>
      <c r="L633" s="2">
        <f t="shared" si="54"/>
        <v>45292</v>
      </c>
      <c r="M633" s="2">
        <f t="shared" ca="1" si="55"/>
        <v>45329</v>
      </c>
      <c r="N633" s="2" t="str">
        <f t="shared" ca="1" si="56"/>
        <v>N/A</v>
      </c>
      <c r="O633" s="3">
        <f t="shared" ca="1" si="57"/>
        <v>37</v>
      </c>
      <c r="P633" s="3" t="str">
        <f t="shared" ca="1" si="58"/>
        <v>N/A</v>
      </c>
      <c r="Q633" s="1" t="str">
        <f>IF(K633=1,"Joined",IF(H633&gt;=70,"Dropped at Offer",IF(H633&gt;=50,"Dropped at Interview","Dropped at Screening")))</f>
        <v>Dropped at Offer</v>
      </c>
      <c r="R633" s="1" t="str">
        <f t="shared" ca="1" si="59"/>
        <v>Feb-2024</v>
      </c>
    </row>
    <row r="634" spans="1:18">
      <c r="A634">
        <v>24</v>
      </c>
      <c r="B634">
        <v>0</v>
      </c>
      <c r="C634">
        <v>1</v>
      </c>
      <c r="D634">
        <v>13</v>
      </c>
      <c r="E634">
        <v>4</v>
      </c>
      <c r="F634">
        <v>31.287686526046699</v>
      </c>
      <c r="G634">
        <v>53</v>
      </c>
      <c r="H634">
        <v>68</v>
      </c>
      <c r="I634">
        <v>29</v>
      </c>
      <c r="J634">
        <v>2</v>
      </c>
      <c r="K634">
        <v>0</v>
      </c>
      <c r="L634" s="2">
        <f t="shared" si="54"/>
        <v>45292</v>
      </c>
      <c r="M634" s="2">
        <f t="shared" ca="1" si="55"/>
        <v>45324</v>
      </c>
      <c r="N634" s="2" t="str">
        <f t="shared" ca="1" si="56"/>
        <v>N/A</v>
      </c>
      <c r="O634" s="3">
        <f t="shared" ca="1" si="57"/>
        <v>32</v>
      </c>
      <c r="P634" s="3" t="str">
        <f t="shared" ca="1" si="58"/>
        <v>N/A</v>
      </c>
      <c r="Q634" s="1" t="str">
        <f>IF(K634=1,"Joined",IF(H634&gt;=70,"Dropped at Offer",IF(H634&gt;=50,"Dropped at Interview","Dropped at Screening")))</f>
        <v>Dropped at Interview</v>
      </c>
      <c r="R634" s="1" t="str">
        <f t="shared" ca="1" si="59"/>
        <v>Feb-2024</v>
      </c>
    </row>
    <row r="635" spans="1:18">
      <c r="A635">
        <v>41</v>
      </c>
      <c r="B635">
        <v>0</v>
      </c>
      <c r="C635">
        <v>2</v>
      </c>
      <c r="D635">
        <v>9</v>
      </c>
      <c r="E635">
        <v>2</v>
      </c>
      <c r="F635">
        <v>32.5940079623442</v>
      </c>
      <c r="G635">
        <v>39</v>
      </c>
      <c r="H635">
        <v>100</v>
      </c>
      <c r="I635">
        <v>91</v>
      </c>
      <c r="J635">
        <v>2</v>
      </c>
      <c r="K635">
        <v>0</v>
      </c>
      <c r="L635" s="2">
        <f t="shared" si="54"/>
        <v>45292</v>
      </c>
      <c r="M635" s="2">
        <f t="shared" ca="1" si="55"/>
        <v>45321</v>
      </c>
      <c r="N635" s="2" t="str">
        <f t="shared" ca="1" si="56"/>
        <v>N/A</v>
      </c>
      <c r="O635" s="3">
        <f t="shared" ca="1" si="57"/>
        <v>29</v>
      </c>
      <c r="P635" s="3" t="str">
        <f t="shared" ca="1" si="58"/>
        <v>N/A</v>
      </c>
      <c r="Q635" s="1" t="str">
        <f>IF(K635=1,"Joined",IF(H635&gt;=70,"Dropped at Offer",IF(H635&gt;=50,"Dropped at Interview","Dropped at Screening")))</f>
        <v>Dropped at Offer</v>
      </c>
      <c r="R635" s="1" t="str">
        <f t="shared" ca="1" si="59"/>
        <v>Jan-2024</v>
      </c>
    </row>
    <row r="636" spans="1:18">
      <c r="A636">
        <v>44</v>
      </c>
      <c r="B636">
        <v>1</v>
      </c>
      <c r="C636">
        <v>2</v>
      </c>
      <c r="D636">
        <v>11</v>
      </c>
      <c r="E636">
        <v>4</v>
      </c>
      <c r="F636">
        <v>27.352507824628098</v>
      </c>
      <c r="G636">
        <v>27</v>
      </c>
      <c r="H636">
        <v>30</v>
      </c>
      <c r="I636">
        <v>30</v>
      </c>
      <c r="J636">
        <v>2</v>
      </c>
      <c r="K636">
        <v>0</v>
      </c>
      <c r="L636" s="2">
        <f t="shared" si="54"/>
        <v>45292</v>
      </c>
      <c r="M636" s="2">
        <f t="shared" ca="1" si="55"/>
        <v>45307</v>
      </c>
      <c r="N636" s="2" t="str">
        <f t="shared" ca="1" si="56"/>
        <v>N/A</v>
      </c>
      <c r="O636" s="3">
        <f t="shared" ca="1" si="57"/>
        <v>15</v>
      </c>
      <c r="P636" s="3" t="str">
        <f t="shared" ca="1" si="58"/>
        <v>N/A</v>
      </c>
      <c r="Q636" s="1" t="str">
        <f>IF(K636=1,"Joined",IF(H636&gt;=70,"Dropped at Offer",IF(H636&gt;=50,"Dropped at Interview","Dropped at Screening")))</f>
        <v>Dropped at Screening</v>
      </c>
      <c r="R636" s="1" t="str">
        <f t="shared" ca="1" si="59"/>
        <v>Jan-2024</v>
      </c>
    </row>
    <row r="637" spans="1:18">
      <c r="A637">
        <v>48</v>
      </c>
      <c r="B637">
        <v>1</v>
      </c>
      <c r="C637">
        <v>2</v>
      </c>
      <c r="D637">
        <v>9</v>
      </c>
      <c r="E637">
        <v>3</v>
      </c>
      <c r="F637">
        <v>30.126688872036699</v>
      </c>
      <c r="G637">
        <v>36</v>
      </c>
      <c r="H637">
        <v>91</v>
      </c>
      <c r="I637">
        <v>25</v>
      </c>
      <c r="J637">
        <v>2</v>
      </c>
      <c r="K637">
        <v>0</v>
      </c>
      <c r="L637" s="2">
        <f t="shared" si="54"/>
        <v>45292</v>
      </c>
      <c r="M637" s="2">
        <f t="shared" ca="1" si="55"/>
        <v>45332</v>
      </c>
      <c r="N637" s="2" t="str">
        <f t="shared" ca="1" si="56"/>
        <v>N/A</v>
      </c>
      <c r="O637" s="3">
        <f t="shared" ca="1" si="57"/>
        <v>40</v>
      </c>
      <c r="P637" s="3" t="str">
        <f t="shared" ca="1" si="58"/>
        <v>N/A</v>
      </c>
      <c r="Q637" s="1" t="str">
        <f>IF(K637=1,"Joined",IF(H637&gt;=70,"Dropped at Offer",IF(H637&gt;=50,"Dropped at Interview","Dropped at Screening")))</f>
        <v>Dropped at Offer</v>
      </c>
      <c r="R637" s="1" t="str">
        <f t="shared" ca="1" si="59"/>
        <v>Feb-2024</v>
      </c>
    </row>
    <row r="638" spans="1:18">
      <c r="A638">
        <v>33</v>
      </c>
      <c r="B638">
        <v>0</v>
      </c>
      <c r="C638">
        <v>3</v>
      </c>
      <c r="D638">
        <v>12</v>
      </c>
      <c r="E638">
        <v>3</v>
      </c>
      <c r="F638">
        <v>35.189410044493698</v>
      </c>
      <c r="G638">
        <v>64</v>
      </c>
      <c r="H638">
        <v>91</v>
      </c>
      <c r="I638">
        <v>21</v>
      </c>
      <c r="J638">
        <v>2</v>
      </c>
      <c r="K638">
        <v>0</v>
      </c>
      <c r="L638" s="2">
        <f t="shared" si="54"/>
        <v>45292</v>
      </c>
      <c r="M638" s="2">
        <f t="shared" ca="1" si="55"/>
        <v>45334</v>
      </c>
      <c r="N638" s="2" t="str">
        <f t="shared" ca="1" si="56"/>
        <v>N/A</v>
      </c>
      <c r="O638" s="3">
        <f t="shared" ca="1" si="57"/>
        <v>42</v>
      </c>
      <c r="P638" s="3" t="str">
        <f t="shared" ca="1" si="58"/>
        <v>N/A</v>
      </c>
      <c r="Q638" s="1" t="str">
        <f>IF(K638=1,"Joined",IF(H638&gt;=70,"Dropped at Offer",IF(H638&gt;=50,"Dropped at Interview","Dropped at Screening")))</f>
        <v>Dropped at Offer</v>
      </c>
      <c r="R638" s="1" t="str">
        <f t="shared" ca="1" si="59"/>
        <v>Feb-2024</v>
      </c>
    </row>
    <row r="639" spans="1:18">
      <c r="A639">
        <v>47</v>
      </c>
      <c r="B639">
        <v>1</v>
      </c>
      <c r="C639">
        <v>3</v>
      </c>
      <c r="D639">
        <v>12</v>
      </c>
      <c r="E639">
        <v>3</v>
      </c>
      <c r="F639">
        <v>38.655942358983701</v>
      </c>
      <c r="G639">
        <v>73</v>
      </c>
      <c r="H639">
        <v>29</v>
      </c>
      <c r="I639">
        <v>20</v>
      </c>
      <c r="J639">
        <v>2</v>
      </c>
      <c r="K639">
        <v>0</v>
      </c>
      <c r="L639" s="2">
        <f t="shared" si="54"/>
        <v>45292</v>
      </c>
      <c r="M639" s="2">
        <f t="shared" ca="1" si="55"/>
        <v>45313</v>
      </c>
      <c r="N639" s="2" t="str">
        <f t="shared" ca="1" si="56"/>
        <v>N/A</v>
      </c>
      <c r="O639" s="3">
        <f t="shared" ca="1" si="57"/>
        <v>21</v>
      </c>
      <c r="P639" s="3" t="str">
        <f t="shared" ca="1" si="58"/>
        <v>N/A</v>
      </c>
      <c r="Q639" s="1" t="str">
        <f>IF(K639=1,"Joined",IF(H639&gt;=70,"Dropped at Offer",IF(H639&gt;=50,"Dropped at Interview","Dropped at Screening")))</f>
        <v>Dropped at Screening</v>
      </c>
      <c r="R639" s="1" t="str">
        <f t="shared" ca="1" si="59"/>
        <v>Jan-2024</v>
      </c>
    </row>
    <row r="640" spans="1:18">
      <c r="A640">
        <v>24</v>
      </c>
      <c r="B640">
        <v>0</v>
      </c>
      <c r="C640">
        <v>3</v>
      </c>
      <c r="D640">
        <v>10</v>
      </c>
      <c r="E640">
        <v>1</v>
      </c>
      <c r="F640">
        <v>37.372619564306</v>
      </c>
      <c r="G640">
        <v>54</v>
      </c>
      <c r="H640">
        <v>17</v>
      </c>
      <c r="I640">
        <v>0</v>
      </c>
      <c r="J640">
        <v>3</v>
      </c>
      <c r="K640">
        <v>0</v>
      </c>
      <c r="L640" s="2">
        <f t="shared" si="54"/>
        <v>45292</v>
      </c>
      <c r="M640" s="2">
        <f t="shared" ca="1" si="55"/>
        <v>45312</v>
      </c>
      <c r="N640" s="2" t="str">
        <f t="shared" ca="1" si="56"/>
        <v>N/A</v>
      </c>
      <c r="O640" s="3">
        <f t="shared" ca="1" si="57"/>
        <v>20</v>
      </c>
      <c r="P640" s="3" t="str">
        <f t="shared" ca="1" si="58"/>
        <v>N/A</v>
      </c>
      <c r="Q640" s="1" t="str">
        <f>IF(K640=1,"Joined",IF(H640&gt;=70,"Dropped at Offer",IF(H640&gt;=50,"Dropped at Interview","Dropped at Screening")))</f>
        <v>Dropped at Screening</v>
      </c>
      <c r="R640" s="1" t="str">
        <f t="shared" ca="1" si="59"/>
        <v>Jan-2024</v>
      </c>
    </row>
    <row r="641" spans="1:18">
      <c r="A641">
        <v>34</v>
      </c>
      <c r="B641">
        <v>1</v>
      </c>
      <c r="C641">
        <v>2</v>
      </c>
      <c r="D641">
        <v>5</v>
      </c>
      <c r="E641">
        <v>2</v>
      </c>
      <c r="F641">
        <v>44.480822886612998</v>
      </c>
      <c r="G641">
        <v>3</v>
      </c>
      <c r="H641">
        <v>43</v>
      </c>
      <c r="I641">
        <v>36</v>
      </c>
      <c r="J641">
        <v>2</v>
      </c>
      <c r="K641">
        <v>0</v>
      </c>
      <c r="L641" s="2">
        <f t="shared" si="54"/>
        <v>45292</v>
      </c>
      <c r="M641" s="2">
        <f t="shared" ca="1" si="55"/>
        <v>45318</v>
      </c>
      <c r="N641" s="2" t="str">
        <f t="shared" ca="1" si="56"/>
        <v>N/A</v>
      </c>
      <c r="O641" s="3">
        <f t="shared" ca="1" si="57"/>
        <v>26</v>
      </c>
      <c r="P641" s="3" t="str">
        <f t="shared" ca="1" si="58"/>
        <v>N/A</v>
      </c>
      <c r="Q641" s="1" t="str">
        <f>IF(K641=1,"Joined",IF(H641&gt;=70,"Dropped at Offer",IF(H641&gt;=50,"Dropped at Interview","Dropped at Screening")))</f>
        <v>Dropped at Screening</v>
      </c>
      <c r="R641" s="1" t="str">
        <f t="shared" ca="1" si="59"/>
        <v>Jan-2024</v>
      </c>
    </row>
    <row r="642" spans="1:18">
      <c r="A642">
        <v>36</v>
      </c>
      <c r="B642">
        <v>0</v>
      </c>
      <c r="C642">
        <v>1</v>
      </c>
      <c r="D642">
        <v>15</v>
      </c>
      <c r="E642">
        <v>4</v>
      </c>
      <c r="F642">
        <v>10.472171658370099</v>
      </c>
      <c r="G642">
        <v>98</v>
      </c>
      <c r="H642">
        <v>26</v>
      </c>
      <c r="I642">
        <v>76</v>
      </c>
      <c r="J642">
        <v>3</v>
      </c>
      <c r="K642">
        <v>0</v>
      </c>
      <c r="L642" s="2">
        <f t="shared" ref="L642:L705" si="60">DATE(2024,1,1)</f>
        <v>45292</v>
      </c>
      <c r="M642" s="2">
        <f t="shared" ref="M642:M705" ca="1" si="61">L642+RANDBETWEEN(14,45)</f>
        <v>45306</v>
      </c>
      <c r="N642" s="2" t="str">
        <f t="shared" ref="N642:N705" ca="1" si="62">IF(K642=1, M642+RANDBETWEEN(7,30), "N/A")</f>
        <v>N/A</v>
      </c>
      <c r="O642" s="3">
        <f t="shared" ref="O642:O705" ca="1" si="63">IF(AND(M642&lt;&gt;"",L642&lt;&gt;""), M642-L642, "N/A")</f>
        <v>14</v>
      </c>
      <c r="P642" s="3" t="str">
        <f t="shared" ref="P642:Q705" ca="1" si="64">IF(AND(K642=1, N642&lt;&gt;"", M642&lt;&gt;""), N642 - M642, "N/A")</f>
        <v>N/A</v>
      </c>
      <c r="Q642" s="1" t="str">
        <f>IF(K642=1,"Joined",IF(H642&gt;=70,"Dropped at Offer",IF(H642&gt;=50,"Dropped at Interview","Dropped at Screening")))</f>
        <v>Dropped at Screening</v>
      </c>
      <c r="R642" s="1" t="str">
        <f t="shared" ref="R642:R705" ca="1" si="65">TEXT(M642,"MMM-YYYY")</f>
        <v>Jan-2024</v>
      </c>
    </row>
    <row r="643" spans="1:18">
      <c r="A643">
        <v>49</v>
      </c>
      <c r="B643">
        <v>0</v>
      </c>
      <c r="C643">
        <v>3</v>
      </c>
      <c r="D643">
        <v>7</v>
      </c>
      <c r="E643">
        <v>4</v>
      </c>
      <c r="F643">
        <v>21.0573984745898</v>
      </c>
      <c r="G643">
        <v>9</v>
      </c>
      <c r="H643">
        <v>98</v>
      </c>
      <c r="I643">
        <v>84</v>
      </c>
      <c r="J643">
        <v>2</v>
      </c>
      <c r="K643">
        <v>1</v>
      </c>
      <c r="L643" s="2">
        <f t="shared" si="60"/>
        <v>45292</v>
      </c>
      <c r="M643" s="2">
        <f t="shared" ca="1" si="61"/>
        <v>45319</v>
      </c>
      <c r="N643" s="2">
        <f t="shared" ca="1" si="62"/>
        <v>45348</v>
      </c>
      <c r="O643" s="3">
        <f t="shared" ca="1" si="63"/>
        <v>27</v>
      </c>
      <c r="P643" s="3">
        <f t="shared" ca="1" si="64"/>
        <v>29</v>
      </c>
      <c r="Q643" s="1" t="str">
        <f>IF(K643=1,"Joined",IF(H643&gt;=70,"Dropped at Offer",IF(H643&gt;=50,"Dropped at Interview","Dropped at Screening")))</f>
        <v>Joined</v>
      </c>
      <c r="R643" s="1" t="str">
        <f t="shared" ca="1" si="65"/>
        <v>Jan-2024</v>
      </c>
    </row>
    <row r="644" spans="1:18">
      <c r="A644">
        <v>33</v>
      </c>
      <c r="B644">
        <v>1</v>
      </c>
      <c r="C644">
        <v>1</v>
      </c>
      <c r="D644">
        <v>7</v>
      </c>
      <c r="E644">
        <v>5</v>
      </c>
      <c r="F644">
        <v>48.389803300722797</v>
      </c>
      <c r="G644">
        <v>46</v>
      </c>
      <c r="H644">
        <v>25</v>
      </c>
      <c r="I644">
        <v>45</v>
      </c>
      <c r="J644">
        <v>2</v>
      </c>
      <c r="K644">
        <v>0</v>
      </c>
      <c r="L644" s="2">
        <f t="shared" si="60"/>
        <v>45292</v>
      </c>
      <c r="M644" s="2">
        <f t="shared" ca="1" si="61"/>
        <v>45306</v>
      </c>
      <c r="N644" s="2" t="str">
        <f t="shared" ca="1" si="62"/>
        <v>N/A</v>
      </c>
      <c r="O644" s="3">
        <f t="shared" ca="1" si="63"/>
        <v>14</v>
      </c>
      <c r="P644" s="3" t="str">
        <f t="shared" ca="1" si="64"/>
        <v>N/A</v>
      </c>
      <c r="Q644" s="1" t="str">
        <f>IF(K644=1,"Joined",IF(H644&gt;=70,"Dropped at Offer",IF(H644&gt;=50,"Dropped at Interview","Dropped at Screening")))</f>
        <v>Dropped at Screening</v>
      </c>
      <c r="R644" s="1" t="str">
        <f t="shared" ca="1" si="65"/>
        <v>Jan-2024</v>
      </c>
    </row>
    <row r="645" spans="1:18">
      <c r="A645">
        <v>49</v>
      </c>
      <c r="B645">
        <v>0</v>
      </c>
      <c r="C645">
        <v>2</v>
      </c>
      <c r="D645">
        <v>10</v>
      </c>
      <c r="E645">
        <v>3</v>
      </c>
      <c r="F645">
        <v>20.8295287193164</v>
      </c>
      <c r="G645">
        <v>74</v>
      </c>
      <c r="H645">
        <v>59</v>
      </c>
      <c r="I645">
        <v>8</v>
      </c>
      <c r="J645">
        <v>3</v>
      </c>
      <c r="K645">
        <v>0</v>
      </c>
      <c r="L645" s="2">
        <f t="shared" si="60"/>
        <v>45292</v>
      </c>
      <c r="M645" s="2">
        <f t="shared" ca="1" si="61"/>
        <v>45314</v>
      </c>
      <c r="N645" s="2" t="str">
        <f t="shared" ca="1" si="62"/>
        <v>N/A</v>
      </c>
      <c r="O645" s="3">
        <f t="shared" ca="1" si="63"/>
        <v>22</v>
      </c>
      <c r="P645" s="3" t="str">
        <f t="shared" ca="1" si="64"/>
        <v>N/A</v>
      </c>
      <c r="Q645" s="1" t="str">
        <f>IF(K645=1,"Joined",IF(H645&gt;=70,"Dropped at Offer",IF(H645&gt;=50,"Dropped at Interview","Dropped at Screening")))</f>
        <v>Dropped at Interview</v>
      </c>
      <c r="R645" s="1" t="str">
        <f t="shared" ca="1" si="65"/>
        <v>Jan-2024</v>
      </c>
    </row>
    <row r="646" spans="1:18">
      <c r="A646">
        <v>39</v>
      </c>
      <c r="B646">
        <v>1</v>
      </c>
      <c r="C646">
        <v>1</v>
      </c>
      <c r="D646">
        <v>8</v>
      </c>
      <c r="E646">
        <v>3</v>
      </c>
      <c r="F646">
        <v>7.2435038452961296</v>
      </c>
      <c r="G646">
        <v>13</v>
      </c>
      <c r="H646">
        <v>17</v>
      </c>
      <c r="I646">
        <v>16</v>
      </c>
      <c r="J646">
        <v>1</v>
      </c>
      <c r="K646">
        <v>0</v>
      </c>
      <c r="L646" s="2">
        <f t="shared" si="60"/>
        <v>45292</v>
      </c>
      <c r="M646" s="2">
        <f t="shared" ca="1" si="61"/>
        <v>45311</v>
      </c>
      <c r="N646" s="2" t="str">
        <f t="shared" ca="1" si="62"/>
        <v>N/A</v>
      </c>
      <c r="O646" s="3">
        <f t="shared" ca="1" si="63"/>
        <v>19</v>
      </c>
      <c r="P646" s="3" t="str">
        <f t="shared" ca="1" si="64"/>
        <v>N/A</v>
      </c>
      <c r="Q646" s="1" t="str">
        <f>IF(K646=1,"Joined",IF(H646&gt;=70,"Dropped at Offer",IF(H646&gt;=50,"Dropped at Interview","Dropped at Screening")))</f>
        <v>Dropped at Screening</v>
      </c>
      <c r="R646" s="1" t="str">
        <f t="shared" ca="1" si="65"/>
        <v>Jan-2024</v>
      </c>
    </row>
    <row r="647" spans="1:18">
      <c r="A647">
        <v>24</v>
      </c>
      <c r="B647">
        <v>1</v>
      </c>
      <c r="C647">
        <v>2</v>
      </c>
      <c r="D647">
        <v>7</v>
      </c>
      <c r="E647">
        <v>3</v>
      </c>
      <c r="F647">
        <v>27.272256318108901</v>
      </c>
      <c r="G647">
        <v>37</v>
      </c>
      <c r="H647">
        <v>96</v>
      </c>
      <c r="I647">
        <v>46</v>
      </c>
      <c r="J647">
        <v>2</v>
      </c>
      <c r="K647">
        <v>0</v>
      </c>
      <c r="L647" s="2">
        <f t="shared" si="60"/>
        <v>45292</v>
      </c>
      <c r="M647" s="2">
        <f t="shared" ca="1" si="61"/>
        <v>45306</v>
      </c>
      <c r="N647" s="2" t="str">
        <f t="shared" ca="1" si="62"/>
        <v>N/A</v>
      </c>
      <c r="O647" s="3">
        <f t="shared" ca="1" si="63"/>
        <v>14</v>
      </c>
      <c r="P647" s="3" t="str">
        <f t="shared" ca="1" si="64"/>
        <v>N/A</v>
      </c>
      <c r="Q647" s="1" t="str">
        <f>IF(K647=1,"Joined",IF(H647&gt;=70,"Dropped at Offer",IF(H647&gt;=50,"Dropped at Interview","Dropped at Screening")))</f>
        <v>Dropped at Offer</v>
      </c>
      <c r="R647" s="1" t="str">
        <f t="shared" ca="1" si="65"/>
        <v>Jan-2024</v>
      </c>
    </row>
    <row r="648" spans="1:18">
      <c r="A648">
        <v>31</v>
      </c>
      <c r="B648">
        <v>0</v>
      </c>
      <c r="C648">
        <v>1</v>
      </c>
      <c r="D648">
        <v>12</v>
      </c>
      <c r="E648">
        <v>4</v>
      </c>
      <c r="F648">
        <v>6.4745486277230997</v>
      </c>
      <c r="G648">
        <v>11</v>
      </c>
      <c r="H648">
        <v>88</v>
      </c>
      <c r="I648">
        <v>84</v>
      </c>
      <c r="J648">
        <v>2</v>
      </c>
      <c r="K648">
        <v>0</v>
      </c>
      <c r="L648" s="2">
        <f t="shared" si="60"/>
        <v>45292</v>
      </c>
      <c r="M648" s="2">
        <f t="shared" ca="1" si="61"/>
        <v>45322</v>
      </c>
      <c r="N648" s="2" t="str">
        <f t="shared" ca="1" si="62"/>
        <v>N/A</v>
      </c>
      <c r="O648" s="3">
        <f t="shared" ca="1" si="63"/>
        <v>30</v>
      </c>
      <c r="P648" s="3" t="str">
        <f t="shared" ca="1" si="64"/>
        <v>N/A</v>
      </c>
      <c r="Q648" s="1" t="str">
        <f>IF(K648=1,"Joined",IF(H648&gt;=70,"Dropped at Offer",IF(H648&gt;=50,"Dropped at Interview","Dropped at Screening")))</f>
        <v>Dropped at Offer</v>
      </c>
      <c r="R648" s="1" t="str">
        <f t="shared" ca="1" si="65"/>
        <v>Jan-2024</v>
      </c>
    </row>
    <row r="649" spans="1:18">
      <c r="A649">
        <v>35</v>
      </c>
      <c r="B649">
        <v>0</v>
      </c>
      <c r="C649">
        <v>2</v>
      </c>
      <c r="D649">
        <v>10</v>
      </c>
      <c r="E649">
        <v>5</v>
      </c>
      <c r="F649">
        <v>11.1426619363932</v>
      </c>
      <c r="G649">
        <v>44</v>
      </c>
      <c r="H649">
        <v>55</v>
      </c>
      <c r="I649">
        <v>94</v>
      </c>
      <c r="J649">
        <v>2</v>
      </c>
      <c r="K649">
        <v>0</v>
      </c>
      <c r="L649" s="2">
        <f t="shared" si="60"/>
        <v>45292</v>
      </c>
      <c r="M649" s="2">
        <f t="shared" ca="1" si="61"/>
        <v>45314</v>
      </c>
      <c r="N649" s="2" t="str">
        <f t="shared" ca="1" si="62"/>
        <v>N/A</v>
      </c>
      <c r="O649" s="3">
        <f t="shared" ca="1" si="63"/>
        <v>22</v>
      </c>
      <c r="P649" s="3" t="str">
        <f t="shared" ca="1" si="64"/>
        <v>N/A</v>
      </c>
      <c r="Q649" s="1" t="str">
        <f>IF(K649=1,"Joined",IF(H649&gt;=70,"Dropped at Offer",IF(H649&gt;=50,"Dropped at Interview","Dropped at Screening")))</f>
        <v>Dropped at Interview</v>
      </c>
      <c r="R649" s="1" t="str">
        <f t="shared" ca="1" si="65"/>
        <v>Jan-2024</v>
      </c>
    </row>
    <row r="650" spans="1:18">
      <c r="A650">
        <v>45</v>
      </c>
      <c r="B650">
        <v>1</v>
      </c>
      <c r="C650">
        <v>4</v>
      </c>
      <c r="D650">
        <v>1</v>
      </c>
      <c r="E650">
        <v>1</v>
      </c>
      <c r="F650">
        <v>50.915937828547797</v>
      </c>
      <c r="G650">
        <v>16</v>
      </c>
      <c r="H650">
        <v>30</v>
      </c>
      <c r="I650">
        <v>58</v>
      </c>
      <c r="J650">
        <v>1</v>
      </c>
      <c r="K650">
        <v>0</v>
      </c>
      <c r="L650" s="2">
        <f t="shared" si="60"/>
        <v>45292</v>
      </c>
      <c r="M650" s="2">
        <f t="shared" ca="1" si="61"/>
        <v>45317</v>
      </c>
      <c r="N650" s="2" t="str">
        <f t="shared" ca="1" si="62"/>
        <v>N/A</v>
      </c>
      <c r="O650" s="3">
        <f t="shared" ca="1" si="63"/>
        <v>25</v>
      </c>
      <c r="P650" s="3" t="str">
        <f t="shared" ca="1" si="64"/>
        <v>N/A</v>
      </c>
      <c r="Q650" s="1" t="str">
        <f>IF(K650=1,"Joined",IF(H650&gt;=70,"Dropped at Offer",IF(H650&gt;=50,"Dropped at Interview","Dropped at Screening")))</f>
        <v>Dropped at Screening</v>
      </c>
      <c r="R650" s="1" t="str">
        <f t="shared" ca="1" si="65"/>
        <v>Jan-2024</v>
      </c>
    </row>
    <row r="651" spans="1:18">
      <c r="A651">
        <v>45</v>
      </c>
      <c r="B651">
        <v>0</v>
      </c>
      <c r="C651">
        <v>1</v>
      </c>
      <c r="D651">
        <v>13</v>
      </c>
      <c r="E651">
        <v>2</v>
      </c>
      <c r="F651">
        <v>28.0681319198066</v>
      </c>
      <c r="G651">
        <v>79</v>
      </c>
      <c r="H651">
        <v>100</v>
      </c>
      <c r="I651">
        <v>53</v>
      </c>
      <c r="J651">
        <v>2</v>
      </c>
      <c r="K651">
        <v>0</v>
      </c>
      <c r="L651" s="2">
        <f t="shared" si="60"/>
        <v>45292</v>
      </c>
      <c r="M651" s="2">
        <f t="shared" ca="1" si="61"/>
        <v>45336</v>
      </c>
      <c r="N651" s="2" t="str">
        <f t="shared" ca="1" si="62"/>
        <v>N/A</v>
      </c>
      <c r="O651" s="3">
        <f t="shared" ca="1" si="63"/>
        <v>44</v>
      </c>
      <c r="P651" s="3" t="str">
        <f t="shared" ca="1" si="64"/>
        <v>N/A</v>
      </c>
      <c r="Q651" s="1" t="str">
        <f>IF(K651=1,"Joined",IF(H651&gt;=70,"Dropped at Offer",IF(H651&gt;=50,"Dropped at Interview","Dropped at Screening")))</f>
        <v>Dropped at Offer</v>
      </c>
      <c r="R651" s="1" t="str">
        <f t="shared" ca="1" si="65"/>
        <v>Feb-2024</v>
      </c>
    </row>
    <row r="652" spans="1:18">
      <c r="A652">
        <v>35</v>
      </c>
      <c r="B652">
        <v>0</v>
      </c>
      <c r="C652">
        <v>1</v>
      </c>
      <c r="D652">
        <v>13</v>
      </c>
      <c r="E652">
        <v>1</v>
      </c>
      <c r="F652">
        <v>15.202919452021399</v>
      </c>
      <c r="G652">
        <v>34</v>
      </c>
      <c r="H652">
        <v>58</v>
      </c>
      <c r="I652">
        <v>85</v>
      </c>
      <c r="J652">
        <v>2</v>
      </c>
      <c r="K652">
        <v>0</v>
      </c>
      <c r="L652" s="2">
        <f t="shared" si="60"/>
        <v>45292</v>
      </c>
      <c r="M652" s="2">
        <f t="shared" ca="1" si="61"/>
        <v>45316</v>
      </c>
      <c r="N652" s="2" t="str">
        <f t="shared" ca="1" si="62"/>
        <v>N/A</v>
      </c>
      <c r="O652" s="3">
        <f t="shared" ca="1" si="63"/>
        <v>24</v>
      </c>
      <c r="P652" s="3" t="str">
        <f t="shared" ca="1" si="64"/>
        <v>N/A</v>
      </c>
      <c r="Q652" s="1" t="str">
        <f>IF(K652=1,"Joined",IF(H652&gt;=70,"Dropped at Offer",IF(H652&gt;=50,"Dropped at Interview","Dropped at Screening")))</f>
        <v>Dropped at Interview</v>
      </c>
      <c r="R652" s="1" t="str">
        <f t="shared" ca="1" si="65"/>
        <v>Jan-2024</v>
      </c>
    </row>
    <row r="653" spans="1:18">
      <c r="A653">
        <v>40</v>
      </c>
      <c r="B653">
        <v>0</v>
      </c>
      <c r="C653">
        <v>2</v>
      </c>
      <c r="D653">
        <v>11</v>
      </c>
      <c r="E653">
        <v>4</v>
      </c>
      <c r="F653">
        <v>50.738747728695301</v>
      </c>
      <c r="G653">
        <v>65</v>
      </c>
      <c r="H653">
        <v>1</v>
      </c>
      <c r="I653">
        <v>11</v>
      </c>
      <c r="J653">
        <v>2</v>
      </c>
      <c r="K653">
        <v>0</v>
      </c>
      <c r="L653" s="2">
        <f t="shared" si="60"/>
        <v>45292</v>
      </c>
      <c r="M653" s="2">
        <f t="shared" ca="1" si="61"/>
        <v>45325</v>
      </c>
      <c r="N653" s="2" t="str">
        <f t="shared" ca="1" si="62"/>
        <v>N/A</v>
      </c>
      <c r="O653" s="3">
        <f t="shared" ca="1" si="63"/>
        <v>33</v>
      </c>
      <c r="P653" s="3" t="str">
        <f t="shared" ca="1" si="64"/>
        <v>N/A</v>
      </c>
      <c r="Q653" s="1" t="str">
        <f>IF(K653=1,"Joined",IF(H653&gt;=70,"Dropped at Offer",IF(H653&gt;=50,"Dropped at Interview","Dropped at Screening")))</f>
        <v>Dropped at Screening</v>
      </c>
      <c r="R653" s="1" t="str">
        <f t="shared" ca="1" si="65"/>
        <v>Feb-2024</v>
      </c>
    </row>
    <row r="654" spans="1:18">
      <c r="A654">
        <v>26</v>
      </c>
      <c r="B654">
        <v>0</v>
      </c>
      <c r="C654">
        <v>3</v>
      </c>
      <c r="D654">
        <v>9</v>
      </c>
      <c r="E654">
        <v>3</v>
      </c>
      <c r="F654">
        <v>49.327945927757099</v>
      </c>
      <c r="G654">
        <v>74</v>
      </c>
      <c r="H654">
        <v>96</v>
      </c>
      <c r="I654">
        <v>63</v>
      </c>
      <c r="J654">
        <v>3</v>
      </c>
      <c r="K654">
        <v>1</v>
      </c>
      <c r="L654" s="2">
        <f t="shared" si="60"/>
        <v>45292</v>
      </c>
      <c r="M654" s="2">
        <f t="shared" ca="1" si="61"/>
        <v>45319</v>
      </c>
      <c r="N654" s="2">
        <f t="shared" ca="1" si="62"/>
        <v>45331</v>
      </c>
      <c r="O654" s="3">
        <f t="shared" ca="1" si="63"/>
        <v>27</v>
      </c>
      <c r="P654" s="3">
        <f t="shared" ca="1" si="64"/>
        <v>12</v>
      </c>
      <c r="Q654" s="1" t="str">
        <f>IF(K654=1,"Joined",IF(H654&gt;=70,"Dropped at Offer",IF(H654&gt;=50,"Dropped at Interview","Dropped at Screening")))</f>
        <v>Joined</v>
      </c>
      <c r="R654" s="1" t="str">
        <f t="shared" ca="1" si="65"/>
        <v>Jan-2024</v>
      </c>
    </row>
    <row r="655" spans="1:18">
      <c r="A655">
        <v>23</v>
      </c>
      <c r="B655">
        <v>0</v>
      </c>
      <c r="C655">
        <v>2</v>
      </c>
      <c r="D655">
        <v>11</v>
      </c>
      <c r="E655">
        <v>2</v>
      </c>
      <c r="F655">
        <v>23.036952054213099</v>
      </c>
      <c r="G655">
        <v>40</v>
      </c>
      <c r="H655">
        <v>38</v>
      </c>
      <c r="I655">
        <v>5</v>
      </c>
      <c r="J655">
        <v>3</v>
      </c>
      <c r="K655">
        <v>0</v>
      </c>
      <c r="L655" s="2">
        <f t="shared" si="60"/>
        <v>45292</v>
      </c>
      <c r="M655" s="2">
        <f t="shared" ca="1" si="61"/>
        <v>45325</v>
      </c>
      <c r="N655" s="2" t="str">
        <f t="shared" ca="1" si="62"/>
        <v>N/A</v>
      </c>
      <c r="O655" s="3">
        <f t="shared" ca="1" si="63"/>
        <v>33</v>
      </c>
      <c r="P655" s="3" t="str">
        <f t="shared" ca="1" si="64"/>
        <v>N/A</v>
      </c>
      <c r="Q655" s="1" t="str">
        <f>IF(K655=1,"Joined",IF(H655&gt;=70,"Dropped at Offer",IF(H655&gt;=50,"Dropped at Interview","Dropped at Screening")))</f>
        <v>Dropped at Screening</v>
      </c>
      <c r="R655" s="1" t="str">
        <f t="shared" ca="1" si="65"/>
        <v>Feb-2024</v>
      </c>
    </row>
    <row r="656" spans="1:18">
      <c r="A656">
        <v>20</v>
      </c>
      <c r="B656">
        <v>1</v>
      </c>
      <c r="C656">
        <v>2</v>
      </c>
      <c r="D656">
        <v>10</v>
      </c>
      <c r="E656">
        <v>4</v>
      </c>
      <c r="F656">
        <v>14.020155439395401</v>
      </c>
      <c r="G656">
        <v>66</v>
      </c>
      <c r="H656">
        <v>60</v>
      </c>
      <c r="I656">
        <v>52</v>
      </c>
      <c r="J656">
        <v>2</v>
      </c>
      <c r="K656">
        <v>0</v>
      </c>
      <c r="L656" s="2">
        <f t="shared" si="60"/>
        <v>45292</v>
      </c>
      <c r="M656" s="2">
        <f t="shared" ca="1" si="61"/>
        <v>45313</v>
      </c>
      <c r="N656" s="2" t="str">
        <f t="shared" ca="1" si="62"/>
        <v>N/A</v>
      </c>
      <c r="O656" s="3">
        <f t="shared" ca="1" si="63"/>
        <v>21</v>
      </c>
      <c r="P656" s="3" t="str">
        <f t="shared" ca="1" si="64"/>
        <v>N/A</v>
      </c>
      <c r="Q656" s="1" t="str">
        <f>IF(K656=1,"Joined",IF(H656&gt;=70,"Dropped at Offer",IF(H656&gt;=50,"Dropped at Interview","Dropped at Screening")))</f>
        <v>Dropped at Interview</v>
      </c>
      <c r="R656" s="1" t="str">
        <f t="shared" ca="1" si="65"/>
        <v>Jan-2024</v>
      </c>
    </row>
    <row r="657" spans="1:18">
      <c r="A657">
        <v>49</v>
      </c>
      <c r="B657">
        <v>1</v>
      </c>
      <c r="C657">
        <v>1</v>
      </c>
      <c r="D657">
        <v>14</v>
      </c>
      <c r="E657">
        <v>4</v>
      </c>
      <c r="F657">
        <v>42.9199819046095</v>
      </c>
      <c r="G657">
        <v>28</v>
      </c>
      <c r="H657">
        <v>62</v>
      </c>
      <c r="I657">
        <v>15</v>
      </c>
      <c r="J657">
        <v>3</v>
      </c>
      <c r="K657">
        <v>0</v>
      </c>
      <c r="L657" s="2">
        <f t="shared" si="60"/>
        <v>45292</v>
      </c>
      <c r="M657" s="2">
        <f t="shared" ca="1" si="61"/>
        <v>45322</v>
      </c>
      <c r="N657" s="2" t="str">
        <f t="shared" ca="1" si="62"/>
        <v>N/A</v>
      </c>
      <c r="O657" s="3">
        <f t="shared" ca="1" si="63"/>
        <v>30</v>
      </c>
      <c r="P657" s="3" t="str">
        <f t="shared" ca="1" si="64"/>
        <v>N/A</v>
      </c>
      <c r="Q657" s="1" t="str">
        <f>IF(K657=1,"Joined",IF(H657&gt;=70,"Dropped at Offer",IF(H657&gt;=50,"Dropped at Interview","Dropped at Screening")))</f>
        <v>Dropped at Interview</v>
      </c>
      <c r="R657" s="1" t="str">
        <f t="shared" ca="1" si="65"/>
        <v>Jan-2024</v>
      </c>
    </row>
    <row r="658" spans="1:18">
      <c r="A658">
        <v>49</v>
      </c>
      <c r="B658">
        <v>0</v>
      </c>
      <c r="C658">
        <v>3</v>
      </c>
      <c r="D658">
        <v>15</v>
      </c>
      <c r="E658">
        <v>4</v>
      </c>
      <c r="F658">
        <v>36.781035848589198</v>
      </c>
      <c r="G658">
        <v>17</v>
      </c>
      <c r="H658">
        <v>95</v>
      </c>
      <c r="I658">
        <v>89</v>
      </c>
      <c r="J658">
        <v>2</v>
      </c>
      <c r="K658">
        <v>1</v>
      </c>
      <c r="L658" s="2">
        <f t="shared" si="60"/>
        <v>45292</v>
      </c>
      <c r="M658" s="2">
        <f t="shared" ca="1" si="61"/>
        <v>45319</v>
      </c>
      <c r="N658" s="2">
        <f t="shared" ca="1" si="62"/>
        <v>45329</v>
      </c>
      <c r="O658" s="3">
        <f t="shared" ca="1" si="63"/>
        <v>27</v>
      </c>
      <c r="P658" s="3">
        <f t="shared" ca="1" si="64"/>
        <v>10</v>
      </c>
      <c r="Q658" s="1" t="str">
        <f>IF(K658=1,"Joined",IF(H658&gt;=70,"Dropped at Offer",IF(H658&gt;=50,"Dropped at Interview","Dropped at Screening")))</f>
        <v>Joined</v>
      </c>
      <c r="R658" s="1" t="str">
        <f t="shared" ca="1" si="65"/>
        <v>Jan-2024</v>
      </c>
    </row>
    <row r="659" spans="1:18">
      <c r="A659">
        <v>24</v>
      </c>
      <c r="B659">
        <v>0</v>
      </c>
      <c r="C659">
        <v>2</v>
      </c>
      <c r="D659">
        <v>0</v>
      </c>
      <c r="E659">
        <v>2</v>
      </c>
      <c r="F659">
        <v>35.347071750175502</v>
      </c>
      <c r="G659">
        <v>19</v>
      </c>
      <c r="H659">
        <v>17</v>
      </c>
      <c r="I659">
        <v>4</v>
      </c>
      <c r="J659">
        <v>2</v>
      </c>
      <c r="K659">
        <v>0</v>
      </c>
      <c r="L659" s="2">
        <f t="shared" si="60"/>
        <v>45292</v>
      </c>
      <c r="M659" s="2">
        <f t="shared" ca="1" si="61"/>
        <v>45312</v>
      </c>
      <c r="N659" s="2" t="str">
        <f t="shared" ca="1" si="62"/>
        <v>N/A</v>
      </c>
      <c r="O659" s="3">
        <f t="shared" ca="1" si="63"/>
        <v>20</v>
      </c>
      <c r="P659" s="3" t="str">
        <f t="shared" ca="1" si="64"/>
        <v>N/A</v>
      </c>
      <c r="Q659" s="1" t="str">
        <f>IF(K659=1,"Joined",IF(H659&gt;=70,"Dropped at Offer",IF(H659&gt;=50,"Dropped at Interview","Dropped at Screening")))</f>
        <v>Dropped at Screening</v>
      </c>
      <c r="R659" s="1" t="str">
        <f t="shared" ca="1" si="65"/>
        <v>Jan-2024</v>
      </c>
    </row>
    <row r="660" spans="1:18">
      <c r="A660">
        <v>42</v>
      </c>
      <c r="B660">
        <v>0</v>
      </c>
      <c r="C660">
        <v>3</v>
      </c>
      <c r="D660">
        <v>9</v>
      </c>
      <c r="E660">
        <v>2</v>
      </c>
      <c r="F660">
        <v>45.655687066123598</v>
      </c>
      <c r="G660">
        <v>13</v>
      </c>
      <c r="H660">
        <v>16</v>
      </c>
      <c r="I660">
        <v>72</v>
      </c>
      <c r="J660">
        <v>2</v>
      </c>
      <c r="K660">
        <v>0</v>
      </c>
      <c r="L660" s="2">
        <f t="shared" si="60"/>
        <v>45292</v>
      </c>
      <c r="M660" s="2">
        <f t="shared" ca="1" si="61"/>
        <v>45317</v>
      </c>
      <c r="N660" s="2" t="str">
        <f t="shared" ca="1" si="62"/>
        <v>N/A</v>
      </c>
      <c r="O660" s="3">
        <f t="shared" ca="1" si="63"/>
        <v>25</v>
      </c>
      <c r="P660" s="3" t="str">
        <f t="shared" ca="1" si="64"/>
        <v>N/A</v>
      </c>
      <c r="Q660" s="1" t="str">
        <f>IF(K660=1,"Joined",IF(H660&gt;=70,"Dropped at Offer",IF(H660&gt;=50,"Dropped at Interview","Dropped at Screening")))</f>
        <v>Dropped at Screening</v>
      </c>
      <c r="R660" s="1" t="str">
        <f t="shared" ca="1" si="65"/>
        <v>Jan-2024</v>
      </c>
    </row>
    <row r="661" spans="1:18">
      <c r="A661">
        <v>45</v>
      </c>
      <c r="B661">
        <v>1</v>
      </c>
      <c r="C661">
        <v>4</v>
      </c>
      <c r="D661">
        <v>1</v>
      </c>
      <c r="E661">
        <v>5</v>
      </c>
      <c r="F661">
        <v>35.470856693566198</v>
      </c>
      <c r="G661">
        <v>33</v>
      </c>
      <c r="H661">
        <v>97</v>
      </c>
      <c r="I661">
        <v>45</v>
      </c>
      <c r="J661">
        <v>2</v>
      </c>
      <c r="K661">
        <v>0</v>
      </c>
      <c r="L661" s="2">
        <f t="shared" si="60"/>
        <v>45292</v>
      </c>
      <c r="M661" s="2">
        <f t="shared" ca="1" si="61"/>
        <v>45331</v>
      </c>
      <c r="N661" s="2" t="str">
        <f t="shared" ca="1" si="62"/>
        <v>N/A</v>
      </c>
      <c r="O661" s="3">
        <f t="shared" ca="1" si="63"/>
        <v>39</v>
      </c>
      <c r="P661" s="3" t="str">
        <f t="shared" ca="1" si="64"/>
        <v>N/A</v>
      </c>
      <c r="Q661" s="1" t="str">
        <f>IF(K661=1,"Joined",IF(H661&gt;=70,"Dropped at Offer",IF(H661&gt;=50,"Dropped at Interview","Dropped at Screening")))</f>
        <v>Dropped at Offer</v>
      </c>
      <c r="R661" s="1" t="str">
        <f t="shared" ca="1" si="65"/>
        <v>Feb-2024</v>
      </c>
    </row>
    <row r="662" spans="1:18">
      <c r="A662">
        <v>29</v>
      </c>
      <c r="B662">
        <v>0</v>
      </c>
      <c r="C662">
        <v>2</v>
      </c>
      <c r="D662">
        <v>1</v>
      </c>
      <c r="E662">
        <v>5</v>
      </c>
      <c r="F662">
        <v>15.1898971520774</v>
      </c>
      <c r="G662">
        <v>48</v>
      </c>
      <c r="H662">
        <v>38</v>
      </c>
      <c r="I662">
        <v>13</v>
      </c>
      <c r="J662">
        <v>1</v>
      </c>
      <c r="K662">
        <v>0</v>
      </c>
      <c r="L662" s="2">
        <f t="shared" si="60"/>
        <v>45292</v>
      </c>
      <c r="M662" s="2">
        <f t="shared" ca="1" si="61"/>
        <v>45322</v>
      </c>
      <c r="N662" s="2" t="str">
        <f t="shared" ca="1" si="62"/>
        <v>N/A</v>
      </c>
      <c r="O662" s="3">
        <f t="shared" ca="1" si="63"/>
        <v>30</v>
      </c>
      <c r="P662" s="3" t="str">
        <f t="shared" ca="1" si="64"/>
        <v>N/A</v>
      </c>
      <c r="Q662" s="1" t="str">
        <f>IF(K662=1,"Joined",IF(H662&gt;=70,"Dropped at Offer",IF(H662&gt;=50,"Dropped at Interview","Dropped at Screening")))</f>
        <v>Dropped at Screening</v>
      </c>
      <c r="R662" s="1" t="str">
        <f t="shared" ca="1" si="65"/>
        <v>Jan-2024</v>
      </c>
    </row>
    <row r="663" spans="1:18">
      <c r="A663">
        <v>41</v>
      </c>
      <c r="B663">
        <v>1</v>
      </c>
      <c r="C663">
        <v>3</v>
      </c>
      <c r="D663">
        <v>11</v>
      </c>
      <c r="E663">
        <v>1</v>
      </c>
      <c r="F663">
        <v>35.6931580937866</v>
      </c>
      <c r="G663">
        <v>53</v>
      </c>
      <c r="H663">
        <v>70</v>
      </c>
      <c r="I663">
        <v>43</v>
      </c>
      <c r="J663">
        <v>2</v>
      </c>
      <c r="K663">
        <v>0</v>
      </c>
      <c r="L663" s="2">
        <f t="shared" si="60"/>
        <v>45292</v>
      </c>
      <c r="M663" s="2">
        <f t="shared" ca="1" si="61"/>
        <v>45313</v>
      </c>
      <c r="N663" s="2" t="str">
        <f t="shared" ca="1" si="62"/>
        <v>N/A</v>
      </c>
      <c r="O663" s="3">
        <f t="shared" ca="1" si="63"/>
        <v>21</v>
      </c>
      <c r="P663" s="3" t="str">
        <f t="shared" ca="1" si="64"/>
        <v>N/A</v>
      </c>
      <c r="Q663" s="1" t="str">
        <f>IF(K663=1,"Joined",IF(H663&gt;=70,"Dropped at Offer",IF(H663&gt;=50,"Dropped at Interview","Dropped at Screening")))</f>
        <v>Dropped at Offer</v>
      </c>
      <c r="R663" s="1" t="str">
        <f t="shared" ca="1" si="65"/>
        <v>Jan-2024</v>
      </c>
    </row>
    <row r="664" spans="1:18">
      <c r="A664">
        <v>24</v>
      </c>
      <c r="B664">
        <v>1</v>
      </c>
      <c r="C664">
        <v>1</v>
      </c>
      <c r="D664">
        <v>2</v>
      </c>
      <c r="E664">
        <v>2</v>
      </c>
      <c r="F664">
        <v>16.2906755641831</v>
      </c>
      <c r="G664">
        <v>30</v>
      </c>
      <c r="H664">
        <v>53</v>
      </c>
      <c r="I664">
        <v>62</v>
      </c>
      <c r="J664">
        <v>2</v>
      </c>
      <c r="K664">
        <v>0</v>
      </c>
      <c r="L664" s="2">
        <f t="shared" si="60"/>
        <v>45292</v>
      </c>
      <c r="M664" s="2">
        <f t="shared" ca="1" si="61"/>
        <v>45311</v>
      </c>
      <c r="N664" s="2" t="str">
        <f t="shared" ca="1" si="62"/>
        <v>N/A</v>
      </c>
      <c r="O664" s="3">
        <f t="shared" ca="1" si="63"/>
        <v>19</v>
      </c>
      <c r="P664" s="3" t="str">
        <f t="shared" ca="1" si="64"/>
        <v>N/A</v>
      </c>
      <c r="Q664" s="1" t="str">
        <f>IF(K664=1,"Joined",IF(H664&gt;=70,"Dropped at Offer",IF(H664&gt;=50,"Dropped at Interview","Dropped at Screening")))</f>
        <v>Dropped at Interview</v>
      </c>
      <c r="R664" s="1" t="str">
        <f t="shared" ca="1" si="65"/>
        <v>Jan-2024</v>
      </c>
    </row>
    <row r="665" spans="1:18">
      <c r="A665">
        <v>23</v>
      </c>
      <c r="B665">
        <v>1</v>
      </c>
      <c r="C665">
        <v>3</v>
      </c>
      <c r="D665">
        <v>9</v>
      </c>
      <c r="E665">
        <v>2</v>
      </c>
      <c r="F665">
        <v>38.961948982849698</v>
      </c>
      <c r="G665">
        <v>57</v>
      </c>
      <c r="H665">
        <v>98</v>
      </c>
      <c r="I665">
        <v>93</v>
      </c>
      <c r="J665">
        <v>2</v>
      </c>
      <c r="K665">
        <v>1</v>
      </c>
      <c r="L665" s="2">
        <f t="shared" si="60"/>
        <v>45292</v>
      </c>
      <c r="M665" s="2">
        <f t="shared" ca="1" si="61"/>
        <v>45321</v>
      </c>
      <c r="N665" s="2">
        <f t="shared" ca="1" si="62"/>
        <v>45347</v>
      </c>
      <c r="O665" s="3">
        <f t="shared" ca="1" si="63"/>
        <v>29</v>
      </c>
      <c r="P665" s="3">
        <f t="shared" ca="1" si="64"/>
        <v>26</v>
      </c>
      <c r="Q665" s="1" t="str">
        <f>IF(K665=1,"Joined",IF(H665&gt;=70,"Dropped at Offer",IF(H665&gt;=50,"Dropped at Interview","Dropped at Screening")))</f>
        <v>Joined</v>
      </c>
      <c r="R665" s="1" t="str">
        <f t="shared" ca="1" si="65"/>
        <v>Jan-2024</v>
      </c>
    </row>
    <row r="666" spans="1:18">
      <c r="A666">
        <v>21</v>
      </c>
      <c r="B666">
        <v>0</v>
      </c>
      <c r="C666">
        <v>2</v>
      </c>
      <c r="D666">
        <v>6</v>
      </c>
      <c r="E666">
        <v>2</v>
      </c>
      <c r="F666">
        <v>31.987392724578299</v>
      </c>
      <c r="G666">
        <v>41</v>
      </c>
      <c r="H666">
        <v>93</v>
      </c>
      <c r="I666">
        <v>51</v>
      </c>
      <c r="J666">
        <v>3</v>
      </c>
      <c r="K666">
        <v>0</v>
      </c>
      <c r="L666" s="2">
        <f t="shared" si="60"/>
        <v>45292</v>
      </c>
      <c r="M666" s="2">
        <f t="shared" ca="1" si="61"/>
        <v>45332</v>
      </c>
      <c r="N666" s="2" t="str">
        <f t="shared" ca="1" si="62"/>
        <v>N/A</v>
      </c>
      <c r="O666" s="3">
        <f t="shared" ca="1" si="63"/>
        <v>40</v>
      </c>
      <c r="P666" s="3" t="str">
        <f t="shared" ca="1" si="64"/>
        <v>N/A</v>
      </c>
      <c r="Q666" s="1" t="str">
        <f>IF(K666=1,"Joined",IF(H666&gt;=70,"Dropped at Offer",IF(H666&gt;=50,"Dropped at Interview","Dropped at Screening")))</f>
        <v>Dropped at Offer</v>
      </c>
      <c r="R666" s="1" t="str">
        <f t="shared" ca="1" si="65"/>
        <v>Feb-2024</v>
      </c>
    </row>
    <row r="667" spans="1:18">
      <c r="A667">
        <v>39</v>
      </c>
      <c r="B667">
        <v>1</v>
      </c>
      <c r="C667">
        <v>3</v>
      </c>
      <c r="D667">
        <v>1</v>
      </c>
      <c r="E667">
        <v>5</v>
      </c>
      <c r="F667">
        <v>4.87057759923752</v>
      </c>
      <c r="G667">
        <v>57</v>
      </c>
      <c r="H667">
        <v>75</v>
      </c>
      <c r="I667">
        <v>25</v>
      </c>
      <c r="J667">
        <v>2</v>
      </c>
      <c r="K667">
        <v>0</v>
      </c>
      <c r="L667" s="2">
        <f t="shared" si="60"/>
        <v>45292</v>
      </c>
      <c r="M667" s="2">
        <f t="shared" ca="1" si="61"/>
        <v>45315</v>
      </c>
      <c r="N667" s="2" t="str">
        <f t="shared" ca="1" si="62"/>
        <v>N/A</v>
      </c>
      <c r="O667" s="3">
        <f t="shared" ca="1" si="63"/>
        <v>23</v>
      </c>
      <c r="P667" s="3" t="str">
        <f t="shared" ca="1" si="64"/>
        <v>N/A</v>
      </c>
      <c r="Q667" s="1" t="str">
        <f>IF(K667=1,"Joined",IF(H667&gt;=70,"Dropped at Offer",IF(H667&gt;=50,"Dropped at Interview","Dropped at Screening")))</f>
        <v>Dropped at Offer</v>
      </c>
      <c r="R667" s="1" t="str">
        <f t="shared" ca="1" si="65"/>
        <v>Jan-2024</v>
      </c>
    </row>
    <row r="668" spans="1:18">
      <c r="A668">
        <v>50</v>
      </c>
      <c r="B668">
        <v>0</v>
      </c>
      <c r="C668">
        <v>1</v>
      </c>
      <c r="D668">
        <v>13</v>
      </c>
      <c r="E668">
        <v>4</v>
      </c>
      <c r="F668">
        <v>26.641768121757099</v>
      </c>
      <c r="G668">
        <v>81</v>
      </c>
      <c r="H668">
        <v>34</v>
      </c>
      <c r="I668">
        <v>52</v>
      </c>
      <c r="J668">
        <v>1</v>
      </c>
      <c r="K668">
        <v>1</v>
      </c>
      <c r="L668" s="2">
        <f t="shared" si="60"/>
        <v>45292</v>
      </c>
      <c r="M668" s="2">
        <f t="shared" ca="1" si="61"/>
        <v>45306</v>
      </c>
      <c r="N668" s="2">
        <f t="shared" ca="1" si="62"/>
        <v>45323</v>
      </c>
      <c r="O668" s="3">
        <f t="shared" ca="1" si="63"/>
        <v>14</v>
      </c>
      <c r="P668" s="3">
        <f t="shared" ca="1" si="64"/>
        <v>17</v>
      </c>
      <c r="Q668" s="1" t="str">
        <f>IF(K668=1,"Joined",IF(H668&gt;=70,"Dropped at Offer",IF(H668&gt;=50,"Dropped at Interview","Dropped at Screening")))</f>
        <v>Joined</v>
      </c>
      <c r="R668" s="1" t="str">
        <f t="shared" ca="1" si="65"/>
        <v>Jan-2024</v>
      </c>
    </row>
    <row r="669" spans="1:18">
      <c r="A669">
        <v>29</v>
      </c>
      <c r="B669">
        <v>1</v>
      </c>
      <c r="C669">
        <v>1</v>
      </c>
      <c r="D669">
        <v>15</v>
      </c>
      <c r="E669">
        <v>3</v>
      </c>
      <c r="F669">
        <v>18.165048459786998</v>
      </c>
      <c r="G669">
        <v>29</v>
      </c>
      <c r="H669">
        <v>10</v>
      </c>
      <c r="I669">
        <v>28</v>
      </c>
      <c r="J669">
        <v>2</v>
      </c>
      <c r="K669">
        <v>0</v>
      </c>
      <c r="L669" s="2">
        <f t="shared" si="60"/>
        <v>45292</v>
      </c>
      <c r="M669" s="2">
        <f t="shared" ca="1" si="61"/>
        <v>45312</v>
      </c>
      <c r="N669" s="2" t="str">
        <f t="shared" ca="1" si="62"/>
        <v>N/A</v>
      </c>
      <c r="O669" s="3">
        <f t="shared" ca="1" si="63"/>
        <v>20</v>
      </c>
      <c r="P669" s="3" t="str">
        <f t="shared" ca="1" si="64"/>
        <v>N/A</v>
      </c>
      <c r="Q669" s="1" t="str">
        <f>IF(K669=1,"Joined",IF(H669&gt;=70,"Dropped at Offer",IF(H669&gt;=50,"Dropped at Interview","Dropped at Screening")))</f>
        <v>Dropped at Screening</v>
      </c>
      <c r="R669" s="1" t="str">
        <f t="shared" ca="1" si="65"/>
        <v>Jan-2024</v>
      </c>
    </row>
    <row r="670" spans="1:18">
      <c r="A670">
        <v>45</v>
      </c>
      <c r="B670">
        <v>0</v>
      </c>
      <c r="C670">
        <v>2</v>
      </c>
      <c r="D670">
        <v>0</v>
      </c>
      <c r="E670">
        <v>5</v>
      </c>
      <c r="F670">
        <v>17.4285316366147</v>
      </c>
      <c r="G670">
        <v>24</v>
      </c>
      <c r="H670">
        <v>60</v>
      </c>
      <c r="I670">
        <v>18</v>
      </c>
      <c r="J670">
        <v>2</v>
      </c>
      <c r="K670">
        <v>0</v>
      </c>
      <c r="L670" s="2">
        <f t="shared" si="60"/>
        <v>45292</v>
      </c>
      <c r="M670" s="2">
        <f t="shared" ca="1" si="61"/>
        <v>45311</v>
      </c>
      <c r="N670" s="2" t="str">
        <f t="shared" ca="1" si="62"/>
        <v>N/A</v>
      </c>
      <c r="O670" s="3">
        <f t="shared" ca="1" si="63"/>
        <v>19</v>
      </c>
      <c r="P670" s="3" t="str">
        <f t="shared" ca="1" si="64"/>
        <v>N/A</v>
      </c>
      <c r="Q670" s="1" t="str">
        <f>IF(K670=1,"Joined",IF(H670&gt;=70,"Dropped at Offer",IF(H670&gt;=50,"Dropped at Interview","Dropped at Screening")))</f>
        <v>Dropped at Interview</v>
      </c>
      <c r="R670" s="1" t="str">
        <f t="shared" ca="1" si="65"/>
        <v>Jan-2024</v>
      </c>
    </row>
    <row r="671" spans="1:18">
      <c r="A671">
        <v>38</v>
      </c>
      <c r="B671">
        <v>1</v>
      </c>
      <c r="C671">
        <v>2</v>
      </c>
      <c r="D671">
        <v>15</v>
      </c>
      <c r="E671">
        <v>2</v>
      </c>
      <c r="F671">
        <v>31.112815118862802</v>
      </c>
      <c r="G671">
        <v>62</v>
      </c>
      <c r="H671">
        <v>43</v>
      </c>
      <c r="I671">
        <v>46</v>
      </c>
      <c r="J671">
        <v>2</v>
      </c>
      <c r="K671">
        <v>0</v>
      </c>
      <c r="L671" s="2">
        <f t="shared" si="60"/>
        <v>45292</v>
      </c>
      <c r="M671" s="2">
        <f t="shared" ca="1" si="61"/>
        <v>45319</v>
      </c>
      <c r="N671" s="2" t="str">
        <f t="shared" ca="1" si="62"/>
        <v>N/A</v>
      </c>
      <c r="O671" s="3">
        <f t="shared" ca="1" si="63"/>
        <v>27</v>
      </c>
      <c r="P671" s="3" t="str">
        <f t="shared" ca="1" si="64"/>
        <v>N/A</v>
      </c>
      <c r="Q671" s="1" t="str">
        <f>IF(K671=1,"Joined",IF(H671&gt;=70,"Dropped at Offer",IF(H671&gt;=50,"Dropped at Interview","Dropped at Screening")))</f>
        <v>Dropped at Screening</v>
      </c>
      <c r="R671" s="1" t="str">
        <f t="shared" ca="1" si="65"/>
        <v>Jan-2024</v>
      </c>
    </row>
    <row r="672" spans="1:18">
      <c r="A672">
        <v>45</v>
      </c>
      <c r="B672">
        <v>0</v>
      </c>
      <c r="C672">
        <v>2</v>
      </c>
      <c r="D672">
        <v>13</v>
      </c>
      <c r="E672">
        <v>5</v>
      </c>
      <c r="F672">
        <v>17.116241223471199</v>
      </c>
      <c r="G672">
        <v>18</v>
      </c>
      <c r="H672">
        <v>67</v>
      </c>
      <c r="I672">
        <v>7</v>
      </c>
      <c r="J672">
        <v>1</v>
      </c>
      <c r="K672">
        <v>1</v>
      </c>
      <c r="L672" s="2">
        <f t="shared" si="60"/>
        <v>45292</v>
      </c>
      <c r="M672" s="2">
        <f t="shared" ca="1" si="61"/>
        <v>45330</v>
      </c>
      <c r="N672" s="2">
        <f t="shared" ca="1" si="62"/>
        <v>45341</v>
      </c>
      <c r="O672" s="3">
        <f t="shared" ca="1" si="63"/>
        <v>38</v>
      </c>
      <c r="P672" s="3">
        <f t="shared" ca="1" si="64"/>
        <v>11</v>
      </c>
      <c r="Q672" s="1" t="str">
        <f>IF(K672=1,"Joined",IF(H672&gt;=70,"Dropped at Offer",IF(H672&gt;=50,"Dropped at Interview","Dropped at Screening")))</f>
        <v>Joined</v>
      </c>
      <c r="R672" s="1" t="str">
        <f t="shared" ca="1" si="65"/>
        <v>Feb-2024</v>
      </c>
    </row>
    <row r="673" spans="1:18">
      <c r="A673">
        <v>20</v>
      </c>
      <c r="B673">
        <v>1</v>
      </c>
      <c r="C673">
        <v>2</v>
      </c>
      <c r="D673">
        <v>5</v>
      </c>
      <c r="E673">
        <v>1</v>
      </c>
      <c r="F673">
        <v>39.844687410243601</v>
      </c>
      <c r="G673">
        <v>71</v>
      </c>
      <c r="H673">
        <v>24</v>
      </c>
      <c r="I673">
        <v>22</v>
      </c>
      <c r="J673">
        <v>2</v>
      </c>
      <c r="K673">
        <v>0</v>
      </c>
      <c r="L673" s="2">
        <f t="shared" si="60"/>
        <v>45292</v>
      </c>
      <c r="M673" s="2">
        <f t="shared" ca="1" si="61"/>
        <v>45327</v>
      </c>
      <c r="N673" s="2" t="str">
        <f t="shared" ca="1" si="62"/>
        <v>N/A</v>
      </c>
      <c r="O673" s="3">
        <f t="shared" ca="1" si="63"/>
        <v>35</v>
      </c>
      <c r="P673" s="3" t="str">
        <f t="shared" ca="1" si="64"/>
        <v>N/A</v>
      </c>
      <c r="Q673" s="1" t="str">
        <f>IF(K673=1,"Joined",IF(H673&gt;=70,"Dropped at Offer",IF(H673&gt;=50,"Dropped at Interview","Dropped at Screening")))</f>
        <v>Dropped at Screening</v>
      </c>
      <c r="R673" s="1" t="str">
        <f t="shared" ca="1" si="65"/>
        <v>Feb-2024</v>
      </c>
    </row>
    <row r="674" spans="1:18">
      <c r="A674">
        <v>43</v>
      </c>
      <c r="B674">
        <v>0</v>
      </c>
      <c r="C674">
        <v>1</v>
      </c>
      <c r="D674">
        <v>8</v>
      </c>
      <c r="E674">
        <v>2</v>
      </c>
      <c r="F674">
        <v>4.5395718005587202</v>
      </c>
      <c r="G674">
        <v>91</v>
      </c>
      <c r="H674">
        <v>47</v>
      </c>
      <c r="I674">
        <v>34</v>
      </c>
      <c r="J674">
        <v>3</v>
      </c>
      <c r="K674">
        <v>0</v>
      </c>
      <c r="L674" s="2">
        <f t="shared" si="60"/>
        <v>45292</v>
      </c>
      <c r="M674" s="2">
        <f t="shared" ca="1" si="61"/>
        <v>45316</v>
      </c>
      <c r="N674" s="2" t="str">
        <f t="shared" ca="1" si="62"/>
        <v>N/A</v>
      </c>
      <c r="O674" s="3">
        <f t="shared" ca="1" si="63"/>
        <v>24</v>
      </c>
      <c r="P674" s="3" t="str">
        <f t="shared" ca="1" si="64"/>
        <v>N/A</v>
      </c>
      <c r="Q674" s="1" t="str">
        <f>IF(K674=1,"Joined",IF(H674&gt;=70,"Dropped at Offer",IF(H674&gt;=50,"Dropped at Interview","Dropped at Screening")))</f>
        <v>Dropped at Screening</v>
      </c>
      <c r="R674" s="1" t="str">
        <f t="shared" ca="1" si="65"/>
        <v>Jan-2024</v>
      </c>
    </row>
    <row r="675" spans="1:18">
      <c r="A675">
        <v>24</v>
      </c>
      <c r="B675">
        <v>0</v>
      </c>
      <c r="C675">
        <v>2</v>
      </c>
      <c r="D675">
        <v>14</v>
      </c>
      <c r="E675">
        <v>1</v>
      </c>
      <c r="F675">
        <v>34.019412619791197</v>
      </c>
      <c r="G675">
        <v>7</v>
      </c>
      <c r="H675">
        <v>31</v>
      </c>
      <c r="I675">
        <v>94</v>
      </c>
      <c r="J675">
        <v>2</v>
      </c>
      <c r="K675">
        <v>0</v>
      </c>
      <c r="L675" s="2">
        <f t="shared" si="60"/>
        <v>45292</v>
      </c>
      <c r="M675" s="2">
        <f t="shared" ca="1" si="61"/>
        <v>45309</v>
      </c>
      <c r="N675" s="2" t="str">
        <f t="shared" ca="1" si="62"/>
        <v>N/A</v>
      </c>
      <c r="O675" s="3">
        <f t="shared" ca="1" si="63"/>
        <v>17</v>
      </c>
      <c r="P675" s="3" t="str">
        <f t="shared" ca="1" si="64"/>
        <v>N/A</v>
      </c>
      <c r="Q675" s="1" t="str">
        <f>IF(K675=1,"Joined",IF(H675&gt;=70,"Dropped at Offer",IF(H675&gt;=50,"Dropped at Interview","Dropped at Screening")))</f>
        <v>Dropped at Screening</v>
      </c>
      <c r="R675" s="1" t="str">
        <f t="shared" ca="1" si="65"/>
        <v>Jan-2024</v>
      </c>
    </row>
    <row r="676" spans="1:18">
      <c r="A676">
        <v>32</v>
      </c>
      <c r="B676">
        <v>0</v>
      </c>
      <c r="C676">
        <v>3</v>
      </c>
      <c r="D676">
        <v>2</v>
      </c>
      <c r="E676">
        <v>2</v>
      </c>
      <c r="F676">
        <v>41.459740182837002</v>
      </c>
      <c r="G676">
        <v>94</v>
      </c>
      <c r="H676">
        <v>83</v>
      </c>
      <c r="I676">
        <v>52</v>
      </c>
      <c r="J676">
        <v>3</v>
      </c>
      <c r="K676">
        <v>0</v>
      </c>
      <c r="L676" s="2">
        <f t="shared" si="60"/>
        <v>45292</v>
      </c>
      <c r="M676" s="2">
        <f t="shared" ca="1" si="61"/>
        <v>45321</v>
      </c>
      <c r="N676" s="2" t="str">
        <f t="shared" ca="1" si="62"/>
        <v>N/A</v>
      </c>
      <c r="O676" s="3">
        <f t="shared" ca="1" si="63"/>
        <v>29</v>
      </c>
      <c r="P676" s="3" t="str">
        <f t="shared" ca="1" si="64"/>
        <v>N/A</v>
      </c>
      <c r="Q676" s="1" t="str">
        <f>IF(K676=1,"Joined",IF(H676&gt;=70,"Dropped at Offer",IF(H676&gt;=50,"Dropped at Interview","Dropped at Screening")))</f>
        <v>Dropped at Offer</v>
      </c>
      <c r="R676" s="1" t="str">
        <f t="shared" ca="1" si="65"/>
        <v>Jan-2024</v>
      </c>
    </row>
    <row r="677" spans="1:18">
      <c r="A677">
        <v>23</v>
      </c>
      <c r="B677">
        <v>0</v>
      </c>
      <c r="C677">
        <v>2</v>
      </c>
      <c r="D677">
        <v>5</v>
      </c>
      <c r="E677">
        <v>5</v>
      </c>
      <c r="F677">
        <v>34.641584496021501</v>
      </c>
      <c r="G677">
        <v>2</v>
      </c>
      <c r="H677">
        <v>94</v>
      </c>
      <c r="I677">
        <v>98</v>
      </c>
      <c r="J677">
        <v>3</v>
      </c>
      <c r="K677">
        <v>0</v>
      </c>
      <c r="L677" s="2">
        <f t="shared" si="60"/>
        <v>45292</v>
      </c>
      <c r="M677" s="2">
        <f t="shared" ca="1" si="61"/>
        <v>45311</v>
      </c>
      <c r="N677" s="2" t="str">
        <f t="shared" ca="1" si="62"/>
        <v>N/A</v>
      </c>
      <c r="O677" s="3">
        <f t="shared" ca="1" si="63"/>
        <v>19</v>
      </c>
      <c r="P677" s="3" t="str">
        <f t="shared" ca="1" si="64"/>
        <v>N/A</v>
      </c>
      <c r="Q677" s="1" t="str">
        <f>IF(K677=1,"Joined",IF(H677&gt;=70,"Dropped at Offer",IF(H677&gt;=50,"Dropped at Interview","Dropped at Screening")))</f>
        <v>Dropped at Offer</v>
      </c>
      <c r="R677" s="1" t="str">
        <f t="shared" ca="1" si="65"/>
        <v>Jan-2024</v>
      </c>
    </row>
    <row r="678" spans="1:18">
      <c r="A678">
        <v>35</v>
      </c>
      <c r="B678">
        <v>1</v>
      </c>
      <c r="C678">
        <v>1</v>
      </c>
      <c r="D678">
        <v>2</v>
      </c>
      <c r="E678">
        <v>4</v>
      </c>
      <c r="F678">
        <v>25.8614597509997</v>
      </c>
      <c r="G678">
        <v>66</v>
      </c>
      <c r="H678">
        <v>3</v>
      </c>
      <c r="I678">
        <v>95</v>
      </c>
      <c r="J678">
        <v>1</v>
      </c>
      <c r="K678">
        <v>0</v>
      </c>
      <c r="L678" s="2">
        <f t="shared" si="60"/>
        <v>45292</v>
      </c>
      <c r="M678" s="2">
        <f t="shared" ca="1" si="61"/>
        <v>45335</v>
      </c>
      <c r="N678" s="2" t="str">
        <f t="shared" ca="1" si="62"/>
        <v>N/A</v>
      </c>
      <c r="O678" s="3">
        <f t="shared" ca="1" si="63"/>
        <v>43</v>
      </c>
      <c r="P678" s="3" t="str">
        <f t="shared" ca="1" si="64"/>
        <v>N/A</v>
      </c>
      <c r="Q678" s="1" t="str">
        <f>IF(K678=1,"Joined",IF(H678&gt;=70,"Dropped at Offer",IF(H678&gt;=50,"Dropped at Interview","Dropped at Screening")))</f>
        <v>Dropped at Screening</v>
      </c>
      <c r="R678" s="1" t="str">
        <f t="shared" ca="1" si="65"/>
        <v>Feb-2024</v>
      </c>
    </row>
    <row r="679" spans="1:18">
      <c r="A679">
        <v>43</v>
      </c>
      <c r="B679">
        <v>1</v>
      </c>
      <c r="C679">
        <v>2</v>
      </c>
      <c r="D679">
        <v>13</v>
      </c>
      <c r="E679">
        <v>3</v>
      </c>
      <c r="F679">
        <v>48.515350686809001</v>
      </c>
      <c r="G679">
        <v>85</v>
      </c>
      <c r="H679">
        <v>37</v>
      </c>
      <c r="I679">
        <v>57</v>
      </c>
      <c r="J679">
        <v>2</v>
      </c>
      <c r="K679">
        <v>0</v>
      </c>
      <c r="L679" s="2">
        <f t="shared" si="60"/>
        <v>45292</v>
      </c>
      <c r="M679" s="2">
        <f t="shared" ca="1" si="61"/>
        <v>45330</v>
      </c>
      <c r="N679" s="2" t="str">
        <f t="shared" ca="1" si="62"/>
        <v>N/A</v>
      </c>
      <c r="O679" s="3">
        <f t="shared" ca="1" si="63"/>
        <v>38</v>
      </c>
      <c r="P679" s="3" t="str">
        <f t="shared" ca="1" si="64"/>
        <v>N/A</v>
      </c>
      <c r="Q679" s="1" t="str">
        <f>IF(K679=1,"Joined",IF(H679&gt;=70,"Dropped at Offer",IF(H679&gt;=50,"Dropped at Interview","Dropped at Screening")))</f>
        <v>Dropped at Screening</v>
      </c>
      <c r="R679" s="1" t="str">
        <f t="shared" ca="1" si="65"/>
        <v>Feb-2024</v>
      </c>
    </row>
    <row r="680" spans="1:18">
      <c r="A680">
        <v>35</v>
      </c>
      <c r="B680">
        <v>0</v>
      </c>
      <c r="C680">
        <v>1</v>
      </c>
      <c r="D680">
        <v>12</v>
      </c>
      <c r="E680">
        <v>1</v>
      </c>
      <c r="F680">
        <v>15.996924489903099</v>
      </c>
      <c r="G680">
        <v>80</v>
      </c>
      <c r="H680">
        <v>62</v>
      </c>
      <c r="I680">
        <v>4</v>
      </c>
      <c r="J680">
        <v>2</v>
      </c>
      <c r="K680">
        <v>0</v>
      </c>
      <c r="L680" s="2">
        <f t="shared" si="60"/>
        <v>45292</v>
      </c>
      <c r="M680" s="2">
        <f t="shared" ca="1" si="61"/>
        <v>45322</v>
      </c>
      <c r="N680" s="2" t="str">
        <f t="shared" ca="1" si="62"/>
        <v>N/A</v>
      </c>
      <c r="O680" s="3">
        <f t="shared" ca="1" si="63"/>
        <v>30</v>
      </c>
      <c r="P680" s="3" t="str">
        <f t="shared" ca="1" si="64"/>
        <v>N/A</v>
      </c>
      <c r="Q680" s="1" t="str">
        <f>IF(K680=1,"Joined",IF(H680&gt;=70,"Dropped at Offer",IF(H680&gt;=50,"Dropped at Interview","Dropped at Screening")))</f>
        <v>Dropped at Interview</v>
      </c>
      <c r="R680" s="1" t="str">
        <f t="shared" ca="1" si="65"/>
        <v>Jan-2024</v>
      </c>
    </row>
    <row r="681" spans="1:18">
      <c r="A681">
        <v>42</v>
      </c>
      <c r="B681">
        <v>1</v>
      </c>
      <c r="C681">
        <v>4</v>
      </c>
      <c r="D681">
        <v>0</v>
      </c>
      <c r="E681">
        <v>5</v>
      </c>
      <c r="F681">
        <v>1.95839437624888</v>
      </c>
      <c r="G681">
        <v>99</v>
      </c>
      <c r="H681">
        <v>46</v>
      </c>
      <c r="I681">
        <v>15</v>
      </c>
      <c r="J681">
        <v>1</v>
      </c>
      <c r="K681">
        <v>1</v>
      </c>
      <c r="L681" s="2">
        <f t="shared" si="60"/>
        <v>45292</v>
      </c>
      <c r="M681" s="2">
        <f t="shared" ca="1" si="61"/>
        <v>45327</v>
      </c>
      <c r="N681" s="2">
        <f t="shared" ca="1" si="62"/>
        <v>45334</v>
      </c>
      <c r="O681" s="3">
        <f t="shared" ca="1" si="63"/>
        <v>35</v>
      </c>
      <c r="P681" s="3">
        <f t="shared" ca="1" si="64"/>
        <v>7</v>
      </c>
      <c r="Q681" s="1" t="str">
        <f>IF(K681=1,"Joined",IF(H681&gt;=70,"Dropped at Offer",IF(H681&gt;=50,"Dropped at Interview","Dropped at Screening")))</f>
        <v>Joined</v>
      </c>
      <c r="R681" s="1" t="str">
        <f t="shared" ca="1" si="65"/>
        <v>Feb-2024</v>
      </c>
    </row>
    <row r="682" spans="1:18">
      <c r="A682">
        <v>21</v>
      </c>
      <c r="B682">
        <v>0</v>
      </c>
      <c r="C682">
        <v>1</v>
      </c>
      <c r="D682">
        <v>13</v>
      </c>
      <c r="E682">
        <v>4</v>
      </c>
      <c r="F682">
        <v>22.599468573172</v>
      </c>
      <c r="G682">
        <v>16</v>
      </c>
      <c r="H682">
        <v>0</v>
      </c>
      <c r="I682">
        <v>16</v>
      </c>
      <c r="J682">
        <v>2</v>
      </c>
      <c r="K682">
        <v>0</v>
      </c>
      <c r="L682" s="2">
        <f t="shared" si="60"/>
        <v>45292</v>
      </c>
      <c r="M682" s="2">
        <f t="shared" ca="1" si="61"/>
        <v>45333</v>
      </c>
      <c r="N682" s="2" t="str">
        <f t="shared" ca="1" si="62"/>
        <v>N/A</v>
      </c>
      <c r="O682" s="3">
        <f t="shared" ca="1" si="63"/>
        <v>41</v>
      </c>
      <c r="P682" s="3" t="str">
        <f t="shared" ca="1" si="64"/>
        <v>N/A</v>
      </c>
      <c r="Q682" s="1" t="str">
        <f>IF(K682=1,"Joined",IF(H682&gt;=70,"Dropped at Offer",IF(H682&gt;=50,"Dropped at Interview","Dropped at Screening")))</f>
        <v>Dropped at Screening</v>
      </c>
      <c r="R682" s="1" t="str">
        <f t="shared" ca="1" si="65"/>
        <v>Feb-2024</v>
      </c>
    </row>
    <row r="683" spans="1:18">
      <c r="A683">
        <v>36</v>
      </c>
      <c r="B683">
        <v>0</v>
      </c>
      <c r="C683">
        <v>3</v>
      </c>
      <c r="D683">
        <v>12</v>
      </c>
      <c r="E683">
        <v>5</v>
      </c>
      <c r="F683">
        <v>2.65059679501636</v>
      </c>
      <c r="G683">
        <v>13</v>
      </c>
      <c r="H683">
        <v>2</v>
      </c>
      <c r="I683">
        <v>31</v>
      </c>
      <c r="J683">
        <v>2</v>
      </c>
      <c r="K683">
        <v>0</v>
      </c>
      <c r="L683" s="2">
        <f t="shared" si="60"/>
        <v>45292</v>
      </c>
      <c r="M683" s="2">
        <f t="shared" ca="1" si="61"/>
        <v>45324</v>
      </c>
      <c r="N683" s="2" t="str">
        <f t="shared" ca="1" si="62"/>
        <v>N/A</v>
      </c>
      <c r="O683" s="3">
        <f t="shared" ca="1" si="63"/>
        <v>32</v>
      </c>
      <c r="P683" s="3" t="str">
        <f t="shared" ca="1" si="64"/>
        <v>N/A</v>
      </c>
      <c r="Q683" s="1" t="str">
        <f>IF(K683=1,"Joined",IF(H683&gt;=70,"Dropped at Offer",IF(H683&gt;=50,"Dropped at Interview","Dropped at Screening")))</f>
        <v>Dropped at Screening</v>
      </c>
      <c r="R683" s="1" t="str">
        <f t="shared" ca="1" si="65"/>
        <v>Feb-2024</v>
      </c>
    </row>
    <row r="684" spans="1:18">
      <c r="A684">
        <v>47</v>
      </c>
      <c r="B684">
        <v>1</v>
      </c>
      <c r="C684">
        <v>4</v>
      </c>
      <c r="D684">
        <v>15</v>
      </c>
      <c r="E684">
        <v>1</v>
      </c>
      <c r="F684">
        <v>48.696837626320402</v>
      </c>
      <c r="G684">
        <v>8</v>
      </c>
      <c r="H684">
        <v>100</v>
      </c>
      <c r="I684">
        <v>95</v>
      </c>
      <c r="J684">
        <v>1</v>
      </c>
      <c r="K684">
        <v>1</v>
      </c>
      <c r="L684" s="2">
        <f t="shared" si="60"/>
        <v>45292</v>
      </c>
      <c r="M684" s="2">
        <f t="shared" ca="1" si="61"/>
        <v>45308</v>
      </c>
      <c r="N684" s="2">
        <f t="shared" ca="1" si="62"/>
        <v>45315</v>
      </c>
      <c r="O684" s="3">
        <f t="shared" ca="1" si="63"/>
        <v>16</v>
      </c>
      <c r="P684" s="3">
        <f t="shared" ca="1" si="64"/>
        <v>7</v>
      </c>
      <c r="Q684" s="1" t="str">
        <f>IF(K684=1,"Joined",IF(H684&gt;=70,"Dropped at Offer",IF(H684&gt;=50,"Dropped at Interview","Dropped at Screening")))</f>
        <v>Joined</v>
      </c>
      <c r="R684" s="1" t="str">
        <f t="shared" ca="1" si="65"/>
        <v>Jan-2024</v>
      </c>
    </row>
    <row r="685" spans="1:18">
      <c r="A685">
        <v>46</v>
      </c>
      <c r="B685">
        <v>0</v>
      </c>
      <c r="C685">
        <v>3</v>
      </c>
      <c r="D685">
        <v>11</v>
      </c>
      <c r="E685">
        <v>3</v>
      </c>
      <c r="F685">
        <v>11.495902287402499</v>
      </c>
      <c r="G685">
        <v>61</v>
      </c>
      <c r="H685">
        <v>85</v>
      </c>
      <c r="I685">
        <v>51</v>
      </c>
      <c r="J685">
        <v>3</v>
      </c>
      <c r="K685">
        <v>0</v>
      </c>
      <c r="L685" s="2">
        <f t="shared" si="60"/>
        <v>45292</v>
      </c>
      <c r="M685" s="2">
        <f t="shared" ca="1" si="61"/>
        <v>45333</v>
      </c>
      <c r="N685" s="2" t="str">
        <f t="shared" ca="1" si="62"/>
        <v>N/A</v>
      </c>
      <c r="O685" s="3">
        <f t="shared" ca="1" si="63"/>
        <v>41</v>
      </c>
      <c r="P685" s="3" t="str">
        <f t="shared" ca="1" si="64"/>
        <v>N/A</v>
      </c>
      <c r="Q685" s="1" t="str">
        <f>IF(K685=1,"Joined",IF(H685&gt;=70,"Dropped at Offer",IF(H685&gt;=50,"Dropped at Interview","Dropped at Screening")))</f>
        <v>Dropped at Offer</v>
      </c>
      <c r="R685" s="1" t="str">
        <f t="shared" ca="1" si="65"/>
        <v>Feb-2024</v>
      </c>
    </row>
    <row r="686" spans="1:18">
      <c r="A686">
        <v>39</v>
      </c>
      <c r="B686">
        <v>0</v>
      </c>
      <c r="C686">
        <v>2</v>
      </c>
      <c r="D686">
        <v>4</v>
      </c>
      <c r="E686">
        <v>5</v>
      </c>
      <c r="F686">
        <v>40.446351197443903</v>
      </c>
      <c r="G686">
        <v>93</v>
      </c>
      <c r="H686">
        <v>61</v>
      </c>
      <c r="I686">
        <v>19</v>
      </c>
      <c r="J686">
        <v>2</v>
      </c>
      <c r="K686">
        <v>0</v>
      </c>
      <c r="L686" s="2">
        <f t="shared" si="60"/>
        <v>45292</v>
      </c>
      <c r="M686" s="2">
        <f t="shared" ca="1" si="61"/>
        <v>45325</v>
      </c>
      <c r="N686" s="2" t="str">
        <f t="shared" ca="1" si="62"/>
        <v>N/A</v>
      </c>
      <c r="O686" s="3">
        <f t="shared" ca="1" si="63"/>
        <v>33</v>
      </c>
      <c r="P686" s="3" t="str">
        <f t="shared" ca="1" si="64"/>
        <v>N/A</v>
      </c>
      <c r="Q686" s="1" t="str">
        <f>IF(K686=1,"Joined",IF(H686&gt;=70,"Dropped at Offer",IF(H686&gt;=50,"Dropped at Interview","Dropped at Screening")))</f>
        <v>Dropped at Interview</v>
      </c>
      <c r="R686" s="1" t="str">
        <f t="shared" ca="1" si="65"/>
        <v>Feb-2024</v>
      </c>
    </row>
    <row r="687" spans="1:18">
      <c r="A687">
        <v>43</v>
      </c>
      <c r="B687">
        <v>1</v>
      </c>
      <c r="C687">
        <v>3</v>
      </c>
      <c r="D687">
        <v>9</v>
      </c>
      <c r="E687">
        <v>2</v>
      </c>
      <c r="F687">
        <v>39.728604158718198</v>
      </c>
      <c r="G687">
        <v>20</v>
      </c>
      <c r="H687">
        <v>63</v>
      </c>
      <c r="I687">
        <v>65</v>
      </c>
      <c r="J687">
        <v>3</v>
      </c>
      <c r="K687">
        <v>1</v>
      </c>
      <c r="L687" s="2">
        <f t="shared" si="60"/>
        <v>45292</v>
      </c>
      <c r="M687" s="2">
        <f t="shared" ca="1" si="61"/>
        <v>45333</v>
      </c>
      <c r="N687" s="2">
        <f t="shared" ca="1" si="62"/>
        <v>45363</v>
      </c>
      <c r="O687" s="3">
        <f t="shared" ca="1" si="63"/>
        <v>41</v>
      </c>
      <c r="P687" s="3">
        <f t="shared" ca="1" si="64"/>
        <v>30</v>
      </c>
      <c r="Q687" s="1" t="str">
        <f>IF(K687=1,"Joined",IF(H687&gt;=70,"Dropped at Offer",IF(H687&gt;=50,"Dropped at Interview","Dropped at Screening")))</f>
        <v>Joined</v>
      </c>
      <c r="R687" s="1" t="str">
        <f t="shared" ca="1" si="65"/>
        <v>Feb-2024</v>
      </c>
    </row>
    <row r="688" spans="1:18">
      <c r="A688">
        <v>31</v>
      </c>
      <c r="B688">
        <v>0</v>
      </c>
      <c r="C688">
        <v>4</v>
      </c>
      <c r="D688">
        <v>13</v>
      </c>
      <c r="E688">
        <v>4</v>
      </c>
      <c r="F688">
        <v>11.8864449841466</v>
      </c>
      <c r="G688">
        <v>75</v>
      </c>
      <c r="H688">
        <v>16</v>
      </c>
      <c r="I688">
        <v>83</v>
      </c>
      <c r="J688">
        <v>2</v>
      </c>
      <c r="K688">
        <v>1</v>
      </c>
      <c r="L688" s="2">
        <f t="shared" si="60"/>
        <v>45292</v>
      </c>
      <c r="M688" s="2">
        <f t="shared" ca="1" si="61"/>
        <v>45307</v>
      </c>
      <c r="N688" s="2">
        <f t="shared" ca="1" si="62"/>
        <v>45328</v>
      </c>
      <c r="O688" s="3">
        <f t="shared" ca="1" si="63"/>
        <v>15</v>
      </c>
      <c r="P688" s="3">
        <f t="shared" ca="1" si="64"/>
        <v>21</v>
      </c>
      <c r="Q688" s="1" t="str">
        <f>IF(K688=1,"Joined",IF(H688&gt;=70,"Dropped at Offer",IF(H688&gt;=50,"Dropped at Interview","Dropped at Screening")))</f>
        <v>Joined</v>
      </c>
      <c r="R688" s="1" t="str">
        <f t="shared" ca="1" si="65"/>
        <v>Jan-2024</v>
      </c>
    </row>
    <row r="689" spans="1:18">
      <c r="A689">
        <v>37</v>
      </c>
      <c r="B689">
        <v>0</v>
      </c>
      <c r="C689">
        <v>2</v>
      </c>
      <c r="D689">
        <v>12</v>
      </c>
      <c r="E689">
        <v>5</v>
      </c>
      <c r="F689">
        <v>32.061326524008301</v>
      </c>
      <c r="G689">
        <v>36</v>
      </c>
      <c r="H689">
        <v>77</v>
      </c>
      <c r="I689">
        <v>81</v>
      </c>
      <c r="J689">
        <v>3</v>
      </c>
      <c r="K689">
        <v>0</v>
      </c>
      <c r="L689" s="2">
        <f t="shared" si="60"/>
        <v>45292</v>
      </c>
      <c r="M689" s="2">
        <f t="shared" ca="1" si="61"/>
        <v>45313</v>
      </c>
      <c r="N689" s="2" t="str">
        <f t="shared" ca="1" si="62"/>
        <v>N/A</v>
      </c>
      <c r="O689" s="3">
        <f t="shared" ca="1" si="63"/>
        <v>21</v>
      </c>
      <c r="P689" s="3" t="str">
        <f t="shared" ca="1" si="64"/>
        <v>N/A</v>
      </c>
      <c r="Q689" s="1" t="str">
        <f>IF(K689=1,"Joined",IF(H689&gt;=70,"Dropped at Offer",IF(H689&gt;=50,"Dropped at Interview","Dropped at Screening")))</f>
        <v>Dropped at Offer</v>
      </c>
      <c r="R689" s="1" t="str">
        <f t="shared" ca="1" si="65"/>
        <v>Jan-2024</v>
      </c>
    </row>
    <row r="690" spans="1:18">
      <c r="A690">
        <v>22</v>
      </c>
      <c r="B690">
        <v>0</v>
      </c>
      <c r="C690">
        <v>2</v>
      </c>
      <c r="D690">
        <v>10</v>
      </c>
      <c r="E690">
        <v>4</v>
      </c>
      <c r="F690">
        <v>3.4039484243225102</v>
      </c>
      <c r="G690">
        <v>95</v>
      </c>
      <c r="H690">
        <v>61</v>
      </c>
      <c r="I690">
        <v>0</v>
      </c>
      <c r="J690">
        <v>2</v>
      </c>
      <c r="K690">
        <v>0</v>
      </c>
      <c r="L690" s="2">
        <f t="shared" si="60"/>
        <v>45292</v>
      </c>
      <c r="M690" s="2">
        <f t="shared" ca="1" si="61"/>
        <v>45313</v>
      </c>
      <c r="N690" s="2" t="str">
        <f t="shared" ca="1" si="62"/>
        <v>N/A</v>
      </c>
      <c r="O690" s="3">
        <f t="shared" ca="1" si="63"/>
        <v>21</v>
      </c>
      <c r="P690" s="3" t="str">
        <f t="shared" ca="1" si="64"/>
        <v>N/A</v>
      </c>
      <c r="Q690" s="1" t="str">
        <f>IF(K690=1,"Joined",IF(H690&gt;=70,"Dropped at Offer",IF(H690&gt;=50,"Dropped at Interview","Dropped at Screening")))</f>
        <v>Dropped at Interview</v>
      </c>
      <c r="R690" s="1" t="str">
        <f t="shared" ca="1" si="65"/>
        <v>Jan-2024</v>
      </c>
    </row>
    <row r="691" spans="1:18">
      <c r="A691">
        <v>47</v>
      </c>
      <c r="B691">
        <v>0</v>
      </c>
      <c r="C691">
        <v>2</v>
      </c>
      <c r="D691">
        <v>3</v>
      </c>
      <c r="E691">
        <v>2</v>
      </c>
      <c r="F691">
        <v>25.178729285193299</v>
      </c>
      <c r="G691">
        <v>10</v>
      </c>
      <c r="H691">
        <v>34</v>
      </c>
      <c r="I691">
        <v>57</v>
      </c>
      <c r="J691">
        <v>1</v>
      </c>
      <c r="K691">
        <v>0</v>
      </c>
      <c r="L691" s="2">
        <f t="shared" si="60"/>
        <v>45292</v>
      </c>
      <c r="M691" s="2">
        <f t="shared" ca="1" si="61"/>
        <v>45308</v>
      </c>
      <c r="N691" s="2" t="str">
        <f t="shared" ca="1" si="62"/>
        <v>N/A</v>
      </c>
      <c r="O691" s="3">
        <f t="shared" ca="1" si="63"/>
        <v>16</v>
      </c>
      <c r="P691" s="3" t="str">
        <f t="shared" ca="1" si="64"/>
        <v>N/A</v>
      </c>
      <c r="Q691" s="1" t="str">
        <f>IF(K691=1,"Joined",IF(H691&gt;=70,"Dropped at Offer",IF(H691&gt;=50,"Dropped at Interview","Dropped at Screening")))</f>
        <v>Dropped at Screening</v>
      </c>
      <c r="R691" s="1" t="str">
        <f t="shared" ca="1" si="65"/>
        <v>Jan-2024</v>
      </c>
    </row>
    <row r="692" spans="1:18">
      <c r="A692">
        <v>20</v>
      </c>
      <c r="B692">
        <v>1</v>
      </c>
      <c r="C692">
        <v>2</v>
      </c>
      <c r="D692">
        <v>6</v>
      </c>
      <c r="E692">
        <v>3</v>
      </c>
      <c r="F692">
        <v>1.73235636362433</v>
      </c>
      <c r="G692">
        <v>19</v>
      </c>
      <c r="H692">
        <v>12</v>
      </c>
      <c r="I692">
        <v>92</v>
      </c>
      <c r="J692">
        <v>2</v>
      </c>
      <c r="K692">
        <v>0</v>
      </c>
      <c r="L692" s="2">
        <f t="shared" si="60"/>
        <v>45292</v>
      </c>
      <c r="M692" s="2">
        <f t="shared" ca="1" si="61"/>
        <v>45326</v>
      </c>
      <c r="N692" s="2" t="str">
        <f t="shared" ca="1" si="62"/>
        <v>N/A</v>
      </c>
      <c r="O692" s="3">
        <f t="shared" ca="1" si="63"/>
        <v>34</v>
      </c>
      <c r="P692" s="3" t="str">
        <f t="shared" ca="1" si="64"/>
        <v>N/A</v>
      </c>
      <c r="Q692" s="1" t="str">
        <f>IF(K692=1,"Joined",IF(H692&gt;=70,"Dropped at Offer",IF(H692&gt;=50,"Dropped at Interview","Dropped at Screening")))</f>
        <v>Dropped at Screening</v>
      </c>
      <c r="R692" s="1" t="str">
        <f t="shared" ca="1" si="65"/>
        <v>Feb-2024</v>
      </c>
    </row>
    <row r="693" spans="1:18">
      <c r="A693">
        <v>20</v>
      </c>
      <c r="B693">
        <v>1</v>
      </c>
      <c r="C693">
        <v>2</v>
      </c>
      <c r="D693">
        <v>5</v>
      </c>
      <c r="E693">
        <v>3</v>
      </c>
      <c r="F693">
        <v>47.057194009042</v>
      </c>
      <c r="G693">
        <v>34</v>
      </c>
      <c r="H693">
        <v>34</v>
      </c>
      <c r="I693">
        <v>92</v>
      </c>
      <c r="J693">
        <v>2</v>
      </c>
      <c r="K693">
        <v>0</v>
      </c>
      <c r="L693" s="2">
        <f t="shared" si="60"/>
        <v>45292</v>
      </c>
      <c r="M693" s="2">
        <f t="shared" ca="1" si="61"/>
        <v>45326</v>
      </c>
      <c r="N693" s="2" t="str">
        <f t="shared" ca="1" si="62"/>
        <v>N/A</v>
      </c>
      <c r="O693" s="3">
        <f t="shared" ca="1" si="63"/>
        <v>34</v>
      </c>
      <c r="P693" s="3" t="str">
        <f t="shared" ca="1" si="64"/>
        <v>N/A</v>
      </c>
      <c r="Q693" s="1" t="str">
        <f>IF(K693=1,"Joined",IF(H693&gt;=70,"Dropped at Offer",IF(H693&gt;=50,"Dropped at Interview","Dropped at Screening")))</f>
        <v>Dropped at Screening</v>
      </c>
      <c r="R693" s="1" t="str">
        <f t="shared" ca="1" si="65"/>
        <v>Feb-2024</v>
      </c>
    </row>
    <row r="694" spans="1:18">
      <c r="A694">
        <v>48</v>
      </c>
      <c r="B694">
        <v>1</v>
      </c>
      <c r="C694">
        <v>2</v>
      </c>
      <c r="D694">
        <v>9</v>
      </c>
      <c r="E694">
        <v>2</v>
      </c>
      <c r="F694">
        <v>49.804301209978497</v>
      </c>
      <c r="G694">
        <v>52</v>
      </c>
      <c r="H694">
        <v>42</v>
      </c>
      <c r="I694">
        <v>82</v>
      </c>
      <c r="J694">
        <v>2</v>
      </c>
      <c r="K694">
        <v>0</v>
      </c>
      <c r="L694" s="2">
        <f t="shared" si="60"/>
        <v>45292</v>
      </c>
      <c r="M694" s="2">
        <f t="shared" ca="1" si="61"/>
        <v>45308</v>
      </c>
      <c r="N694" s="2" t="str">
        <f t="shared" ca="1" si="62"/>
        <v>N/A</v>
      </c>
      <c r="O694" s="3">
        <f t="shared" ca="1" si="63"/>
        <v>16</v>
      </c>
      <c r="P694" s="3" t="str">
        <f t="shared" ca="1" si="64"/>
        <v>N/A</v>
      </c>
      <c r="Q694" s="1" t="str">
        <f>IF(K694=1,"Joined",IF(H694&gt;=70,"Dropped at Offer",IF(H694&gt;=50,"Dropped at Interview","Dropped at Screening")))</f>
        <v>Dropped at Screening</v>
      </c>
      <c r="R694" s="1" t="str">
        <f t="shared" ca="1" si="65"/>
        <v>Jan-2024</v>
      </c>
    </row>
    <row r="695" spans="1:18">
      <c r="A695">
        <v>38</v>
      </c>
      <c r="B695">
        <v>0</v>
      </c>
      <c r="C695">
        <v>2</v>
      </c>
      <c r="D695">
        <v>6</v>
      </c>
      <c r="E695">
        <v>4</v>
      </c>
      <c r="F695">
        <v>12.114138331929199</v>
      </c>
      <c r="G695">
        <v>46</v>
      </c>
      <c r="H695">
        <v>1</v>
      </c>
      <c r="I695">
        <v>43</v>
      </c>
      <c r="J695">
        <v>2</v>
      </c>
      <c r="K695">
        <v>0</v>
      </c>
      <c r="L695" s="2">
        <f t="shared" si="60"/>
        <v>45292</v>
      </c>
      <c r="M695" s="2">
        <f t="shared" ca="1" si="61"/>
        <v>45326</v>
      </c>
      <c r="N695" s="2" t="str">
        <f t="shared" ca="1" si="62"/>
        <v>N/A</v>
      </c>
      <c r="O695" s="3">
        <f t="shared" ca="1" si="63"/>
        <v>34</v>
      </c>
      <c r="P695" s="3" t="str">
        <f t="shared" ca="1" si="64"/>
        <v>N/A</v>
      </c>
      <c r="Q695" s="1" t="str">
        <f>IF(K695=1,"Joined",IF(H695&gt;=70,"Dropped at Offer",IF(H695&gt;=50,"Dropped at Interview","Dropped at Screening")))</f>
        <v>Dropped at Screening</v>
      </c>
      <c r="R695" s="1" t="str">
        <f t="shared" ca="1" si="65"/>
        <v>Feb-2024</v>
      </c>
    </row>
    <row r="696" spans="1:18">
      <c r="A696">
        <v>30</v>
      </c>
      <c r="B696">
        <v>0</v>
      </c>
      <c r="C696">
        <v>1</v>
      </c>
      <c r="D696">
        <v>4</v>
      </c>
      <c r="E696">
        <v>5</v>
      </c>
      <c r="F696">
        <v>11.4053017298186</v>
      </c>
      <c r="G696">
        <v>74</v>
      </c>
      <c r="H696">
        <v>55</v>
      </c>
      <c r="I696">
        <v>5</v>
      </c>
      <c r="J696">
        <v>1</v>
      </c>
      <c r="K696">
        <v>1</v>
      </c>
      <c r="L696" s="2">
        <f t="shared" si="60"/>
        <v>45292</v>
      </c>
      <c r="M696" s="2">
        <f t="shared" ca="1" si="61"/>
        <v>45318</v>
      </c>
      <c r="N696" s="2">
        <f t="shared" ca="1" si="62"/>
        <v>45343</v>
      </c>
      <c r="O696" s="3">
        <f t="shared" ca="1" si="63"/>
        <v>26</v>
      </c>
      <c r="P696" s="3">
        <f t="shared" ca="1" si="64"/>
        <v>25</v>
      </c>
      <c r="Q696" s="1" t="str">
        <f>IF(K696=1,"Joined",IF(H696&gt;=70,"Dropped at Offer",IF(H696&gt;=50,"Dropped at Interview","Dropped at Screening")))</f>
        <v>Joined</v>
      </c>
      <c r="R696" s="1" t="str">
        <f t="shared" ca="1" si="65"/>
        <v>Jan-2024</v>
      </c>
    </row>
    <row r="697" spans="1:18">
      <c r="A697">
        <v>24</v>
      </c>
      <c r="B697">
        <v>1</v>
      </c>
      <c r="C697">
        <v>1</v>
      </c>
      <c r="D697">
        <v>14</v>
      </c>
      <c r="E697">
        <v>2</v>
      </c>
      <c r="F697">
        <v>38.686008828106402</v>
      </c>
      <c r="G697">
        <v>51</v>
      </c>
      <c r="H697">
        <v>76</v>
      </c>
      <c r="I697">
        <v>49</v>
      </c>
      <c r="J697">
        <v>2</v>
      </c>
      <c r="K697">
        <v>0</v>
      </c>
      <c r="L697" s="2">
        <f t="shared" si="60"/>
        <v>45292</v>
      </c>
      <c r="M697" s="2">
        <f t="shared" ca="1" si="61"/>
        <v>45325</v>
      </c>
      <c r="N697" s="2" t="str">
        <f t="shared" ca="1" si="62"/>
        <v>N/A</v>
      </c>
      <c r="O697" s="3">
        <f t="shared" ca="1" si="63"/>
        <v>33</v>
      </c>
      <c r="P697" s="3" t="str">
        <f t="shared" ca="1" si="64"/>
        <v>N/A</v>
      </c>
      <c r="Q697" s="1" t="str">
        <f>IF(K697=1,"Joined",IF(H697&gt;=70,"Dropped at Offer",IF(H697&gt;=50,"Dropped at Interview","Dropped at Screening")))</f>
        <v>Dropped at Offer</v>
      </c>
      <c r="R697" s="1" t="str">
        <f t="shared" ca="1" si="65"/>
        <v>Feb-2024</v>
      </c>
    </row>
    <row r="698" spans="1:18">
      <c r="A698">
        <v>31</v>
      </c>
      <c r="B698">
        <v>0</v>
      </c>
      <c r="C698">
        <v>2</v>
      </c>
      <c r="D698">
        <v>14</v>
      </c>
      <c r="E698">
        <v>1</v>
      </c>
      <c r="F698">
        <v>13.668969941466701</v>
      </c>
      <c r="G698">
        <v>7</v>
      </c>
      <c r="H698">
        <v>50</v>
      </c>
      <c r="I698">
        <v>71</v>
      </c>
      <c r="J698">
        <v>2</v>
      </c>
      <c r="K698">
        <v>0</v>
      </c>
      <c r="L698" s="2">
        <f t="shared" si="60"/>
        <v>45292</v>
      </c>
      <c r="M698" s="2">
        <f t="shared" ca="1" si="61"/>
        <v>45322</v>
      </c>
      <c r="N698" s="2" t="str">
        <f t="shared" ca="1" si="62"/>
        <v>N/A</v>
      </c>
      <c r="O698" s="3">
        <f t="shared" ca="1" si="63"/>
        <v>30</v>
      </c>
      <c r="P698" s="3" t="str">
        <f t="shared" ca="1" si="64"/>
        <v>N/A</v>
      </c>
      <c r="Q698" s="1" t="str">
        <f>IF(K698=1,"Joined",IF(H698&gt;=70,"Dropped at Offer",IF(H698&gt;=50,"Dropped at Interview","Dropped at Screening")))</f>
        <v>Dropped at Interview</v>
      </c>
      <c r="R698" s="1" t="str">
        <f t="shared" ca="1" si="65"/>
        <v>Jan-2024</v>
      </c>
    </row>
    <row r="699" spans="1:18">
      <c r="A699">
        <v>22</v>
      </c>
      <c r="B699">
        <v>0</v>
      </c>
      <c r="C699">
        <v>1</v>
      </c>
      <c r="D699">
        <v>3</v>
      </c>
      <c r="E699">
        <v>4</v>
      </c>
      <c r="F699">
        <v>45.753827958092202</v>
      </c>
      <c r="G699">
        <v>3</v>
      </c>
      <c r="H699">
        <v>53</v>
      </c>
      <c r="I699">
        <v>87</v>
      </c>
      <c r="J699">
        <v>2</v>
      </c>
      <c r="K699">
        <v>0</v>
      </c>
      <c r="L699" s="2">
        <f t="shared" si="60"/>
        <v>45292</v>
      </c>
      <c r="M699" s="2">
        <f t="shared" ca="1" si="61"/>
        <v>45320</v>
      </c>
      <c r="N699" s="2" t="str">
        <f t="shared" ca="1" si="62"/>
        <v>N/A</v>
      </c>
      <c r="O699" s="3">
        <f t="shared" ca="1" si="63"/>
        <v>28</v>
      </c>
      <c r="P699" s="3" t="str">
        <f t="shared" ca="1" si="64"/>
        <v>N/A</v>
      </c>
      <c r="Q699" s="1" t="str">
        <f>IF(K699=1,"Joined",IF(H699&gt;=70,"Dropped at Offer",IF(H699&gt;=50,"Dropped at Interview","Dropped at Screening")))</f>
        <v>Dropped at Interview</v>
      </c>
      <c r="R699" s="1" t="str">
        <f t="shared" ca="1" si="65"/>
        <v>Jan-2024</v>
      </c>
    </row>
    <row r="700" spans="1:18">
      <c r="A700">
        <v>20</v>
      </c>
      <c r="B700">
        <v>0</v>
      </c>
      <c r="C700">
        <v>2</v>
      </c>
      <c r="D700">
        <v>15</v>
      </c>
      <c r="E700">
        <v>3</v>
      </c>
      <c r="F700">
        <v>29.696456806149101</v>
      </c>
      <c r="G700">
        <v>26</v>
      </c>
      <c r="H700">
        <v>15</v>
      </c>
      <c r="I700">
        <v>19</v>
      </c>
      <c r="J700">
        <v>2</v>
      </c>
      <c r="K700">
        <v>0</v>
      </c>
      <c r="L700" s="2">
        <f t="shared" si="60"/>
        <v>45292</v>
      </c>
      <c r="M700" s="2">
        <f t="shared" ca="1" si="61"/>
        <v>45312</v>
      </c>
      <c r="N700" s="2" t="str">
        <f t="shared" ca="1" si="62"/>
        <v>N/A</v>
      </c>
      <c r="O700" s="3">
        <f t="shared" ca="1" si="63"/>
        <v>20</v>
      </c>
      <c r="P700" s="3" t="str">
        <f t="shared" ca="1" si="64"/>
        <v>N/A</v>
      </c>
      <c r="Q700" s="1" t="str">
        <f>IF(K700=1,"Joined",IF(H700&gt;=70,"Dropped at Offer",IF(H700&gt;=50,"Dropped at Interview","Dropped at Screening")))</f>
        <v>Dropped at Screening</v>
      </c>
      <c r="R700" s="1" t="str">
        <f t="shared" ca="1" si="65"/>
        <v>Jan-2024</v>
      </c>
    </row>
    <row r="701" spans="1:18">
      <c r="A701">
        <v>20</v>
      </c>
      <c r="B701">
        <v>0</v>
      </c>
      <c r="C701">
        <v>2</v>
      </c>
      <c r="D701">
        <v>6</v>
      </c>
      <c r="E701">
        <v>2</v>
      </c>
      <c r="F701">
        <v>18.5388811505156</v>
      </c>
      <c r="G701">
        <v>43</v>
      </c>
      <c r="H701">
        <v>17</v>
      </c>
      <c r="I701">
        <v>13</v>
      </c>
      <c r="J701">
        <v>3</v>
      </c>
      <c r="K701">
        <v>0</v>
      </c>
      <c r="L701" s="2">
        <f t="shared" si="60"/>
        <v>45292</v>
      </c>
      <c r="M701" s="2">
        <f t="shared" ca="1" si="61"/>
        <v>45334</v>
      </c>
      <c r="N701" s="2" t="str">
        <f t="shared" ca="1" si="62"/>
        <v>N/A</v>
      </c>
      <c r="O701" s="3">
        <f t="shared" ca="1" si="63"/>
        <v>42</v>
      </c>
      <c r="P701" s="3" t="str">
        <f t="shared" ca="1" si="64"/>
        <v>N/A</v>
      </c>
      <c r="Q701" s="1" t="str">
        <f>IF(K701=1,"Joined",IF(H701&gt;=70,"Dropped at Offer",IF(H701&gt;=50,"Dropped at Interview","Dropped at Screening")))</f>
        <v>Dropped at Screening</v>
      </c>
      <c r="R701" s="1" t="str">
        <f t="shared" ca="1" si="65"/>
        <v>Feb-2024</v>
      </c>
    </row>
    <row r="702" spans="1:18">
      <c r="A702">
        <v>27</v>
      </c>
      <c r="B702">
        <v>1</v>
      </c>
      <c r="C702">
        <v>3</v>
      </c>
      <c r="D702">
        <v>6</v>
      </c>
      <c r="E702">
        <v>3</v>
      </c>
      <c r="F702">
        <v>42.634687317470998</v>
      </c>
      <c r="G702">
        <v>39</v>
      </c>
      <c r="H702">
        <v>6</v>
      </c>
      <c r="I702">
        <v>4</v>
      </c>
      <c r="J702">
        <v>2</v>
      </c>
      <c r="K702">
        <v>0</v>
      </c>
      <c r="L702" s="2">
        <f t="shared" si="60"/>
        <v>45292</v>
      </c>
      <c r="M702" s="2">
        <f t="shared" ca="1" si="61"/>
        <v>45335</v>
      </c>
      <c r="N702" s="2" t="str">
        <f t="shared" ca="1" si="62"/>
        <v>N/A</v>
      </c>
      <c r="O702" s="3">
        <f t="shared" ca="1" si="63"/>
        <v>43</v>
      </c>
      <c r="P702" s="3" t="str">
        <f t="shared" ca="1" si="64"/>
        <v>N/A</v>
      </c>
      <c r="Q702" s="1" t="str">
        <f>IF(K702=1,"Joined",IF(H702&gt;=70,"Dropped at Offer",IF(H702&gt;=50,"Dropped at Interview","Dropped at Screening")))</f>
        <v>Dropped at Screening</v>
      </c>
      <c r="R702" s="1" t="str">
        <f t="shared" ca="1" si="65"/>
        <v>Feb-2024</v>
      </c>
    </row>
    <row r="703" spans="1:18">
      <c r="A703">
        <v>29</v>
      </c>
      <c r="B703">
        <v>1</v>
      </c>
      <c r="C703">
        <v>1</v>
      </c>
      <c r="D703">
        <v>5</v>
      </c>
      <c r="E703">
        <v>4</v>
      </c>
      <c r="F703">
        <v>25.6703350206697</v>
      </c>
      <c r="G703">
        <v>46</v>
      </c>
      <c r="H703">
        <v>44</v>
      </c>
      <c r="I703">
        <v>40</v>
      </c>
      <c r="J703">
        <v>2</v>
      </c>
      <c r="K703">
        <v>0</v>
      </c>
      <c r="L703" s="2">
        <f t="shared" si="60"/>
        <v>45292</v>
      </c>
      <c r="M703" s="2">
        <f t="shared" ca="1" si="61"/>
        <v>45325</v>
      </c>
      <c r="N703" s="2" t="str">
        <f t="shared" ca="1" si="62"/>
        <v>N/A</v>
      </c>
      <c r="O703" s="3">
        <f t="shared" ca="1" si="63"/>
        <v>33</v>
      </c>
      <c r="P703" s="3" t="str">
        <f t="shared" ca="1" si="64"/>
        <v>N/A</v>
      </c>
      <c r="Q703" s="1" t="str">
        <f>IF(K703=1,"Joined",IF(H703&gt;=70,"Dropped at Offer",IF(H703&gt;=50,"Dropped at Interview","Dropped at Screening")))</f>
        <v>Dropped at Screening</v>
      </c>
      <c r="R703" s="1" t="str">
        <f t="shared" ca="1" si="65"/>
        <v>Feb-2024</v>
      </c>
    </row>
    <row r="704" spans="1:18">
      <c r="A704">
        <v>30</v>
      </c>
      <c r="B704">
        <v>1</v>
      </c>
      <c r="C704">
        <v>2</v>
      </c>
      <c r="D704">
        <v>7</v>
      </c>
      <c r="E704">
        <v>3</v>
      </c>
      <c r="F704">
        <v>46.581645685423702</v>
      </c>
      <c r="G704">
        <v>93</v>
      </c>
      <c r="H704">
        <v>35</v>
      </c>
      <c r="I704">
        <v>39</v>
      </c>
      <c r="J704">
        <v>3</v>
      </c>
      <c r="K704">
        <v>0</v>
      </c>
      <c r="L704" s="2">
        <f t="shared" si="60"/>
        <v>45292</v>
      </c>
      <c r="M704" s="2">
        <f t="shared" ca="1" si="61"/>
        <v>45313</v>
      </c>
      <c r="N704" s="2" t="str">
        <f t="shared" ca="1" si="62"/>
        <v>N/A</v>
      </c>
      <c r="O704" s="3">
        <f t="shared" ca="1" si="63"/>
        <v>21</v>
      </c>
      <c r="P704" s="3" t="str">
        <f t="shared" ca="1" si="64"/>
        <v>N/A</v>
      </c>
      <c r="Q704" s="1" t="str">
        <f>IF(K704=1,"Joined",IF(H704&gt;=70,"Dropped at Offer",IF(H704&gt;=50,"Dropped at Interview","Dropped at Screening")))</f>
        <v>Dropped at Screening</v>
      </c>
      <c r="R704" s="1" t="str">
        <f t="shared" ca="1" si="65"/>
        <v>Jan-2024</v>
      </c>
    </row>
    <row r="705" spans="1:18">
      <c r="A705">
        <v>31</v>
      </c>
      <c r="B705">
        <v>0</v>
      </c>
      <c r="C705">
        <v>3</v>
      </c>
      <c r="D705">
        <v>3</v>
      </c>
      <c r="E705">
        <v>2</v>
      </c>
      <c r="F705">
        <v>47.400711836469</v>
      </c>
      <c r="G705">
        <v>43</v>
      </c>
      <c r="H705">
        <v>40</v>
      </c>
      <c r="I705">
        <v>33</v>
      </c>
      <c r="J705">
        <v>2</v>
      </c>
      <c r="K705">
        <v>0</v>
      </c>
      <c r="L705" s="2">
        <f t="shared" si="60"/>
        <v>45292</v>
      </c>
      <c r="M705" s="2">
        <f t="shared" ca="1" si="61"/>
        <v>45329</v>
      </c>
      <c r="N705" s="2" t="str">
        <f t="shared" ca="1" si="62"/>
        <v>N/A</v>
      </c>
      <c r="O705" s="3">
        <f t="shared" ca="1" si="63"/>
        <v>37</v>
      </c>
      <c r="P705" s="3" t="str">
        <f t="shared" ca="1" si="64"/>
        <v>N/A</v>
      </c>
      <c r="Q705" s="1" t="str">
        <f>IF(K705=1,"Joined",IF(H705&gt;=70,"Dropped at Offer",IF(H705&gt;=50,"Dropped at Interview","Dropped at Screening")))</f>
        <v>Dropped at Screening</v>
      </c>
      <c r="R705" s="1" t="str">
        <f t="shared" ca="1" si="65"/>
        <v>Feb-2024</v>
      </c>
    </row>
    <row r="706" spans="1:18">
      <c r="A706">
        <v>48</v>
      </c>
      <c r="B706">
        <v>1</v>
      </c>
      <c r="C706">
        <v>2</v>
      </c>
      <c r="D706">
        <v>9</v>
      </c>
      <c r="E706">
        <v>4</v>
      </c>
      <c r="F706">
        <v>9.2710076064204596</v>
      </c>
      <c r="G706">
        <v>47</v>
      </c>
      <c r="H706">
        <v>93</v>
      </c>
      <c r="I706">
        <v>79</v>
      </c>
      <c r="J706">
        <v>1</v>
      </c>
      <c r="K706">
        <v>1</v>
      </c>
      <c r="L706" s="2">
        <f t="shared" ref="L706:L769" si="66">DATE(2024,1,1)</f>
        <v>45292</v>
      </c>
      <c r="M706" s="2">
        <f t="shared" ref="M706:M769" ca="1" si="67">L706+RANDBETWEEN(14,45)</f>
        <v>45337</v>
      </c>
      <c r="N706" s="2">
        <f t="shared" ref="N706:N769" ca="1" si="68">IF(K706=1, M706+RANDBETWEEN(7,30), "N/A")</f>
        <v>45357</v>
      </c>
      <c r="O706" s="3">
        <f t="shared" ref="O706:O769" ca="1" si="69">IF(AND(M706&lt;&gt;"",L706&lt;&gt;""), M706-L706, "N/A")</f>
        <v>45</v>
      </c>
      <c r="P706" s="3">
        <f t="shared" ref="P706:Q769" ca="1" si="70">IF(AND(K706=1, N706&lt;&gt;"", M706&lt;&gt;""), N706 - M706, "N/A")</f>
        <v>20</v>
      </c>
      <c r="Q706" s="1" t="str">
        <f>IF(K706=1,"Joined",IF(H706&gt;=70,"Dropped at Offer",IF(H706&gt;=50,"Dropped at Interview","Dropped at Screening")))</f>
        <v>Joined</v>
      </c>
      <c r="R706" s="1" t="str">
        <f t="shared" ref="R706:R769" ca="1" si="71">TEXT(M706,"MMM-YYYY")</f>
        <v>Feb-2024</v>
      </c>
    </row>
    <row r="707" spans="1:18">
      <c r="A707">
        <v>32</v>
      </c>
      <c r="B707">
        <v>1</v>
      </c>
      <c r="C707">
        <v>1</v>
      </c>
      <c r="D707">
        <v>4</v>
      </c>
      <c r="E707">
        <v>1</v>
      </c>
      <c r="F707">
        <v>1.1161703065965101</v>
      </c>
      <c r="G707">
        <v>90</v>
      </c>
      <c r="H707">
        <v>41</v>
      </c>
      <c r="I707">
        <v>44</v>
      </c>
      <c r="J707">
        <v>1</v>
      </c>
      <c r="K707">
        <v>0</v>
      </c>
      <c r="L707" s="2">
        <f t="shared" si="66"/>
        <v>45292</v>
      </c>
      <c r="M707" s="2">
        <f t="shared" ca="1" si="67"/>
        <v>45315</v>
      </c>
      <c r="N707" s="2" t="str">
        <f t="shared" ca="1" si="68"/>
        <v>N/A</v>
      </c>
      <c r="O707" s="3">
        <f t="shared" ca="1" si="69"/>
        <v>23</v>
      </c>
      <c r="P707" s="3" t="str">
        <f t="shared" ca="1" si="70"/>
        <v>N/A</v>
      </c>
      <c r="Q707" s="1" t="str">
        <f>IF(K707=1,"Joined",IF(H707&gt;=70,"Dropped at Offer",IF(H707&gt;=50,"Dropped at Interview","Dropped at Screening")))</f>
        <v>Dropped at Screening</v>
      </c>
      <c r="R707" s="1" t="str">
        <f t="shared" ca="1" si="71"/>
        <v>Jan-2024</v>
      </c>
    </row>
    <row r="708" spans="1:18">
      <c r="A708">
        <v>31</v>
      </c>
      <c r="B708">
        <v>0</v>
      </c>
      <c r="C708">
        <v>3</v>
      </c>
      <c r="D708">
        <v>3</v>
      </c>
      <c r="E708">
        <v>2</v>
      </c>
      <c r="F708">
        <v>50.196547007120103</v>
      </c>
      <c r="G708">
        <v>84</v>
      </c>
      <c r="H708">
        <v>6</v>
      </c>
      <c r="I708">
        <v>70</v>
      </c>
      <c r="J708">
        <v>2</v>
      </c>
      <c r="K708">
        <v>0</v>
      </c>
      <c r="L708" s="2">
        <f t="shared" si="66"/>
        <v>45292</v>
      </c>
      <c r="M708" s="2">
        <f t="shared" ca="1" si="67"/>
        <v>45330</v>
      </c>
      <c r="N708" s="2" t="str">
        <f t="shared" ca="1" si="68"/>
        <v>N/A</v>
      </c>
      <c r="O708" s="3">
        <f t="shared" ca="1" si="69"/>
        <v>38</v>
      </c>
      <c r="P708" s="3" t="str">
        <f t="shared" ca="1" si="70"/>
        <v>N/A</v>
      </c>
      <c r="Q708" s="1" t="str">
        <f>IF(K708=1,"Joined",IF(H708&gt;=70,"Dropped at Offer",IF(H708&gt;=50,"Dropped at Interview","Dropped at Screening")))</f>
        <v>Dropped at Screening</v>
      </c>
      <c r="R708" s="1" t="str">
        <f t="shared" ca="1" si="71"/>
        <v>Feb-2024</v>
      </c>
    </row>
    <row r="709" spans="1:18">
      <c r="A709">
        <v>50</v>
      </c>
      <c r="B709">
        <v>0</v>
      </c>
      <c r="C709">
        <v>3</v>
      </c>
      <c r="D709">
        <v>11</v>
      </c>
      <c r="E709">
        <v>5</v>
      </c>
      <c r="F709">
        <v>46.3068768063739</v>
      </c>
      <c r="G709">
        <v>51</v>
      </c>
      <c r="H709">
        <v>14</v>
      </c>
      <c r="I709">
        <v>79</v>
      </c>
      <c r="J709">
        <v>1</v>
      </c>
      <c r="K709">
        <v>1</v>
      </c>
      <c r="L709" s="2">
        <f t="shared" si="66"/>
        <v>45292</v>
      </c>
      <c r="M709" s="2">
        <f t="shared" ca="1" si="67"/>
        <v>45310</v>
      </c>
      <c r="N709" s="2">
        <f t="shared" ca="1" si="68"/>
        <v>45330</v>
      </c>
      <c r="O709" s="3">
        <f t="shared" ca="1" si="69"/>
        <v>18</v>
      </c>
      <c r="P709" s="3">
        <f t="shared" ca="1" si="70"/>
        <v>20</v>
      </c>
      <c r="Q709" s="1" t="str">
        <f>IF(K709=1,"Joined",IF(H709&gt;=70,"Dropped at Offer",IF(H709&gt;=50,"Dropped at Interview","Dropped at Screening")))</f>
        <v>Joined</v>
      </c>
      <c r="R709" s="1" t="str">
        <f t="shared" ca="1" si="71"/>
        <v>Jan-2024</v>
      </c>
    </row>
    <row r="710" spans="1:18">
      <c r="A710">
        <v>33</v>
      </c>
      <c r="B710">
        <v>1</v>
      </c>
      <c r="C710">
        <v>2</v>
      </c>
      <c r="D710">
        <v>0</v>
      </c>
      <c r="E710">
        <v>2</v>
      </c>
      <c r="F710">
        <v>3.7722617851920699</v>
      </c>
      <c r="G710">
        <v>83</v>
      </c>
      <c r="H710">
        <v>59</v>
      </c>
      <c r="I710">
        <v>70</v>
      </c>
      <c r="J710">
        <v>2</v>
      </c>
      <c r="K710">
        <v>0</v>
      </c>
      <c r="L710" s="2">
        <f t="shared" si="66"/>
        <v>45292</v>
      </c>
      <c r="M710" s="2">
        <f t="shared" ca="1" si="67"/>
        <v>45309</v>
      </c>
      <c r="N710" s="2" t="str">
        <f t="shared" ca="1" si="68"/>
        <v>N/A</v>
      </c>
      <c r="O710" s="3">
        <f t="shared" ca="1" si="69"/>
        <v>17</v>
      </c>
      <c r="P710" s="3" t="str">
        <f t="shared" ca="1" si="70"/>
        <v>N/A</v>
      </c>
      <c r="Q710" s="1" t="str">
        <f>IF(K710=1,"Joined",IF(H710&gt;=70,"Dropped at Offer",IF(H710&gt;=50,"Dropped at Interview","Dropped at Screening")))</f>
        <v>Dropped at Interview</v>
      </c>
      <c r="R710" s="1" t="str">
        <f t="shared" ca="1" si="71"/>
        <v>Jan-2024</v>
      </c>
    </row>
    <row r="711" spans="1:18">
      <c r="A711">
        <v>21</v>
      </c>
      <c r="B711">
        <v>1</v>
      </c>
      <c r="C711">
        <v>2</v>
      </c>
      <c r="D711">
        <v>11</v>
      </c>
      <c r="E711">
        <v>4</v>
      </c>
      <c r="F711">
        <v>42.651713197053397</v>
      </c>
      <c r="G711">
        <v>67</v>
      </c>
      <c r="H711">
        <v>39</v>
      </c>
      <c r="I711">
        <v>26</v>
      </c>
      <c r="J711">
        <v>1</v>
      </c>
      <c r="K711">
        <v>0</v>
      </c>
      <c r="L711" s="2">
        <f t="shared" si="66"/>
        <v>45292</v>
      </c>
      <c r="M711" s="2">
        <f t="shared" ca="1" si="67"/>
        <v>45308</v>
      </c>
      <c r="N711" s="2" t="str">
        <f t="shared" ca="1" si="68"/>
        <v>N/A</v>
      </c>
      <c r="O711" s="3">
        <f t="shared" ca="1" si="69"/>
        <v>16</v>
      </c>
      <c r="P711" s="3" t="str">
        <f t="shared" ca="1" si="70"/>
        <v>N/A</v>
      </c>
      <c r="Q711" s="1" t="str">
        <f>IF(K711=1,"Joined",IF(H711&gt;=70,"Dropped at Offer",IF(H711&gt;=50,"Dropped at Interview","Dropped at Screening")))</f>
        <v>Dropped at Screening</v>
      </c>
      <c r="R711" s="1" t="str">
        <f t="shared" ca="1" si="71"/>
        <v>Jan-2024</v>
      </c>
    </row>
    <row r="712" spans="1:18">
      <c r="A712">
        <v>48</v>
      </c>
      <c r="B712">
        <v>1</v>
      </c>
      <c r="C712">
        <v>4</v>
      </c>
      <c r="D712">
        <v>7</v>
      </c>
      <c r="E712">
        <v>2</v>
      </c>
      <c r="F712">
        <v>23.890246627960298</v>
      </c>
      <c r="G712">
        <v>10</v>
      </c>
      <c r="H712">
        <v>82</v>
      </c>
      <c r="I712">
        <v>77</v>
      </c>
      <c r="J712">
        <v>1</v>
      </c>
      <c r="K712">
        <v>1</v>
      </c>
      <c r="L712" s="2">
        <f t="shared" si="66"/>
        <v>45292</v>
      </c>
      <c r="M712" s="2">
        <f t="shared" ca="1" si="67"/>
        <v>45314</v>
      </c>
      <c r="N712" s="2">
        <f t="shared" ca="1" si="68"/>
        <v>45325</v>
      </c>
      <c r="O712" s="3">
        <f t="shared" ca="1" si="69"/>
        <v>22</v>
      </c>
      <c r="P712" s="3">
        <f t="shared" ca="1" si="70"/>
        <v>11</v>
      </c>
      <c r="Q712" s="1" t="str">
        <f>IF(K712=1,"Joined",IF(H712&gt;=70,"Dropped at Offer",IF(H712&gt;=50,"Dropped at Interview","Dropped at Screening")))</f>
        <v>Joined</v>
      </c>
      <c r="R712" s="1" t="str">
        <f t="shared" ca="1" si="71"/>
        <v>Jan-2024</v>
      </c>
    </row>
    <row r="713" spans="1:18">
      <c r="A713">
        <v>38</v>
      </c>
      <c r="B713">
        <v>1</v>
      </c>
      <c r="C713">
        <v>2</v>
      </c>
      <c r="D713">
        <v>0</v>
      </c>
      <c r="E713">
        <v>1</v>
      </c>
      <c r="F713">
        <v>13.948080251248699</v>
      </c>
      <c r="G713">
        <v>76</v>
      </c>
      <c r="H713">
        <v>36</v>
      </c>
      <c r="I713">
        <v>77</v>
      </c>
      <c r="J713">
        <v>2</v>
      </c>
      <c r="K713">
        <v>0</v>
      </c>
      <c r="L713" s="2">
        <f t="shared" si="66"/>
        <v>45292</v>
      </c>
      <c r="M713" s="2">
        <f t="shared" ca="1" si="67"/>
        <v>45312</v>
      </c>
      <c r="N713" s="2" t="str">
        <f t="shared" ca="1" si="68"/>
        <v>N/A</v>
      </c>
      <c r="O713" s="3">
        <f t="shared" ca="1" si="69"/>
        <v>20</v>
      </c>
      <c r="P713" s="3" t="str">
        <f t="shared" ca="1" si="70"/>
        <v>N/A</v>
      </c>
      <c r="Q713" s="1" t="str">
        <f>IF(K713=1,"Joined",IF(H713&gt;=70,"Dropped at Offer",IF(H713&gt;=50,"Dropped at Interview","Dropped at Screening")))</f>
        <v>Dropped at Screening</v>
      </c>
      <c r="R713" s="1" t="str">
        <f t="shared" ca="1" si="71"/>
        <v>Jan-2024</v>
      </c>
    </row>
    <row r="714" spans="1:18">
      <c r="A714">
        <v>37</v>
      </c>
      <c r="B714">
        <v>0</v>
      </c>
      <c r="C714">
        <v>2</v>
      </c>
      <c r="D714">
        <v>4</v>
      </c>
      <c r="E714">
        <v>1</v>
      </c>
      <c r="F714">
        <v>44.937326183846402</v>
      </c>
      <c r="G714">
        <v>72</v>
      </c>
      <c r="H714">
        <v>65</v>
      </c>
      <c r="I714">
        <v>43</v>
      </c>
      <c r="J714">
        <v>3</v>
      </c>
      <c r="K714">
        <v>0</v>
      </c>
      <c r="L714" s="2">
        <f t="shared" si="66"/>
        <v>45292</v>
      </c>
      <c r="M714" s="2">
        <f t="shared" ca="1" si="67"/>
        <v>45321</v>
      </c>
      <c r="N714" s="2" t="str">
        <f t="shared" ca="1" si="68"/>
        <v>N/A</v>
      </c>
      <c r="O714" s="3">
        <f t="shared" ca="1" si="69"/>
        <v>29</v>
      </c>
      <c r="P714" s="3" t="str">
        <f t="shared" ca="1" si="70"/>
        <v>N/A</v>
      </c>
      <c r="Q714" s="1" t="str">
        <f>IF(K714=1,"Joined",IF(H714&gt;=70,"Dropped at Offer",IF(H714&gt;=50,"Dropped at Interview","Dropped at Screening")))</f>
        <v>Dropped at Interview</v>
      </c>
      <c r="R714" s="1" t="str">
        <f t="shared" ca="1" si="71"/>
        <v>Jan-2024</v>
      </c>
    </row>
    <row r="715" spans="1:18">
      <c r="A715">
        <v>22</v>
      </c>
      <c r="B715">
        <v>1</v>
      </c>
      <c r="C715">
        <v>3</v>
      </c>
      <c r="D715">
        <v>14</v>
      </c>
      <c r="E715">
        <v>5</v>
      </c>
      <c r="F715">
        <v>10.8333616195153</v>
      </c>
      <c r="G715">
        <v>3</v>
      </c>
      <c r="H715">
        <v>54</v>
      </c>
      <c r="I715">
        <v>32</v>
      </c>
      <c r="J715">
        <v>2</v>
      </c>
      <c r="K715">
        <v>0</v>
      </c>
      <c r="L715" s="2">
        <f t="shared" si="66"/>
        <v>45292</v>
      </c>
      <c r="M715" s="2">
        <f t="shared" ca="1" si="67"/>
        <v>45312</v>
      </c>
      <c r="N715" s="2" t="str">
        <f t="shared" ca="1" si="68"/>
        <v>N/A</v>
      </c>
      <c r="O715" s="3">
        <f t="shared" ca="1" si="69"/>
        <v>20</v>
      </c>
      <c r="P715" s="3" t="str">
        <f t="shared" ca="1" si="70"/>
        <v>N/A</v>
      </c>
      <c r="Q715" s="1" t="str">
        <f>IF(K715=1,"Joined",IF(H715&gt;=70,"Dropped at Offer",IF(H715&gt;=50,"Dropped at Interview","Dropped at Screening")))</f>
        <v>Dropped at Interview</v>
      </c>
      <c r="R715" s="1" t="str">
        <f t="shared" ca="1" si="71"/>
        <v>Jan-2024</v>
      </c>
    </row>
    <row r="716" spans="1:18">
      <c r="A716">
        <v>42</v>
      </c>
      <c r="B716">
        <v>1</v>
      </c>
      <c r="C716">
        <v>2</v>
      </c>
      <c r="D716">
        <v>5</v>
      </c>
      <c r="E716">
        <v>3</v>
      </c>
      <c r="F716">
        <v>48.3649999710033</v>
      </c>
      <c r="G716">
        <v>75</v>
      </c>
      <c r="H716">
        <v>76</v>
      </c>
      <c r="I716">
        <v>32</v>
      </c>
      <c r="J716">
        <v>3</v>
      </c>
      <c r="K716">
        <v>0</v>
      </c>
      <c r="L716" s="2">
        <f t="shared" si="66"/>
        <v>45292</v>
      </c>
      <c r="M716" s="2">
        <f t="shared" ca="1" si="67"/>
        <v>45321</v>
      </c>
      <c r="N716" s="2" t="str">
        <f t="shared" ca="1" si="68"/>
        <v>N/A</v>
      </c>
      <c r="O716" s="3">
        <f t="shared" ca="1" si="69"/>
        <v>29</v>
      </c>
      <c r="P716" s="3" t="str">
        <f t="shared" ca="1" si="70"/>
        <v>N/A</v>
      </c>
      <c r="Q716" s="1" t="str">
        <f>IF(K716=1,"Joined",IF(H716&gt;=70,"Dropped at Offer",IF(H716&gt;=50,"Dropped at Interview","Dropped at Screening")))</f>
        <v>Dropped at Offer</v>
      </c>
      <c r="R716" s="1" t="str">
        <f t="shared" ca="1" si="71"/>
        <v>Jan-2024</v>
      </c>
    </row>
    <row r="717" spans="1:18">
      <c r="A717">
        <v>36</v>
      </c>
      <c r="B717">
        <v>0</v>
      </c>
      <c r="C717">
        <v>2</v>
      </c>
      <c r="D717">
        <v>5</v>
      </c>
      <c r="E717">
        <v>4</v>
      </c>
      <c r="F717">
        <v>11.281074384967001</v>
      </c>
      <c r="G717">
        <v>72</v>
      </c>
      <c r="H717">
        <v>94</v>
      </c>
      <c r="I717">
        <v>43</v>
      </c>
      <c r="J717">
        <v>3</v>
      </c>
      <c r="K717">
        <v>0</v>
      </c>
      <c r="L717" s="2">
        <f t="shared" si="66"/>
        <v>45292</v>
      </c>
      <c r="M717" s="2">
        <f t="shared" ca="1" si="67"/>
        <v>45311</v>
      </c>
      <c r="N717" s="2" t="str">
        <f t="shared" ca="1" si="68"/>
        <v>N/A</v>
      </c>
      <c r="O717" s="3">
        <f t="shared" ca="1" si="69"/>
        <v>19</v>
      </c>
      <c r="P717" s="3" t="str">
        <f t="shared" ca="1" si="70"/>
        <v>N/A</v>
      </c>
      <c r="Q717" s="1" t="str">
        <f>IF(K717=1,"Joined",IF(H717&gt;=70,"Dropped at Offer",IF(H717&gt;=50,"Dropped at Interview","Dropped at Screening")))</f>
        <v>Dropped at Offer</v>
      </c>
      <c r="R717" s="1" t="str">
        <f t="shared" ca="1" si="71"/>
        <v>Jan-2024</v>
      </c>
    </row>
    <row r="718" spans="1:18">
      <c r="A718">
        <v>45</v>
      </c>
      <c r="B718">
        <v>1</v>
      </c>
      <c r="C718">
        <v>2</v>
      </c>
      <c r="D718">
        <v>12</v>
      </c>
      <c r="E718">
        <v>4</v>
      </c>
      <c r="F718">
        <v>31.684159386437099</v>
      </c>
      <c r="G718">
        <v>76</v>
      </c>
      <c r="H718">
        <v>79</v>
      </c>
      <c r="I718">
        <v>19</v>
      </c>
      <c r="J718">
        <v>1</v>
      </c>
      <c r="K718">
        <v>1</v>
      </c>
      <c r="L718" s="2">
        <f t="shared" si="66"/>
        <v>45292</v>
      </c>
      <c r="M718" s="2">
        <f t="shared" ca="1" si="67"/>
        <v>45330</v>
      </c>
      <c r="N718" s="2">
        <f t="shared" ca="1" si="68"/>
        <v>45358</v>
      </c>
      <c r="O718" s="3">
        <f t="shared" ca="1" si="69"/>
        <v>38</v>
      </c>
      <c r="P718" s="3">
        <f t="shared" ca="1" si="70"/>
        <v>28</v>
      </c>
      <c r="Q718" s="1" t="str">
        <f>IF(K718=1,"Joined",IF(H718&gt;=70,"Dropped at Offer",IF(H718&gt;=50,"Dropped at Interview","Dropped at Screening")))</f>
        <v>Joined</v>
      </c>
      <c r="R718" s="1" t="str">
        <f t="shared" ca="1" si="71"/>
        <v>Feb-2024</v>
      </c>
    </row>
    <row r="719" spans="1:18">
      <c r="A719">
        <v>27</v>
      </c>
      <c r="B719">
        <v>0</v>
      </c>
      <c r="C719">
        <v>3</v>
      </c>
      <c r="D719">
        <v>4</v>
      </c>
      <c r="E719">
        <v>3</v>
      </c>
      <c r="F719">
        <v>12.1543167264487</v>
      </c>
      <c r="G719">
        <v>47</v>
      </c>
      <c r="H719">
        <v>55</v>
      </c>
      <c r="I719">
        <v>35</v>
      </c>
      <c r="J719">
        <v>2</v>
      </c>
      <c r="K719">
        <v>0</v>
      </c>
      <c r="L719" s="2">
        <f t="shared" si="66"/>
        <v>45292</v>
      </c>
      <c r="M719" s="2">
        <f t="shared" ca="1" si="67"/>
        <v>45323</v>
      </c>
      <c r="N719" s="2" t="str">
        <f t="shared" ca="1" si="68"/>
        <v>N/A</v>
      </c>
      <c r="O719" s="3">
        <f t="shared" ca="1" si="69"/>
        <v>31</v>
      </c>
      <c r="P719" s="3" t="str">
        <f t="shared" ca="1" si="70"/>
        <v>N/A</v>
      </c>
      <c r="Q719" s="1" t="str">
        <f>IF(K719=1,"Joined",IF(H719&gt;=70,"Dropped at Offer",IF(H719&gt;=50,"Dropped at Interview","Dropped at Screening")))</f>
        <v>Dropped at Interview</v>
      </c>
      <c r="R719" s="1" t="str">
        <f t="shared" ca="1" si="71"/>
        <v>Feb-2024</v>
      </c>
    </row>
    <row r="720" spans="1:18">
      <c r="A720">
        <v>48</v>
      </c>
      <c r="B720">
        <v>0</v>
      </c>
      <c r="C720">
        <v>2</v>
      </c>
      <c r="D720">
        <v>15</v>
      </c>
      <c r="E720">
        <v>1</v>
      </c>
      <c r="F720">
        <v>28.283433248431699</v>
      </c>
      <c r="G720">
        <v>25</v>
      </c>
      <c r="H720">
        <v>43</v>
      </c>
      <c r="I720">
        <v>6</v>
      </c>
      <c r="J720">
        <v>2</v>
      </c>
      <c r="K720">
        <v>0</v>
      </c>
      <c r="L720" s="2">
        <f t="shared" si="66"/>
        <v>45292</v>
      </c>
      <c r="M720" s="2">
        <f t="shared" ca="1" si="67"/>
        <v>45317</v>
      </c>
      <c r="N720" s="2" t="str">
        <f t="shared" ca="1" si="68"/>
        <v>N/A</v>
      </c>
      <c r="O720" s="3">
        <f t="shared" ca="1" si="69"/>
        <v>25</v>
      </c>
      <c r="P720" s="3" t="str">
        <f t="shared" ca="1" si="70"/>
        <v>N/A</v>
      </c>
      <c r="Q720" s="1" t="str">
        <f>IF(K720=1,"Joined",IF(H720&gt;=70,"Dropped at Offer",IF(H720&gt;=50,"Dropped at Interview","Dropped at Screening")))</f>
        <v>Dropped at Screening</v>
      </c>
      <c r="R720" s="1" t="str">
        <f t="shared" ca="1" si="71"/>
        <v>Jan-2024</v>
      </c>
    </row>
    <row r="721" spans="1:18">
      <c r="A721">
        <v>45</v>
      </c>
      <c r="B721">
        <v>0</v>
      </c>
      <c r="C721">
        <v>2</v>
      </c>
      <c r="D721">
        <v>2</v>
      </c>
      <c r="E721">
        <v>1</v>
      </c>
      <c r="F721">
        <v>35.198756495757003</v>
      </c>
      <c r="G721">
        <v>76</v>
      </c>
      <c r="H721">
        <v>56</v>
      </c>
      <c r="I721">
        <v>31</v>
      </c>
      <c r="J721">
        <v>3</v>
      </c>
      <c r="K721">
        <v>0</v>
      </c>
      <c r="L721" s="2">
        <f t="shared" si="66"/>
        <v>45292</v>
      </c>
      <c r="M721" s="2">
        <f t="shared" ca="1" si="67"/>
        <v>45336</v>
      </c>
      <c r="N721" s="2" t="str">
        <f t="shared" ca="1" si="68"/>
        <v>N/A</v>
      </c>
      <c r="O721" s="3">
        <f t="shared" ca="1" si="69"/>
        <v>44</v>
      </c>
      <c r="P721" s="3" t="str">
        <f t="shared" ca="1" si="70"/>
        <v>N/A</v>
      </c>
      <c r="Q721" s="1" t="str">
        <f>IF(K721=1,"Joined",IF(H721&gt;=70,"Dropped at Offer",IF(H721&gt;=50,"Dropped at Interview","Dropped at Screening")))</f>
        <v>Dropped at Interview</v>
      </c>
      <c r="R721" s="1" t="str">
        <f t="shared" ca="1" si="71"/>
        <v>Feb-2024</v>
      </c>
    </row>
    <row r="722" spans="1:18">
      <c r="A722">
        <v>29</v>
      </c>
      <c r="B722">
        <v>1</v>
      </c>
      <c r="C722">
        <v>2</v>
      </c>
      <c r="D722">
        <v>14</v>
      </c>
      <c r="E722">
        <v>2</v>
      </c>
      <c r="F722">
        <v>10.5113965410068</v>
      </c>
      <c r="G722">
        <v>38</v>
      </c>
      <c r="H722">
        <v>5</v>
      </c>
      <c r="I722">
        <v>66</v>
      </c>
      <c r="J722">
        <v>2</v>
      </c>
      <c r="K722">
        <v>0</v>
      </c>
      <c r="L722" s="2">
        <f t="shared" si="66"/>
        <v>45292</v>
      </c>
      <c r="M722" s="2">
        <f t="shared" ca="1" si="67"/>
        <v>45316</v>
      </c>
      <c r="N722" s="2" t="str">
        <f t="shared" ca="1" si="68"/>
        <v>N/A</v>
      </c>
      <c r="O722" s="3">
        <f t="shared" ca="1" si="69"/>
        <v>24</v>
      </c>
      <c r="P722" s="3" t="str">
        <f t="shared" ca="1" si="70"/>
        <v>N/A</v>
      </c>
      <c r="Q722" s="1" t="str">
        <f>IF(K722=1,"Joined",IF(H722&gt;=70,"Dropped at Offer",IF(H722&gt;=50,"Dropped at Interview","Dropped at Screening")))</f>
        <v>Dropped at Screening</v>
      </c>
      <c r="R722" s="1" t="str">
        <f t="shared" ca="1" si="71"/>
        <v>Jan-2024</v>
      </c>
    </row>
    <row r="723" spans="1:18">
      <c r="A723">
        <v>45</v>
      </c>
      <c r="B723">
        <v>1</v>
      </c>
      <c r="C723">
        <v>2</v>
      </c>
      <c r="D723">
        <v>4</v>
      </c>
      <c r="E723">
        <v>5</v>
      </c>
      <c r="F723">
        <v>27.0442891350339</v>
      </c>
      <c r="G723">
        <v>91</v>
      </c>
      <c r="H723">
        <v>91</v>
      </c>
      <c r="I723">
        <v>38</v>
      </c>
      <c r="J723">
        <v>3</v>
      </c>
      <c r="K723">
        <v>0</v>
      </c>
      <c r="L723" s="2">
        <f t="shared" si="66"/>
        <v>45292</v>
      </c>
      <c r="M723" s="2">
        <f t="shared" ca="1" si="67"/>
        <v>45310</v>
      </c>
      <c r="N723" s="2" t="str">
        <f t="shared" ca="1" si="68"/>
        <v>N/A</v>
      </c>
      <c r="O723" s="3">
        <f t="shared" ca="1" si="69"/>
        <v>18</v>
      </c>
      <c r="P723" s="3" t="str">
        <f t="shared" ca="1" si="70"/>
        <v>N/A</v>
      </c>
      <c r="Q723" s="1" t="str">
        <f>IF(K723=1,"Joined",IF(H723&gt;=70,"Dropped at Offer",IF(H723&gt;=50,"Dropped at Interview","Dropped at Screening")))</f>
        <v>Dropped at Offer</v>
      </c>
      <c r="R723" s="1" t="str">
        <f t="shared" ca="1" si="71"/>
        <v>Jan-2024</v>
      </c>
    </row>
    <row r="724" spans="1:18">
      <c r="A724">
        <v>49</v>
      </c>
      <c r="B724">
        <v>0</v>
      </c>
      <c r="C724">
        <v>2</v>
      </c>
      <c r="D724">
        <v>11</v>
      </c>
      <c r="E724">
        <v>5</v>
      </c>
      <c r="F724">
        <v>24.4529872195059</v>
      </c>
      <c r="G724">
        <v>57</v>
      </c>
      <c r="H724">
        <v>31</v>
      </c>
      <c r="I724">
        <v>92</v>
      </c>
      <c r="J724">
        <v>1</v>
      </c>
      <c r="K724">
        <v>1</v>
      </c>
      <c r="L724" s="2">
        <f t="shared" si="66"/>
        <v>45292</v>
      </c>
      <c r="M724" s="2">
        <f t="shared" ca="1" si="67"/>
        <v>45328</v>
      </c>
      <c r="N724" s="2">
        <f t="shared" ca="1" si="68"/>
        <v>45343</v>
      </c>
      <c r="O724" s="3">
        <f t="shared" ca="1" si="69"/>
        <v>36</v>
      </c>
      <c r="P724" s="3">
        <f t="shared" ca="1" si="70"/>
        <v>15</v>
      </c>
      <c r="Q724" s="1" t="str">
        <f>IF(K724=1,"Joined",IF(H724&gt;=70,"Dropped at Offer",IF(H724&gt;=50,"Dropped at Interview","Dropped at Screening")))</f>
        <v>Joined</v>
      </c>
      <c r="R724" s="1" t="str">
        <f t="shared" ca="1" si="71"/>
        <v>Feb-2024</v>
      </c>
    </row>
    <row r="725" spans="1:18">
      <c r="A725">
        <v>21</v>
      </c>
      <c r="B725">
        <v>1</v>
      </c>
      <c r="C725">
        <v>3</v>
      </c>
      <c r="D725">
        <v>7</v>
      </c>
      <c r="E725">
        <v>5</v>
      </c>
      <c r="F725">
        <v>4.5518710701670599</v>
      </c>
      <c r="G725">
        <v>18</v>
      </c>
      <c r="H725">
        <v>73</v>
      </c>
      <c r="I725">
        <v>23</v>
      </c>
      <c r="J725">
        <v>1</v>
      </c>
      <c r="K725">
        <v>1</v>
      </c>
      <c r="L725" s="2">
        <f t="shared" si="66"/>
        <v>45292</v>
      </c>
      <c r="M725" s="2">
        <f t="shared" ca="1" si="67"/>
        <v>45314</v>
      </c>
      <c r="N725" s="2">
        <f t="shared" ca="1" si="68"/>
        <v>45334</v>
      </c>
      <c r="O725" s="3">
        <f t="shared" ca="1" si="69"/>
        <v>22</v>
      </c>
      <c r="P725" s="3">
        <f t="shared" ca="1" si="70"/>
        <v>20</v>
      </c>
      <c r="Q725" s="1" t="str">
        <f>IF(K725=1,"Joined",IF(H725&gt;=70,"Dropped at Offer",IF(H725&gt;=50,"Dropped at Interview","Dropped at Screening")))</f>
        <v>Joined</v>
      </c>
      <c r="R725" s="1" t="str">
        <f t="shared" ca="1" si="71"/>
        <v>Jan-2024</v>
      </c>
    </row>
    <row r="726" spans="1:18">
      <c r="A726">
        <v>38</v>
      </c>
      <c r="B726">
        <v>1</v>
      </c>
      <c r="C726">
        <v>2</v>
      </c>
      <c r="D726">
        <v>13</v>
      </c>
      <c r="E726">
        <v>2</v>
      </c>
      <c r="F726">
        <v>41.915390883765099</v>
      </c>
      <c r="G726">
        <v>87</v>
      </c>
      <c r="H726">
        <v>17</v>
      </c>
      <c r="I726">
        <v>85</v>
      </c>
      <c r="J726">
        <v>2</v>
      </c>
      <c r="K726">
        <v>0</v>
      </c>
      <c r="L726" s="2">
        <f t="shared" si="66"/>
        <v>45292</v>
      </c>
      <c r="M726" s="2">
        <f t="shared" ca="1" si="67"/>
        <v>45325</v>
      </c>
      <c r="N726" s="2" t="str">
        <f t="shared" ca="1" si="68"/>
        <v>N/A</v>
      </c>
      <c r="O726" s="3">
        <f t="shared" ca="1" si="69"/>
        <v>33</v>
      </c>
      <c r="P726" s="3" t="str">
        <f t="shared" ca="1" si="70"/>
        <v>N/A</v>
      </c>
      <c r="Q726" s="1" t="str">
        <f>IF(K726=1,"Joined",IF(H726&gt;=70,"Dropped at Offer",IF(H726&gt;=50,"Dropped at Interview","Dropped at Screening")))</f>
        <v>Dropped at Screening</v>
      </c>
      <c r="R726" s="1" t="str">
        <f t="shared" ca="1" si="71"/>
        <v>Feb-2024</v>
      </c>
    </row>
    <row r="727" spans="1:18">
      <c r="A727">
        <v>28</v>
      </c>
      <c r="B727">
        <v>0</v>
      </c>
      <c r="C727">
        <v>1</v>
      </c>
      <c r="D727">
        <v>1</v>
      </c>
      <c r="E727">
        <v>5</v>
      </c>
      <c r="F727">
        <v>17.784120032141999</v>
      </c>
      <c r="G727">
        <v>82</v>
      </c>
      <c r="H727">
        <v>67</v>
      </c>
      <c r="I727">
        <v>69</v>
      </c>
      <c r="J727">
        <v>2</v>
      </c>
      <c r="K727">
        <v>0</v>
      </c>
      <c r="L727" s="2">
        <f t="shared" si="66"/>
        <v>45292</v>
      </c>
      <c r="M727" s="2">
        <f t="shared" ca="1" si="67"/>
        <v>45330</v>
      </c>
      <c r="N727" s="2" t="str">
        <f t="shared" ca="1" si="68"/>
        <v>N/A</v>
      </c>
      <c r="O727" s="3">
        <f t="shared" ca="1" si="69"/>
        <v>38</v>
      </c>
      <c r="P727" s="3" t="str">
        <f t="shared" ca="1" si="70"/>
        <v>N/A</v>
      </c>
      <c r="Q727" s="1" t="str">
        <f>IF(K727=1,"Joined",IF(H727&gt;=70,"Dropped at Offer",IF(H727&gt;=50,"Dropped at Interview","Dropped at Screening")))</f>
        <v>Dropped at Interview</v>
      </c>
      <c r="R727" s="1" t="str">
        <f t="shared" ca="1" si="71"/>
        <v>Feb-2024</v>
      </c>
    </row>
    <row r="728" spans="1:18">
      <c r="A728">
        <v>26</v>
      </c>
      <c r="B728">
        <v>0</v>
      </c>
      <c r="C728">
        <v>3</v>
      </c>
      <c r="D728">
        <v>15</v>
      </c>
      <c r="E728">
        <v>3</v>
      </c>
      <c r="F728">
        <v>29.729109877593899</v>
      </c>
      <c r="G728">
        <v>76</v>
      </c>
      <c r="H728">
        <v>72</v>
      </c>
      <c r="I728">
        <v>87</v>
      </c>
      <c r="J728">
        <v>1</v>
      </c>
      <c r="K728">
        <v>1</v>
      </c>
      <c r="L728" s="2">
        <f t="shared" si="66"/>
        <v>45292</v>
      </c>
      <c r="M728" s="2">
        <f t="shared" ca="1" si="67"/>
        <v>45331</v>
      </c>
      <c r="N728" s="2">
        <f t="shared" ca="1" si="68"/>
        <v>45352</v>
      </c>
      <c r="O728" s="3">
        <f t="shared" ca="1" si="69"/>
        <v>39</v>
      </c>
      <c r="P728" s="3">
        <f t="shared" ca="1" si="70"/>
        <v>21</v>
      </c>
      <c r="Q728" s="1" t="str">
        <f>IF(K728=1,"Joined",IF(H728&gt;=70,"Dropped at Offer",IF(H728&gt;=50,"Dropped at Interview","Dropped at Screening")))</f>
        <v>Joined</v>
      </c>
      <c r="R728" s="1" t="str">
        <f t="shared" ca="1" si="71"/>
        <v>Feb-2024</v>
      </c>
    </row>
    <row r="729" spans="1:18">
      <c r="A729">
        <v>23</v>
      </c>
      <c r="B729">
        <v>1</v>
      </c>
      <c r="C729">
        <v>1</v>
      </c>
      <c r="D729">
        <v>5</v>
      </c>
      <c r="E729">
        <v>2</v>
      </c>
      <c r="F729">
        <v>26.7392117466567</v>
      </c>
      <c r="G729">
        <v>76</v>
      </c>
      <c r="H729">
        <v>6</v>
      </c>
      <c r="I729">
        <v>86</v>
      </c>
      <c r="J729">
        <v>2</v>
      </c>
      <c r="K729">
        <v>0</v>
      </c>
      <c r="L729" s="2">
        <f t="shared" si="66"/>
        <v>45292</v>
      </c>
      <c r="M729" s="2">
        <f t="shared" ca="1" si="67"/>
        <v>45333</v>
      </c>
      <c r="N729" s="2" t="str">
        <f t="shared" ca="1" si="68"/>
        <v>N/A</v>
      </c>
      <c r="O729" s="3">
        <f t="shared" ca="1" si="69"/>
        <v>41</v>
      </c>
      <c r="P729" s="3" t="str">
        <f t="shared" ca="1" si="70"/>
        <v>N/A</v>
      </c>
      <c r="Q729" s="1" t="str">
        <f>IF(K729=1,"Joined",IF(H729&gt;=70,"Dropped at Offer",IF(H729&gt;=50,"Dropped at Interview","Dropped at Screening")))</f>
        <v>Dropped at Screening</v>
      </c>
      <c r="R729" s="1" t="str">
        <f t="shared" ca="1" si="71"/>
        <v>Feb-2024</v>
      </c>
    </row>
    <row r="730" spans="1:18">
      <c r="A730">
        <v>45</v>
      </c>
      <c r="B730">
        <v>0</v>
      </c>
      <c r="C730">
        <v>4</v>
      </c>
      <c r="D730">
        <v>8</v>
      </c>
      <c r="E730">
        <v>3</v>
      </c>
      <c r="F730">
        <v>26.663025228522098</v>
      </c>
      <c r="G730">
        <v>57</v>
      </c>
      <c r="H730">
        <v>7</v>
      </c>
      <c r="I730">
        <v>53</v>
      </c>
      <c r="J730">
        <v>1</v>
      </c>
      <c r="K730">
        <v>1</v>
      </c>
      <c r="L730" s="2">
        <f t="shared" si="66"/>
        <v>45292</v>
      </c>
      <c r="M730" s="2">
        <f t="shared" ca="1" si="67"/>
        <v>45329</v>
      </c>
      <c r="N730" s="2">
        <f t="shared" ca="1" si="68"/>
        <v>45355</v>
      </c>
      <c r="O730" s="3">
        <f t="shared" ca="1" si="69"/>
        <v>37</v>
      </c>
      <c r="P730" s="3">
        <f t="shared" ca="1" si="70"/>
        <v>26</v>
      </c>
      <c r="Q730" s="1" t="str">
        <f>IF(K730=1,"Joined",IF(H730&gt;=70,"Dropped at Offer",IF(H730&gt;=50,"Dropped at Interview","Dropped at Screening")))</f>
        <v>Joined</v>
      </c>
      <c r="R730" s="1" t="str">
        <f t="shared" ca="1" si="71"/>
        <v>Feb-2024</v>
      </c>
    </row>
    <row r="731" spans="1:18">
      <c r="A731">
        <v>40</v>
      </c>
      <c r="B731">
        <v>1</v>
      </c>
      <c r="C731">
        <v>1</v>
      </c>
      <c r="D731">
        <v>7</v>
      </c>
      <c r="E731">
        <v>2</v>
      </c>
      <c r="F731">
        <v>6.3611197104243704</v>
      </c>
      <c r="G731">
        <v>27</v>
      </c>
      <c r="H731">
        <v>63</v>
      </c>
      <c r="I731">
        <v>37</v>
      </c>
      <c r="J731">
        <v>2</v>
      </c>
      <c r="K731">
        <v>0</v>
      </c>
      <c r="L731" s="2">
        <f t="shared" si="66"/>
        <v>45292</v>
      </c>
      <c r="M731" s="2">
        <f t="shared" ca="1" si="67"/>
        <v>45308</v>
      </c>
      <c r="N731" s="2" t="str">
        <f t="shared" ca="1" si="68"/>
        <v>N/A</v>
      </c>
      <c r="O731" s="3">
        <f t="shared" ca="1" si="69"/>
        <v>16</v>
      </c>
      <c r="P731" s="3" t="str">
        <f t="shared" ca="1" si="70"/>
        <v>N/A</v>
      </c>
      <c r="Q731" s="1" t="str">
        <f>IF(K731=1,"Joined",IF(H731&gt;=70,"Dropped at Offer",IF(H731&gt;=50,"Dropped at Interview","Dropped at Screening")))</f>
        <v>Dropped at Interview</v>
      </c>
      <c r="R731" s="1" t="str">
        <f t="shared" ca="1" si="71"/>
        <v>Jan-2024</v>
      </c>
    </row>
    <row r="732" spans="1:18">
      <c r="A732">
        <v>37</v>
      </c>
      <c r="B732">
        <v>1</v>
      </c>
      <c r="C732">
        <v>2</v>
      </c>
      <c r="D732">
        <v>13</v>
      </c>
      <c r="E732">
        <v>5</v>
      </c>
      <c r="F732">
        <v>22.174100462466601</v>
      </c>
      <c r="G732">
        <v>65</v>
      </c>
      <c r="H732">
        <v>6</v>
      </c>
      <c r="I732">
        <v>73</v>
      </c>
      <c r="J732">
        <v>3</v>
      </c>
      <c r="K732">
        <v>0</v>
      </c>
      <c r="L732" s="2">
        <f t="shared" si="66"/>
        <v>45292</v>
      </c>
      <c r="M732" s="2">
        <f t="shared" ca="1" si="67"/>
        <v>45309</v>
      </c>
      <c r="N732" s="2" t="str">
        <f t="shared" ca="1" si="68"/>
        <v>N/A</v>
      </c>
      <c r="O732" s="3">
        <f t="shared" ca="1" si="69"/>
        <v>17</v>
      </c>
      <c r="P732" s="3" t="str">
        <f t="shared" ca="1" si="70"/>
        <v>N/A</v>
      </c>
      <c r="Q732" s="1" t="str">
        <f>IF(K732=1,"Joined",IF(H732&gt;=70,"Dropped at Offer",IF(H732&gt;=50,"Dropped at Interview","Dropped at Screening")))</f>
        <v>Dropped at Screening</v>
      </c>
      <c r="R732" s="1" t="str">
        <f t="shared" ca="1" si="71"/>
        <v>Jan-2024</v>
      </c>
    </row>
    <row r="733" spans="1:18">
      <c r="A733">
        <v>32</v>
      </c>
      <c r="B733">
        <v>1</v>
      </c>
      <c r="C733">
        <v>1</v>
      </c>
      <c r="D733">
        <v>10</v>
      </c>
      <c r="E733">
        <v>3</v>
      </c>
      <c r="F733">
        <v>23.6183379603285</v>
      </c>
      <c r="G733">
        <v>9</v>
      </c>
      <c r="H733">
        <v>40</v>
      </c>
      <c r="I733">
        <v>79</v>
      </c>
      <c r="J733">
        <v>3</v>
      </c>
      <c r="K733">
        <v>0</v>
      </c>
      <c r="L733" s="2">
        <f t="shared" si="66"/>
        <v>45292</v>
      </c>
      <c r="M733" s="2">
        <f t="shared" ca="1" si="67"/>
        <v>45318</v>
      </c>
      <c r="N733" s="2" t="str">
        <f t="shared" ca="1" si="68"/>
        <v>N/A</v>
      </c>
      <c r="O733" s="3">
        <f t="shared" ca="1" si="69"/>
        <v>26</v>
      </c>
      <c r="P733" s="3" t="str">
        <f t="shared" ca="1" si="70"/>
        <v>N/A</v>
      </c>
      <c r="Q733" s="1" t="str">
        <f>IF(K733=1,"Joined",IF(H733&gt;=70,"Dropped at Offer",IF(H733&gt;=50,"Dropped at Interview","Dropped at Screening")))</f>
        <v>Dropped at Screening</v>
      </c>
      <c r="R733" s="1" t="str">
        <f t="shared" ca="1" si="71"/>
        <v>Jan-2024</v>
      </c>
    </row>
    <row r="734" spans="1:18">
      <c r="A734">
        <v>30</v>
      </c>
      <c r="B734">
        <v>1</v>
      </c>
      <c r="C734">
        <v>4</v>
      </c>
      <c r="D734">
        <v>7</v>
      </c>
      <c r="E734">
        <v>3</v>
      </c>
      <c r="F734">
        <v>37.6821420182224</v>
      </c>
      <c r="G734">
        <v>85</v>
      </c>
      <c r="H734">
        <v>39</v>
      </c>
      <c r="I734">
        <v>74</v>
      </c>
      <c r="J734">
        <v>2</v>
      </c>
      <c r="K734">
        <v>1</v>
      </c>
      <c r="L734" s="2">
        <f t="shared" si="66"/>
        <v>45292</v>
      </c>
      <c r="M734" s="2">
        <f t="shared" ca="1" si="67"/>
        <v>45308</v>
      </c>
      <c r="N734" s="2">
        <f t="shared" ca="1" si="68"/>
        <v>45329</v>
      </c>
      <c r="O734" s="3">
        <f t="shared" ca="1" si="69"/>
        <v>16</v>
      </c>
      <c r="P734" s="3">
        <f t="shared" ca="1" si="70"/>
        <v>21</v>
      </c>
      <c r="Q734" s="1" t="str">
        <f>IF(K734=1,"Joined",IF(H734&gt;=70,"Dropped at Offer",IF(H734&gt;=50,"Dropped at Interview","Dropped at Screening")))</f>
        <v>Joined</v>
      </c>
      <c r="R734" s="1" t="str">
        <f t="shared" ca="1" si="71"/>
        <v>Jan-2024</v>
      </c>
    </row>
    <row r="735" spans="1:18">
      <c r="A735">
        <v>48</v>
      </c>
      <c r="B735">
        <v>0</v>
      </c>
      <c r="C735">
        <v>2</v>
      </c>
      <c r="D735">
        <v>7</v>
      </c>
      <c r="E735">
        <v>3</v>
      </c>
      <c r="F735">
        <v>43.000941596034899</v>
      </c>
      <c r="G735">
        <v>76</v>
      </c>
      <c r="H735">
        <v>2</v>
      </c>
      <c r="I735">
        <v>31</v>
      </c>
      <c r="J735">
        <v>2</v>
      </c>
      <c r="K735">
        <v>0</v>
      </c>
      <c r="L735" s="2">
        <f t="shared" si="66"/>
        <v>45292</v>
      </c>
      <c r="M735" s="2">
        <f t="shared" ca="1" si="67"/>
        <v>45333</v>
      </c>
      <c r="N735" s="2" t="str">
        <f t="shared" ca="1" si="68"/>
        <v>N/A</v>
      </c>
      <c r="O735" s="3">
        <f t="shared" ca="1" si="69"/>
        <v>41</v>
      </c>
      <c r="P735" s="3" t="str">
        <f t="shared" ca="1" si="70"/>
        <v>N/A</v>
      </c>
      <c r="Q735" s="1" t="str">
        <f>IF(K735=1,"Joined",IF(H735&gt;=70,"Dropped at Offer",IF(H735&gt;=50,"Dropped at Interview","Dropped at Screening")))</f>
        <v>Dropped at Screening</v>
      </c>
      <c r="R735" s="1" t="str">
        <f t="shared" ca="1" si="71"/>
        <v>Feb-2024</v>
      </c>
    </row>
    <row r="736" spans="1:18">
      <c r="A736">
        <v>43</v>
      </c>
      <c r="B736">
        <v>0</v>
      </c>
      <c r="C736">
        <v>1</v>
      </c>
      <c r="D736">
        <v>14</v>
      </c>
      <c r="E736">
        <v>2</v>
      </c>
      <c r="F736">
        <v>28.2491139050009</v>
      </c>
      <c r="G736">
        <v>57</v>
      </c>
      <c r="H736">
        <v>16</v>
      </c>
      <c r="I736">
        <v>44</v>
      </c>
      <c r="J736">
        <v>2</v>
      </c>
      <c r="K736">
        <v>0</v>
      </c>
      <c r="L736" s="2">
        <f t="shared" si="66"/>
        <v>45292</v>
      </c>
      <c r="M736" s="2">
        <f t="shared" ca="1" si="67"/>
        <v>45317</v>
      </c>
      <c r="N736" s="2" t="str">
        <f t="shared" ca="1" si="68"/>
        <v>N/A</v>
      </c>
      <c r="O736" s="3">
        <f t="shared" ca="1" si="69"/>
        <v>25</v>
      </c>
      <c r="P736" s="3" t="str">
        <f t="shared" ca="1" si="70"/>
        <v>N/A</v>
      </c>
      <c r="Q736" s="1" t="str">
        <f>IF(K736=1,"Joined",IF(H736&gt;=70,"Dropped at Offer",IF(H736&gt;=50,"Dropped at Interview","Dropped at Screening")))</f>
        <v>Dropped at Screening</v>
      </c>
      <c r="R736" s="1" t="str">
        <f t="shared" ca="1" si="71"/>
        <v>Jan-2024</v>
      </c>
    </row>
    <row r="737" spans="1:18">
      <c r="A737">
        <v>23</v>
      </c>
      <c r="B737">
        <v>0</v>
      </c>
      <c r="C737">
        <v>2</v>
      </c>
      <c r="D737">
        <v>12</v>
      </c>
      <c r="E737">
        <v>4</v>
      </c>
      <c r="F737">
        <v>5.3391477032495196</v>
      </c>
      <c r="G737">
        <v>72</v>
      </c>
      <c r="H737">
        <v>65</v>
      </c>
      <c r="I737">
        <v>60</v>
      </c>
      <c r="J737">
        <v>1</v>
      </c>
      <c r="K737">
        <v>1</v>
      </c>
      <c r="L737" s="2">
        <f t="shared" si="66"/>
        <v>45292</v>
      </c>
      <c r="M737" s="2">
        <f t="shared" ca="1" si="67"/>
        <v>45326</v>
      </c>
      <c r="N737" s="2">
        <f t="shared" ca="1" si="68"/>
        <v>45349</v>
      </c>
      <c r="O737" s="3">
        <f t="shared" ca="1" si="69"/>
        <v>34</v>
      </c>
      <c r="P737" s="3">
        <f t="shared" ca="1" si="70"/>
        <v>23</v>
      </c>
      <c r="Q737" s="1" t="str">
        <f>IF(K737=1,"Joined",IF(H737&gt;=70,"Dropped at Offer",IF(H737&gt;=50,"Dropped at Interview","Dropped at Screening")))</f>
        <v>Joined</v>
      </c>
      <c r="R737" s="1" t="str">
        <f t="shared" ca="1" si="71"/>
        <v>Feb-2024</v>
      </c>
    </row>
    <row r="738" spans="1:18">
      <c r="A738">
        <v>44</v>
      </c>
      <c r="B738">
        <v>0</v>
      </c>
      <c r="C738">
        <v>1</v>
      </c>
      <c r="D738">
        <v>6</v>
      </c>
      <c r="E738">
        <v>5</v>
      </c>
      <c r="F738">
        <v>12.8424735298273</v>
      </c>
      <c r="G738">
        <v>96</v>
      </c>
      <c r="H738">
        <v>78</v>
      </c>
      <c r="I738">
        <v>69</v>
      </c>
      <c r="J738">
        <v>2</v>
      </c>
      <c r="K738">
        <v>1</v>
      </c>
      <c r="L738" s="2">
        <f t="shared" si="66"/>
        <v>45292</v>
      </c>
      <c r="M738" s="2">
        <f t="shared" ca="1" si="67"/>
        <v>45329</v>
      </c>
      <c r="N738" s="2">
        <f t="shared" ca="1" si="68"/>
        <v>45348</v>
      </c>
      <c r="O738" s="3">
        <f t="shared" ca="1" si="69"/>
        <v>37</v>
      </c>
      <c r="P738" s="3">
        <f t="shared" ca="1" si="70"/>
        <v>19</v>
      </c>
      <c r="Q738" s="1" t="str">
        <f>IF(K738=1,"Joined",IF(H738&gt;=70,"Dropped at Offer",IF(H738&gt;=50,"Dropped at Interview","Dropped at Screening")))</f>
        <v>Joined</v>
      </c>
      <c r="R738" s="1" t="str">
        <f t="shared" ca="1" si="71"/>
        <v>Feb-2024</v>
      </c>
    </row>
    <row r="739" spans="1:18">
      <c r="A739">
        <v>40</v>
      </c>
      <c r="B739">
        <v>1</v>
      </c>
      <c r="C739">
        <v>1</v>
      </c>
      <c r="D739">
        <v>7</v>
      </c>
      <c r="E739">
        <v>3</v>
      </c>
      <c r="F739">
        <v>9.2467013426365501</v>
      </c>
      <c r="G739">
        <v>13</v>
      </c>
      <c r="H739">
        <v>92</v>
      </c>
      <c r="I739">
        <v>87</v>
      </c>
      <c r="J739">
        <v>1</v>
      </c>
      <c r="K739">
        <v>1</v>
      </c>
      <c r="L739" s="2">
        <f t="shared" si="66"/>
        <v>45292</v>
      </c>
      <c r="M739" s="2">
        <f t="shared" ca="1" si="67"/>
        <v>45337</v>
      </c>
      <c r="N739" s="2">
        <f t="shared" ca="1" si="68"/>
        <v>45345</v>
      </c>
      <c r="O739" s="3">
        <f t="shared" ca="1" si="69"/>
        <v>45</v>
      </c>
      <c r="P739" s="3">
        <f t="shared" ca="1" si="70"/>
        <v>8</v>
      </c>
      <c r="Q739" s="1" t="str">
        <f>IF(K739=1,"Joined",IF(H739&gt;=70,"Dropped at Offer",IF(H739&gt;=50,"Dropped at Interview","Dropped at Screening")))</f>
        <v>Joined</v>
      </c>
      <c r="R739" s="1" t="str">
        <f t="shared" ca="1" si="71"/>
        <v>Feb-2024</v>
      </c>
    </row>
    <row r="740" spans="1:18">
      <c r="A740">
        <v>48</v>
      </c>
      <c r="B740">
        <v>1</v>
      </c>
      <c r="C740">
        <v>4</v>
      </c>
      <c r="D740">
        <v>12</v>
      </c>
      <c r="E740">
        <v>4</v>
      </c>
      <c r="F740">
        <v>7.2307531594562304</v>
      </c>
      <c r="G740">
        <v>83</v>
      </c>
      <c r="H740">
        <v>51</v>
      </c>
      <c r="I740">
        <v>96</v>
      </c>
      <c r="J740">
        <v>3</v>
      </c>
      <c r="K740">
        <v>1</v>
      </c>
      <c r="L740" s="2">
        <f t="shared" si="66"/>
        <v>45292</v>
      </c>
      <c r="M740" s="2">
        <f t="shared" ca="1" si="67"/>
        <v>45307</v>
      </c>
      <c r="N740" s="2">
        <f t="shared" ca="1" si="68"/>
        <v>45327</v>
      </c>
      <c r="O740" s="3">
        <f t="shared" ca="1" si="69"/>
        <v>15</v>
      </c>
      <c r="P740" s="3">
        <f t="shared" ca="1" si="70"/>
        <v>20</v>
      </c>
      <c r="Q740" s="1" t="str">
        <f>IF(K740=1,"Joined",IF(H740&gt;=70,"Dropped at Offer",IF(H740&gt;=50,"Dropped at Interview","Dropped at Screening")))</f>
        <v>Joined</v>
      </c>
      <c r="R740" s="1" t="str">
        <f t="shared" ca="1" si="71"/>
        <v>Jan-2024</v>
      </c>
    </row>
    <row r="741" spans="1:18">
      <c r="A741">
        <v>44</v>
      </c>
      <c r="B741">
        <v>0</v>
      </c>
      <c r="C741">
        <v>2</v>
      </c>
      <c r="D741">
        <v>5</v>
      </c>
      <c r="E741">
        <v>5</v>
      </c>
      <c r="F741">
        <v>19.294964930890298</v>
      </c>
      <c r="G741">
        <v>14</v>
      </c>
      <c r="H741">
        <v>21</v>
      </c>
      <c r="I741">
        <v>52</v>
      </c>
      <c r="J741">
        <v>3</v>
      </c>
      <c r="K741">
        <v>0</v>
      </c>
      <c r="L741" s="2">
        <f t="shared" si="66"/>
        <v>45292</v>
      </c>
      <c r="M741" s="2">
        <f t="shared" ca="1" si="67"/>
        <v>45321</v>
      </c>
      <c r="N741" s="2" t="str">
        <f t="shared" ca="1" si="68"/>
        <v>N/A</v>
      </c>
      <c r="O741" s="3">
        <f t="shared" ca="1" si="69"/>
        <v>29</v>
      </c>
      <c r="P741" s="3" t="str">
        <f t="shared" ca="1" si="70"/>
        <v>N/A</v>
      </c>
      <c r="Q741" s="1" t="str">
        <f>IF(K741=1,"Joined",IF(H741&gt;=70,"Dropped at Offer",IF(H741&gt;=50,"Dropped at Interview","Dropped at Screening")))</f>
        <v>Dropped at Screening</v>
      </c>
      <c r="R741" s="1" t="str">
        <f t="shared" ca="1" si="71"/>
        <v>Jan-2024</v>
      </c>
    </row>
    <row r="742" spans="1:18">
      <c r="A742">
        <v>23</v>
      </c>
      <c r="B742">
        <v>1</v>
      </c>
      <c r="C742">
        <v>3</v>
      </c>
      <c r="D742">
        <v>1</v>
      </c>
      <c r="E742">
        <v>5</v>
      </c>
      <c r="F742">
        <v>12.4696751077191</v>
      </c>
      <c r="G742">
        <v>95</v>
      </c>
      <c r="H742">
        <v>3</v>
      </c>
      <c r="I742">
        <v>50</v>
      </c>
      <c r="J742">
        <v>2</v>
      </c>
      <c r="K742">
        <v>0</v>
      </c>
      <c r="L742" s="2">
        <f t="shared" si="66"/>
        <v>45292</v>
      </c>
      <c r="M742" s="2">
        <f t="shared" ca="1" si="67"/>
        <v>45318</v>
      </c>
      <c r="N742" s="2" t="str">
        <f t="shared" ca="1" si="68"/>
        <v>N/A</v>
      </c>
      <c r="O742" s="3">
        <f t="shared" ca="1" si="69"/>
        <v>26</v>
      </c>
      <c r="P742" s="3" t="str">
        <f t="shared" ca="1" si="70"/>
        <v>N/A</v>
      </c>
      <c r="Q742" s="1" t="str">
        <f>IF(K742=1,"Joined",IF(H742&gt;=70,"Dropped at Offer",IF(H742&gt;=50,"Dropped at Interview","Dropped at Screening")))</f>
        <v>Dropped at Screening</v>
      </c>
      <c r="R742" s="1" t="str">
        <f t="shared" ca="1" si="71"/>
        <v>Jan-2024</v>
      </c>
    </row>
    <row r="743" spans="1:18">
      <c r="A743">
        <v>29</v>
      </c>
      <c r="B743">
        <v>1</v>
      </c>
      <c r="C743">
        <v>2</v>
      </c>
      <c r="D743">
        <v>1</v>
      </c>
      <c r="E743">
        <v>3</v>
      </c>
      <c r="F743">
        <v>11.915155590575599</v>
      </c>
      <c r="G743">
        <v>32</v>
      </c>
      <c r="H743">
        <v>5</v>
      </c>
      <c r="I743">
        <v>75</v>
      </c>
      <c r="J743">
        <v>2</v>
      </c>
      <c r="K743">
        <v>0</v>
      </c>
      <c r="L743" s="2">
        <f t="shared" si="66"/>
        <v>45292</v>
      </c>
      <c r="M743" s="2">
        <f t="shared" ca="1" si="67"/>
        <v>45306</v>
      </c>
      <c r="N743" s="2" t="str">
        <f t="shared" ca="1" si="68"/>
        <v>N/A</v>
      </c>
      <c r="O743" s="3">
        <f t="shared" ca="1" si="69"/>
        <v>14</v>
      </c>
      <c r="P743" s="3" t="str">
        <f t="shared" ca="1" si="70"/>
        <v>N/A</v>
      </c>
      <c r="Q743" s="1" t="str">
        <f>IF(K743=1,"Joined",IF(H743&gt;=70,"Dropped at Offer",IF(H743&gt;=50,"Dropped at Interview","Dropped at Screening")))</f>
        <v>Dropped at Screening</v>
      </c>
      <c r="R743" s="1" t="str">
        <f t="shared" ca="1" si="71"/>
        <v>Jan-2024</v>
      </c>
    </row>
    <row r="744" spans="1:18">
      <c r="A744">
        <v>24</v>
      </c>
      <c r="B744">
        <v>1</v>
      </c>
      <c r="C744">
        <v>2</v>
      </c>
      <c r="D744">
        <v>7</v>
      </c>
      <c r="E744">
        <v>3</v>
      </c>
      <c r="F744">
        <v>3.7346587288133799</v>
      </c>
      <c r="G744">
        <v>16</v>
      </c>
      <c r="H744">
        <v>37</v>
      </c>
      <c r="I744">
        <v>55</v>
      </c>
      <c r="J744">
        <v>1</v>
      </c>
      <c r="K744">
        <v>0</v>
      </c>
      <c r="L744" s="2">
        <f t="shared" si="66"/>
        <v>45292</v>
      </c>
      <c r="M744" s="2">
        <f t="shared" ca="1" si="67"/>
        <v>45314</v>
      </c>
      <c r="N744" s="2" t="str">
        <f t="shared" ca="1" si="68"/>
        <v>N/A</v>
      </c>
      <c r="O744" s="3">
        <f t="shared" ca="1" si="69"/>
        <v>22</v>
      </c>
      <c r="P744" s="3" t="str">
        <f t="shared" ca="1" si="70"/>
        <v>N/A</v>
      </c>
      <c r="Q744" s="1" t="str">
        <f>IF(K744=1,"Joined",IF(H744&gt;=70,"Dropped at Offer",IF(H744&gt;=50,"Dropped at Interview","Dropped at Screening")))</f>
        <v>Dropped at Screening</v>
      </c>
      <c r="R744" s="1" t="str">
        <f t="shared" ca="1" si="71"/>
        <v>Jan-2024</v>
      </c>
    </row>
    <row r="745" spans="1:18">
      <c r="A745">
        <v>28</v>
      </c>
      <c r="B745">
        <v>0</v>
      </c>
      <c r="C745">
        <v>1</v>
      </c>
      <c r="D745">
        <v>10</v>
      </c>
      <c r="E745">
        <v>2</v>
      </c>
      <c r="F745">
        <v>1.8835022397716901</v>
      </c>
      <c r="G745">
        <v>23</v>
      </c>
      <c r="H745">
        <v>25</v>
      </c>
      <c r="I745">
        <v>26</v>
      </c>
      <c r="J745">
        <v>2</v>
      </c>
      <c r="K745">
        <v>0</v>
      </c>
      <c r="L745" s="2">
        <f t="shared" si="66"/>
        <v>45292</v>
      </c>
      <c r="M745" s="2">
        <f t="shared" ca="1" si="67"/>
        <v>45333</v>
      </c>
      <c r="N745" s="2" t="str">
        <f t="shared" ca="1" si="68"/>
        <v>N/A</v>
      </c>
      <c r="O745" s="3">
        <f t="shared" ca="1" si="69"/>
        <v>41</v>
      </c>
      <c r="P745" s="3" t="str">
        <f t="shared" ca="1" si="70"/>
        <v>N/A</v>
      </c>
      <c r="Q745" s="1" t="str">
        <f>IF(K745=1,"Joined",IF(H745&gt;=70,"Dropped at Offer",IF(H745&gt;=50,"Dropped at Interview","Dropped at Screening")))</f>
        <v>Dropped at Screening</v>
      </c>
      <c r="R745" s="1" t="str">
        <f t="shared" ca="1" si="71"/>
        <v>Feb-2024</v>
      </c>
    </row>
    <row r="746" spans="1:18">
      <c r="A746">
        <v>43</v>
      </c>
      <c r="B746">
        <v>0</v>
      </c>
      <c r="C746">
        <v>2</v>
      </c>
      <c r="D746">
        <v>0</v>
      </c>
      <c r="E746">
        <v>4</v>
      </c>
      <c r="F746">
        <v>6.1384121324890897</v>
      </c>
      <c r="G746">
        <v>29</v>
      </c>
      <c r="H746">
        <v>10</v>
      </c>
      <c r="I746">
        <v>37</v>
      </c>
      <c r="J746">
        <v>2</v>
      </c>
      <c r="K746">
        <v>0</v>
      </c>
      <c r="L746" s="2">
        <f t="shared" si="66"/>
        <v>45292</v>
      </c>
      <c r="M746" s="2">
        <f t="shared" ca="1" si="67"/>
        <v>45321</v>
      </c>
      <c r="N746" s="2" t="str">
        <f t="shared" ca="1" si="68"/>
        <v>N/A</v>
      </c>
      <c r="O746" s="3">
        <f t="shared" ca="1" si="69"/>
        <v>29</v>
      </c>
      <c r="P746" s="3" t="str">
        <f t="shared" ca="1" si="70"/>
        <v>N/A</v>
      </c>
      <c r="Q746" s="1" t="str">
        <f>IF(K746=1,"Joined",IF(H746&gt;=70,"Dropped at Offer",IF(H746&gt;=50,"Dropped at Interview","Dropped at Screening")))</f>
        <v>Dropped at Screening</v>
      </c>
      <c r="R746" s="1" t="str">
        <f t="shared" ca="1" si="71"/>
        <v>Jan-2024</v>
      </c>
    </row>
    <row r="747" spans="1:18">
      <c r="A747">
        <v>22</v>
      </c>
      <c r="B747">
        <v>0</v>
      </c>
      <c r="C747">
        <v>3</v>
      </c>
      <c r="D747">
        <v>5</v>
      </c>
      <c r="E747">
        <v>4</v>
      </c>
      <c r="F747">
        <v>9.6098739711816492</v>
      </c>
      <c r="G747">
        <v>61</v>
      </c>
      <c r="H747">
        <v>89</v>
      </c>
      <c r="I747">
        <v>61</v>
      </c>
      <c r="J747">
        <v>2</v>
      </c>
      <c r="K747">
        <v>0</v>
      </c>
      <c r="L747" s="2">
        <f t="shared" si="66"/>
        <v>45292</v>
      </c>
      <c r="M747" s="2">
        <f t="shared" ca="1" si="67"/>
        <v>45317</v>
      </c>
      <c r="N747" s="2" t="str">
        <f t="shared" ca="1" si="68"/>
        <v>N/A</v>
      </c>
      <c r="O747" s="3">
        <f t="shared" ca="1" si="69"/>
        <v>25</v>
      </c>
      <c r="P747" s="3" t="str">
        <f t="shared" ca="1" si="70"/>
        <v>N/A</v>
      </c>
      <c r="Q747" s="1" t="str">
        <f>IF(K747=1,"Joined",IF(H747&gt;=70,"Dropped at Offer",IF(H747&gt;=50,"Dropped at Interview","Dropped at Screening")))</f>
        <v>Dropped at Offer</v>
      </c>
      <c r="R747" s="1" t="str">
        <f t="shared" ca="1" si="71"/>
        <v>Jan-2024</v>
      </c>
    </row>
    <row r="748" spans="1:18">
      <c r="A748">
        <v>36</v>
      </c>
      <c r="B748">
        <v>1</v>
      </c>
      <c r="C748">
        <v>4</v>
      </c>
      <c r="D748">
        <v>12</v>
      </c>
      <c r="E748">
        <v>3</v>
      </c>
      <c r="F748">
        <v>22.5491864424101</v>
      </c>
      <c r="G748">
        <v>12</v>
      </c>
      <c r="H748">
        <v>16</v>
      </c>
      <c r="I748">
        <v>17</v>
      </c>
      <c r="J748">
        <v>1</v>
      </c>
      <c r="K748">
        <v>1</v>
      </c>
      <c r="L748" s="2">
        <f t="shared" si="66"/>
        <v>45292</v>
      </c>
      <c r="M748" s="2">
        <f t="shared" ca="1" si="67"/>
        <v>45322</v>
      </c>
      <c r="N748" s="2">
        <f t="shared" ca="1" si="68"/>
        <v>45332</v>
      </c>
      <c r="O748" s="3">
        <f t="shared" ca="1" si="69"/>
        <v>30</v>
      </c>
      <c r="P748" s="3">
        <f t="shared" ca="1" si="70"/>
        <v>10</v>
      </c>
      <c r="Q748" s="1" t="str">
        <f>IF(K748=1,"Joined",IF(H748&gt;=70,"Dropped at Offer",IF(H748&gt;=50,"Dropped at Interview","Dropped at Screening")))</f>
        <v>Joined</v>
      </c>
      <c r="R748" s="1" t="str">
        <f t="shared" ca="1" si="71"/>
        <v>Jan-2024</v>
      </c>
    </row>
    <row r="749" spans="1:18">
      <c r="A749">
        <v>22</v>
      </c>
      <c r="B749">
        <v>0</v>
      </c>
      <c r="C749">
        <v>2</v>
      </c>
      <c r="D749">
        <v>15</v>
      </c>
      <c r="E749">
        <v>5</v>
      </c>
      <c r="F749">
        <v>26.526013064942202</v>
      </c>
      <c r="G749">
        <v>61</v>
      </c>
      <c r="H749">
        <v>87</v>
      </c>
      <c r="I749">
        <v>63</v>
      </c>
      <c r="J749">
        <v>3</v>
      </c>
      <c r="K749">
        <v>0</v>
      </c>
      <c r="L749" s="2">
        <f t="shared" si="66"/>
        <v>45292</v>
      </c>
      <c r="M749" s="2">
        <f t="shared" ca="1" si="67"/>
        <v>45315</v>
      </c>
      <c r="N749" s="2" t="str">
        <f t="shared" ca="1" si="68"/>
        <v>N/A</v>
      </c>
      <c r="O749" s="3">
        <f t="shared" ca="1" si="69"/>
        <v>23</v>
      </c>
      <c r="P749" s="3" t="str">
        <f t="shared" ca="1" si="70"/>
        <v>N/A</v>
      </c>
      <c r="Q749" s="1" t="str">
        <f>IF(K749=1,"Joined",IF(H749&gt;=70,"Dropped at Offer",IF(H749&gt;=50,"Dropped at Interview","Dropped at Screening")))</f>
        <v>Dropped at Offer</v>
      </c>
      <c r="R749" s="1" t="str">
        <f t="shared" ca="1" si="71"/>
        <v>Jan-2024</v>
      </c>
    </row>
    <row r="750" spans="1:18">
      <c r="A750">
        <v>35</v>
      </c>
      <c r="B750">
        <v>0</v>
      </c>
      <c r="C750">
        <v>2</v>
      </c>
      <c r="D750">
        <v>5</v>
      </c>
      <c r="E750">
        <v>3</v>
      </c>
      <c r="F750">
        <v>8.02959590866827</v>
      </c>
      <c r="G750">
        <v>46</v>
      </c>
      <c r="H750">
        <v>91</v>
      </c>
      <c r="I750">
        <v>76</v>
      </c>
      <c r="J750">
        <v>2</v>
      </c>
      <c r="K750">
        <v>0</v>
      </c>
      <c r="L750" s="2">
        <f t="shared" si="66"/>
        <v>45292</v>
      </c>
      <c r="M750" s="2">
        <f t="shared" ca="1" si="67"/>
        <v>45335</v>
      </c>
      <c r="N750" s="2" t="str">
        <f t="shared" ca="1" si="68"/>
        <v>N/A</v>
      </c>
      <c r="O750" s="3">
        <f t="shared" ca="1" si="69"/>
        <v>43</v>
      </c>
      <c r="P750" s="3" t="str">
        <f t="shared" ca="1" si="70"/>
        <v>N/A</v>
      </c>
      <c r="Q750" s="1" t="str">
        <f>IF(K750=1,"Joined",IF(H750&gt;=70,"Dropped at Offer",IF(H750&gt;=50,"Dropped at Interview","Dropped at Screening")))</f>
        <v>Dropped at Offer</v>
      </c>
      <c r="R750" s="1" t="str">
        <f t="shared" ca="1" si="71"/>
        <v>Feb-2024</v>
      </c>
    </row>
    <row r="751" spans="1:18">
      <c r="A751">
        <v>23</v>
      </c>
      <c r="B751">
        <v>0</v>
      </c>
      <c r="C751">
        <v>2</v>
      </c>
      <c r="D751">
        <v>15</v>
      </c>
      <c r="E751">
        <v>5</v>
      </c>
      <c r="F751">
        <v>22.239167076209299</v>
      </c>
      <c r="G751">
        <v>15</v>
      </c>
      <c r="H751">
        <v>98</v>
      </c>
      <c r="I751">
        <v>29</v>
      </c>
      <c r="J751">
        <v>3</v>
      </c>
      <c r="K751">
        <v>0</v>
      </c>
      <c r="L751" s="2">
        <f t="shared" si="66"/>
        <v>45292</v>
      </c>
      <c r="M751" s="2">
        <f t="shared" ca="1" si="67"/>
        <v>45309</v>
      </c>
      <c r="N751" s="2" t="str">
        <f t="shared" ca="1" si="68"/>
        <v>N/A</v>
      </c>
      <c r="O751" s="3">
        <f t="shared" ca="1" si="69"/>
        <v>17</v>
      </c>
      <c r="P751" s="3" t="str">
        <f t="shared" ca="1" si="70"/>
        <v>N/A</v>
      </c>
      <c r="Q751" s="1" t="str">
        <f>IF(K751=1,"Joined",IF(H751&gt;=70,"Dropped at Offer",IF(H751&gt;=50,"Dropped at Interview","Dropped at Screening")))</f>
        <v>Dropped at Offer</v>
      </c>
      <c r="R751" s="1" t="str">
        <f t="shared" ca="1" si="71"/>
        <v>Jan-2024</v>
      </c>
    </row>
    <row r="752" spans="1:18">
      <c r="A752">
        <v>37</v>
      </c>
      <c r="B752">
        <v>0</v>
      </c>
      <c r="C752">
        <v>4</v>
      </c>
      <c r="D752">
        <v>10</v>
      </c>
      <c r="E752">
        <v>5</v>
      </c>
      <c r="F752">
        <v>18.087442116296302</v>
      </c>
      <c r="G752">
        <v>65</v>
      </c>
      <c r="H752">
        <v>30</v>
      </c>
      <c r="I752">
        <v>48</v>
      </c>
      <c r="J752">
        <v>3</v>
      </c>
      <c r="K752">
        <v>0</v>
      </c>
      <c r="L752" s="2">
        <f t="shared" si="66"/>
        <v>45292</v>
      </c>
      <c r="M752" s="2">
        <f t="shared" ca="1" si="67"/>
        <v>45335</v>
      </c>
      <c r="N752" s="2" t="str">
        <f t="shared" ca="1" si="68"/>
        <v>N/A</v>
      </c>
      <c r="O752" s="3">
        <f t="shared" ca="1" si="69"/>
        <v>43</v>
      </c>
      <c r="P752" s="3" t="str">
        <f t="shared" ca="1" si="70"/>
        <v>N/A</v>
      </c>
      <c r="Q752" s="1" t="str">
        <f>IF(K752=1,"Joined",IF(H752&gt;=70,"Dropped at Offer",IF(H752&gt;=50,"Dropped at Interview","Dropped at Screening")))</f>
        <v>Dropped at Screening</v>
      </c>
      <c r="R752" s="1" t="str">
        <f t="shared" ca="1" si="71"/>
        <v>Feb-2024</v>
      </c>
    </row>
    <row r="753" spans="1:18">
      <c r="A753">
        <v>36</v>
      </c>
      <c r="B753">
        <v>0</v>
      </c>
      <c r="C753">
        <v>2</v>
      </c>
      <c r="D753">
        <v>3</v>
      </c>
      <c r="E753">
        <v>3</v>
      </c>
      <c r="F753">
        <v>10.171182174897799</v>
      </c>
      <c r="G753">
        <v>80</v>
      </c>
      <c r="H753">
        <v>76</v>
      </c>
      <c r="I753">
        <v>40</v>
      </c>
      <c r="J753">
        <v>3</v>
      </c>
      <c r="K753">
        <v>0</v>
      </c>
      <c r="L753" s="2">
        <f t="shared" si="66"/>
        <v>45292</v>
      </c>
      <c r="M753" s="2">
        <f t="shared" ca="1" si="67"/>
        <v>45322</v>
      </c>
      <c r="N753" s="2" t="str">
        <f t="shared" ca="1" si="68"/>
        <v>N/A</v>
      </c>
      <c r="O753" s="3">
        <f t="shared" ca="1" si="69"/>
        <v>30</v>
      </c>
      <c r="P753" s="3" t="str">
        <f t="shared" ca="1" si="70"/>
        <v>N/A</v>
      </c>
      <c r="Q753" s="1" t="str">
        <f>IF(K753=1,"Joined",IF(H753&gt;=70,"Dropped at Offer",IF(H753&gt;=50,"Dropped at Interview","Dropped at Screening")))</f>
        <v>Dropped at Offer</v>
      </c>
      <c r="R753" s="1" t="str">
        <f t="shared" ca="1" si="71"/>
        <v>Jan-2024</v>
      </c>
    </row>
    <row r="754" spans="1:18">
      <c r="A754">
        <v>26</v>
      </c>
      <c r="B754">
        <v>0</v>
      </c>
      <c r="C754">
        <v>2</v>
      </c>
      <c r="D754">
        <v>11</v>
      </c>
      <c r="E754">
        <v>1</v>
      </c>
      <c r="F754">
        <v>1.34203740741817</v>
      </c>
      <c r="G754">
        <v>95</v>
      </c>
      <c r="H754">
        <v>34</v>
      </c>
      <c r="I754">
        <v>12</v>
      </c>
      <c r="J754">
        <v>1</v>
      </c>
      <c r="K754">
        <v>1</v>
      </c>
      <c r="L754" s="2">
        <f t="shared" si="66"/>
        <v>45292</v>
      </c>
      <c r="M754" s="2">
        <f t="shared" ca="1" si="67"/>
        <v>45314</v>
      </c>
      <c r="N754" s="2">
        <f t="shared" ca="1" si="68"/>
        <v>45323</v>
      </c>
      <c r="O754" s="3">
        <f t="shared" ca="1" si="69"/>
        <v>22</v>
      </c>
      <c r="P754" s="3">
        <f t="shared" ca="1" si="70"/>
        <v>9</v>
      </c>
      <c r="Q754" s="1" t="str">
        <f>IF(K754=1,"Joined",IF(H754&gt;=70,"Dropped at Offer",IF(H754&gt;=50,"Dropped at Interview","Dropped at Screening")))</f>
        <v>Joined</v>
      </c>
      <c r="R754" s="1" t="str">
        <f t="shared" ca="1" si="71"/>
        <v>Jan-2024</v>
      </c>
    </row>
    <row r="755" spans="1:18">
      <c r="A755">
        <v>43</v>
      </c>
      <c r="B755">
        <v>1</v>
      </c>
      <c r="C755">
        <v>3</v>
      </c>
      <c r="D755">
        <v>10</v>
      </c>
      <c r="E755">
        <v>4</v>
      </c>
      <c r="F755">
        <v>24.350893326087</v>
      </c>
      <c r="G755">
        <v>42</v>
      </c>
      <c r="H755">
        <v>15</v>
      </c>
      <c r="I755">
        <v>33</v>
      </c>
      <c r="J755">
        <v>1</v>
      </c>
      <c r="K755">
        <v>1</v>
      </c>
      <c r="L755" s="2">
        <f t="shared" si="66"/>
        <v>45292</v>
      </c>
      <c r="M755" s="2">
        <f t="shared" ca="1" si="67"/>
        <v>45311</v>
      </c>
      <c r="N755" s="2">
        <f t="shared" ca="1" si="68"/>
        <v>45320</v>
      </c>
      <c r="O755" s="3">
        <f t="shared" ca="1" si="69"/>
        <v>19</v>
      </c>
      <c r="P755" s="3">
        <f t="shared" ca="1" si="70"/>
        <v>9</v>
      </c>
      <c r="Q755" s="1" t="str">
        <f>IF(K755=1,"Joined",IF(H755&gt;=70,"Dropped at Offer",IF(H755&gt;=50,"Dropped at Interview","Dropped at Screening")))</f>
        <v>Joined</v>
      </c>
      <c r="R755" s="1" t="str">
        <f t="shared" ca="1" si="71"/>
        <v>Jan-2024</v>
      </c>
    </row>
    <row r="756" spans="1:18">
      <c r="A756">
        <v>42</v>
      </c>
      <c r="B756">
        <v>1</v>
      </c>
      <c r="C756">
        <v>1</v>
      </c>
      <c r="D756">
        <v>12</v>
      </c>
      <c r="E756">
        <v>5</v>
      </c>
      <c r="F756">
        <v>35.282587463259901</v>
      </c>
      <c r="G756">
        <v>7</v>
      </c>
      <c r="H756">
        <v>78</v>
      </c>
      <c r="I756">
        <v>99</v>
      </c>
      <c r="J756">
        <v>2</v>
      </c>
      <c r="K756">
        <v>0</v>
      </c>
      <c r="L756" s="2">
        <f t="shared" si="66"/>
        <v>45292</v>
      </c>
      <c r="M756" s="2">
        <f t="shared" ca="1" si="67"/>
        <v>45321</v>
      </c>
      <c r="N756" s="2" t="str">
        <f t="shared" ca="1" si="68"/>
        <v>N/A</v>
      </c>
      <c r="O756" s="3">
        <f t="shared" ca="1" si="69"/>
        <v>29</v>
      </c>
      <c r="P756" s="3" t="str">
        <f t="shared" ca="1" si="70"/>
        <v>N/A</v>
      </c>
      <c r="Q756" s="1" t="str">
        <f>IF(K756=1,"Joined",IF(H756&gt;=70,"Dropped at Offer",IF(H756&gt;=50,"Dropped at Interview","Dropped at Screening")))</f>
        <v>Dropped at Offer</v>
      </c>
      <c r="R756" s="1" t="str">
        <f t="shared" ca="1" si="71"/>
        <v>Jan-2024</v>
      </c>
    </row>
    <row r="757" spans="1:18">
      <c r="A757">
        <v>49</v>
      </c>
      <c r="B757">
        <v>0</v>
      </c>
      <c r="C757">
        <v>1</v>
      </c>
      <c r="D757">
        <v>14</v>
      </c>
      <c r="E757">
        <v>5</v>
      </c>
      <c r="F757">
        <v>12.3138667071903</v>
      </c>
      <c r="G757">
        <v>2</v>
      </c>
      <c r="H757">
        <v>17</v>
      </c>
      <c r="I757">
        <v>93</v>
      </c>
      <c r="J757">
        <v>1</v>
      </c>
      <c r="K757">
        <v>1</v>
      </c>
      <c r="L757" s="2">
        <f t="shared" si="66"/>
        <v>45292</v>
      </c>
      <c r="M757" s="2">
        <f t="shared" ca="1" si="67"/>
        <v>45324</v>
      </c>
      <c r="N757" s="2">
        <f t="shared" ca="1" si="68"/>
        <v>45354</v>
      </c>
      <c r="O757" s="3">
        <f t="shared" ca="1" si="69"/>
        <v>32</v>
      </c>
      <c r="P757" s="3">
        <f t="shared" ca="1" si="70"/>
        <v>30</v>
      </c>
      <c r="Q757" s="1" t="str">
        <f>IF(K757=1,"Joined",IF(H757&gt;=70,"Dropped at Offer",IF(H757&gt;=50,"Dropped at Interview","Dropped at Screening")))</f>
        <v>Joined</v>
      </c>
      <c r="R757" s="1" t="str">
        <f t="shared" ca="1" si="71"/>
        <v>Feb-2024</v>
      </c>
    </row>
    <row r="758" spans="1:18">
      <c r="A758">
        <v>24</v>
      </c>
      <c r="B758">
        <v>0</v>
      </c>
      <c r="C758">
        <v>2</v>
      </c>
      <c r="D758">
        <v>10</v>
      </c>
      <c r="E758">
        <v>1</v>
      </c>
      <c r="F758">
        <v>7.59034149483396</v>
      </c>
      <c r="G758">
        <v>11</v>
      </c>
      <c r="H758">
        <v>100</v>
      </c>
      <c r="I758">
        <v>24</v>
      </c>
      <c r="J758">
        <v>2</v>
      </c>
      <c r="K758">
        <v>0</v>
      </c>
      <c r="L758" s="2">
        <f t="shared" si="66"/>
        <v>45292</v>
      </c>
      <c r="M758" s="2">
        <f t="shared" ca="1" si="67"/>
        <v>45312</v>
      </c>
      <c r="N758" s="2" t="str">
        <f t="shared" ca="1" si="68"/>
        <v>N/A</v>
      </c>
      <c r="O758" s="3">
        <f t="shared" ca="1" si="69"/>
        <v>20</v>
      </c>
      <c r="P758" s="3" t="str">
        <f t="shared" ca="1" si="70"/>
        <v>N/A</v>
      </c>
      <c r="Q758" s="1" t="str">
        <f>IF(K758=1,"Joined",IF(H758&gt;=70,"Dropped at Offer",IF(H758&gt;=50,"Dropped at Interview","Dropped at Screening")))</f>
        <v>Dropped at Offer</v>
      </c>
      <c r="R758" s="1" t="str">
        <f t="shared" ca="1" si="71"/>
        <v>Jan-2024</v>
      </c>
    </row>
    <row r="759" spans="1:18">
      <c r="A759">
        <v>31</v>
      </c>
      <c r="B759">
        <v>1</v>
      </c>
      <c r="C759">
        <v>4</v>
      </c>
      <c r="D759">
        <v>15</v>
      </c>
      <c r="E759">
        <v>2</v>
      </c>
      <c r="F759">
        <v>45.352137222347999</v>
      </c>
      <c r="G759">
        <v>83</v>
      </c>
      <c r="H759">
        <v>61</v>
      </c>
      <c r="I759">
        <v>65</v>
      </c>
      <c r="J759">
        <v>2</v>
      </c>
      <c r="K759">
        <v>1</v>
      </c>
      <c r="L759" s="2">
        <f t="shared" si="66"/>
        <v>45292</v>
      </c>
      <c r="M759" s="2">
        <f t="shared" ca="1" si="67"/>
        <v>45319</v>
      </c>
      <c r="N759" s="2">
        <f t="shared" ca="1" si="68"/>
        <v>45340</v>
      </c>
      <c r="O759" s="3">
        <f t="shared" ca="1" si="69"/>
        <v>27</v>
      </c>
      <c r="P759" s="3">
        <f t="shared" ca="1" si="70"/>
        <v>21</v>
      </c>
      <c r="Q759" s="1" t="str">
        <f>IF(K759=1,"Joined",IF(H759&gt;=70,"Dropped at Offer",IF(H759&gt;=50,"Dropped at Interview","Dropped at Screening")))</f>
        <v>Joined</v>
      </c>
      <c r="R759" s="1" t="str">
        <f t="shared" ca="1" si="71"/>
        <v>Jan-2024</v>
      </c>
    </row>
    <row r="760" spans="1:18">
      <c r="A760">
        <v>36</v>
      </c>
      <c r="B760">
        <v>1</v>
      </c>
      <c r="C760">
        <v>2</v>
      </c>
      <c r="D760">
        <v>12</v>
      </c>
      <c r="E760">
        <v>1</v>
      </c>
      <c r="F760">
        <v>14.751238624389799</v>
      </c>
      <c r="G760">
        <v>15</v>
      </c>
      <c r="H760">
        <v>26</v>
      </c>
      <c r="I760">
        <v>99</v>
      </c>
      <c r="J760">
        <v>2</v>
      </c>
      <c r="K760">
        <v>0</v>
      </c>
      <c r="L760" s="2">
        <f t="shared" si="66"/>
        <v>45292</v>
      </c>
      <c r="M760" s="2">
        <f t="shared" ca="1" si="67"/>
        <v>45335</v>
      </c>
      <c r="N760" s="2" t="str">
        <f t="shared" ca="1" si="68"/>
        <v>N/A</v>
      </c>
      <c r="O760" s="3">
        <f t="shared" ca="1" si="69"/>
        <v>43</v>
      </c>
      <c r="P760" s="3" t="str">
        <f t="shared" ca="1" si="70"/>
        <v>N/A</v>
      </c>
      <c r="Q760" s="1" t="str">
        <f>IF(K760=1,"Joined",IF(H760&gt;=70,"Dropped at Offer",IF(H760&gt;=50,"Dropped at Interview","Dropped at Screening")))</f>
        <v>Dropped at Screening</v>
      </c>
      <c r="R760" s="1" t="str">
        <f t="shared" ca="1" si="71"/>
        <v>Feb-2024</v>
      </c>
    </row>
    <row r="761" spans="1:18">
      <c r="A761">
        <v>42</v>
      </c>
      <c r="B761">
        <v>0</v>
      </c>
      <c r="C761">
        <v>2</v>
      </c>
      <c r="D761">
        <v>9</v>
      </c>
      <c r="E761">
        <v>1</v>
      </c>
      <c r="F761">
        <v>12.180630989633199</v>
      </c>
      <c r="G761">
        <v>77</v>
      </c>
      <c r="H761">
        <v>34</v>
      </c>
      <c r="I761">
        <v>17</v>
      </c>
      <c r="J761">
        <v>1</v>
      </c>
      <c r="K761">
        <v>1</v>
      </c>
      <c r="L761" s="2">
        <f t="shared" si="66"/>
        <v>45292</v>
      </c>
      <c r="M761" s="2">
        <f t="shared" ca="1" si="67"/>
        <v>45309</v>
      </c>
      <c r="N761" s="2">
        <f t="shared" ca="1" si="68"/>
        <v>45329</v>
      </c>
      <c r="O761" s="3">
        <f t="shared" ca="1" si="69"/>
        <v>17</v>
      </c>
      <c r="P761" s="3">
        <f t="shared" ca="1" si="70"/>
        <v>20</v>
      </c>
      <c r="Q761" s="1" t="str">
        <f>IF(K761=1,"Joined",IF(H761&gt;=70,"Dropped at Offer",IF(H761&gt;=50,"Dropped at Interview","Dropped at Screening")))</f>
        <v>Joined</v>
      </c>
      <c r="R761" s="1" t="str">
        <f t="shared" ca="1" si="71"/>
        <v>Jan-2024</v>
      </c>
    </row>
    <row r="762" spans="1:18">
      <c r="A762">
        <v>32</v>
      </c>
      <c r="B762">
        <v>0</v>
      </c>
      <c r="C762">
        <v>2</v>
      </c>
      <c r="D762">
        <v>2</v>
      </c>
      <c r="E762">
        <v>5</v>
      </c>
      <c r="F762">
        <v>43.854846980495701</v>
      </c>
      <c r="G762">
        <v>79</v>
      </c>
      <c r="H762">
        <v>44</v>
      </c>
      <c r="I762">
        <v>4</v>
      </c>
      <c r="J762">
        <v>3</v>
      </c>
      <c r="K762">
        <v>0</v>
      </c>
      <c r="L762" s="2">
        <f t="shared" si="66"/>
        <v>45292</v>
      </c>
      <c r="M762" s="2">
        <f t="shared" ca="1" si="67"/>
        <v>45336</v>
      </c>
      <c r="N762" s="2" t="str">
        <f t="shared" ca="1" si="68"/>
        <v>N/A</v>
      </c>
      <c r="O762" s="3">
        <f t="shared" ca="1" si="69"/>
        <v>44</v>
      </c>
      <c r="P762" s="3" t="str">
        <f t="shared" ca="1" si="70"/>
        <v>N/A</v>
      </c>
      <c r="Q762" s="1" t="str">
        <f>IF(K762=1,"Joined",IF(H762&gt;=70,"Dropped at Offer",IF(H762&gt;=50,"Dropped at Interview","Dropped at Screening")))</f>
        <v>Dropped at Screening</v>
      </c>
      <c r="R762" s="1" t="str">
        <f t="shared" ca="1" si="71"/>
        <v>Feb-2024</v>
      </c>
    </row>
    <row r="763" spans="1:18">
      <c r="A763">
        <v>42</v>
      </c>
      <c r="B763">
        <v>0</v>
      </c>
      <c r="C763">
        <v>2</v>
      </c>
      <c r="D763">
        <v>12</v>
      </c>
      <c r="E763">
        <v>4</v>
      </c>
      <c r="F763">
        <v>41.855354958337998</v>
      </c>
      <c r="G763">
        <v>58</v>
      </c>
      <c r="H763">
        <v>34</v>
      </c>
      <c r="I763">
        <v>18</v>
      </c>
      <c r="J763">
        <v>1</v>
      </c>
      <c r="K763">
        <v>0</v>
      </c>
      <c r="L763" s="2">
        <f t="shared" si="66"/>
        <v>45292</v>
      </c>
      <c r="M763" s="2">
        <f t="shared" ca="1" si="67"/>
        <v>45310</v>
      </c>
      <c r="N763" s="2" t="str">
        <f t="shared" ca="1" si="68"/>
        <v>N/A</v>
      </c>
      <c r="O763" s="3">
        <f t="shared" ca="1" si="69"/>
        <v>18</v>
      </c>
      <c r="P763" s="3" t="str">
        <f t="shared" ca="1" si="70"/>
        <v>N/A</v>
      </c>
      <c r="Q763" s="1" t="str">
        <f>IF(K763=1,"Joined",IF(H763&gt;=70,"Dropped at Offer",IF(H763&gt;=50,"Dropped at Interview","Dropped at Screening")))</f>
        <v>Dropped at Screening</v>
      </c>
      <c r="R763" s="1" t="str">
        <f t="shared" ca="1" si="71"/>
        <v>Jan-2024</v>
      </c>
    </row>
    <row r="764" spans="1:18">
      <c r="A764">
        <v>44</v>
      </c>
      <c r="B764">
        <v>0</v>
      </c>
      <c r="C764">
        <v>2</v>
      </c>
      <c r="D764">
        <v>10</v>
      </c>
      <c r="E764">
        <v>1</v>
      </c>
      <c r="F764">
        <v>23.417323526231598</v>
      </c>
      <c r="G764">
        <v>48</v>
      </c>
      <c r="H764">
        <v>27</v>
      </c>
      <c r="I764">
        <v>41</v>
      </c>
      <c r="J764">
        <v>2</v>
      </c>
      <c r="K764">
        <v>0</v>
      </c>
      <c r="L764" s="2">
        <f t="shared" si="66"/>
        <v>45292</v>
      </c>
      <c r="M764" s="2">
        <f t="shared" ca="1" si="67"/>
        <v>45307</v>
      </c>
      <c r="N764" s="2" t="str">
        <f t="shared" ca="1" si="68"/>
        <v>N/A</v>
      </c>
      <c r="O764" s="3">
        <f t="shared" ca="1" si="69"/>
        <v>15</v>
      </c>
      <c r="P764" s="3" t="str">
        <f t="shared" ca="1" si="70"/>
        <v>N/A</v>
      </c>
      <c r="Q764" s="1" t="str">
        <f>IF(K764=1,"Joined",IF(H764&gt;=70,"Dropped at Offer",IF(H764&gt;=50,"Dropped at Interview","Dropped at Screening")))</f>
        <v>Dropped at Screening</v>
      </c>
      <c r="R764" s="1" t="str">
        <f t="shared" ca="1" si="71"/>
        <v>Jan-2024</v>
      </c>
    </row>
    <row r="765" spans="1:18">
      <c r="A765">
        <v>22</v>
      </c>
      <c r="B765">
        <v>1</v>
      </c>
      <c r="C765">
        <v>2</v>
      </c>
      <c r="D765">
        <v>2</v>
      </c>
      <c r="E765">
        <v>2</v>
      </c>
      <c r="F765">
        <v>25.461943071388699</v>
      </c>
      <c r="G765">
        <v>62</v>
      </c>
      <c r="H765">
        <v>8</v>
      </c>
      <c r="I765">
        <v>17</v>
      </c>
      <c r="J765">
        <v>2</v>
      </c>
      <c r="K765">
        <v>0</v>
      </c>
      <c r="L765" s="2">
        <f t="shared" si="66"/>
        <v>45292</v>
      </c>
      <c r="M765" s="2">
        <f t="shared" ca="1" si="67"/>
        <v>45310</v>
      </c>
      <c r="N765" s="2" t="str">
        <f t="shared" ca="1" si="68"/>
        <v>N/A</v>
      </c>
      <c r="O765" s="3">
        <f t="shared" ca="1" si="69"/>
        <v>18</v>
      </c>
      <c r="P765" s="3" t="str">
        <f t="shared" ca="1" si="70"/>
        <v>N/A</v>
      </c>
      <c r="Q765" s="1" t="str">
        <f>IF(K765=1,"Joined",IF(H765&gt;=70,"Dropped at Offer",IF(H765&gt;=50,"Dropped at Interview","Dropped at Screening")))</f>
        <v>Dropped at Screening</v>
      </c>
      <c r="R765" s="1" t="str">
        <f t="shared" ca="1" si="71"/>
        <v>Jan-2024</v>
      </c>
    </row>
    <row r="766" spans="1:18">
      <c r="A766">
        <v>28</v>
      </c>
      <c r="B766">
        <v>0</v>
      </c>
      <c r="C766">
        <v>2</v>
      </c>
      <c r="D766">
        <v>14</v>
      </c>
      <c r="E766">
        <v>3</v>
      </c>
      <c r="F766">
        <v>11.887435241701001</v>
      </c>
      <c r="G766">
        <v>61</v>
      </c>
      <c r="H766">
        <v>75</v>
      </c>
      <c r="I766">
        <v>31</v>
      </c>
      <c r="J766">
        <v>2</v>
      </c>
      <c r="K766">
        <v>0</v>
      </c>
      <c r="L766" s="2">
        <f t="shared" si="66"/>
        <v>45292</v>
      </c>
      <c r="M766" s="2">
        <f t="shared" ca="1" si="67"/>
        <v>45330</v>
      </c>
      <c r="N766" s="2" t="str">
        <f t="shared" ca="1" si="68"/>
        <v>N/A</v>
      </c>
      <c r="O766" s="3">
        <f t="shared" ca="1" si="69"/>
        <v>38</v>
      </c>
      <c r="P766" s="3" t="str">
        <f t="shared" ca="1" si="70"/>
        <v>N/A</v>
      </c>
      <c r="Q766" s="1" t="str">
        <f>IF(K766=1,"Joined",IF(H766&gt;=70,"Dropped at Offer",IF(H766&gt;=50,"Dropped at Interview","Dropped at Screening")))</f>
        <v>Dropped at Offer</v>
      </c>
      <c r="R766" s="1" t="str">
        <f t="shared" ca="1" si="71"/>
        <v>Feb-2024</v>
      </c>
    </row>
    <row r="767" spans="1:18">
      <c r="A767">
        <v>49</v>
      </c>
      <c r="B767">
        <v>0</v>
      </c>
      <c r="C767">
        <v>2</v>
      </c>
      <c r="D767">
        <v>14</v>
      </c>
      <c r="E767">
        <v>1</v>
      </c>
      <c r="F767">
        <v>4.9150835239778701</v>
      </c>
      <c r="G767">
        <v>48</v>
      </c>
      <c r="H767">
        <v>14</v>
      </c>
      <c r="I767">
        <v>20</v>
      </c>
      <c r="J767">
        <v>2</v>
      </c>
      <c r="K767">
        <v>0</v>
      </c>
      <c r="L767" s="2">
        <f t="shared" si="66"/>
        <v>45292</v>
      </c>
      <c r="M767" s="2">
        <f t="shared" ca="1" si="67"/>
        <v>45330</v>
      </c>
      <c r="N767" s="2" t="str">
        <f t="shared" ca="1" si="68"/>
        <v>N/A</v>
      </c>
      <c r="O767" s="3">
        <f t="shared" ca="1" si="69"/>
        <v>38</v>
      </c>
      <c r="P767" s="3" t="str">
        <f t="shared" ca="1" si="70"/>
        <v>N/A</v>
      </c>
      <c r="Q767" s="1" t="str">
        <f>IF(K767=1,"Joined",IF(H767&gt;=70,"Dropped at Offer",IF(H767&gt;=50,"Dropped at Interview","Dropped at Screening")))</f>
        <v>Dropped at Screening</v>
      </c>
      <c r="R767" s="1" t="str">
        <f t="shared" ca="1" si="71"/>
        <v>Feb-2024</v>
      </c>
    </row>
    <row r="768" spans="1:18">
      <c r="A768">
        <v>36</v>
      </c>
      <c r="B768">
        <v>0</v>
      </c>
      <c r="C768">
        <v>2</v>
      </c>
      <c r="D768">
        <v>15</v>
      </c>
      <c r="E768">
        <v>1</v>
      </c>
      <c r="F768">
        <v>29.671591267783</v>
      </c>
      <c r="G768">
        <v>50</v>
      </c>
      <c r="H768">
        <v>20</v>
      </c>
      <c r="I768">
        <v>9</v>
      </c>
      <c r="J768">
        <v>1</v>
      </c>
      <c r="K768">
        <v>0</v>
      </c>
      <c r="L768" s="2">
        <f t="shared" si="66"/>
        <v>45292</v>
      </c>
      <c r="M768" s="2">
        <f t="shared" ca="1" si="67"/>
        <v>45329</v>
      </c>
      <c r="N768" s="2" t="str">
        <f t="shared" ca="1" si="68"/>
        <v>N/A</v>
      </c>
      <c r="O768" s="3">
        <f t="shared" ca="1" si="69"/>
        <v>37</v>
      </c>
      <c r="P768" s="3" t="str">
        <f t="shared" ca="1" si="70"/>
        <v>N/A</v>
      </c>
      <c r="Q768" s="1" t="str">
        <f>IF(K768=1,"Joined",IF(H768&gt;=70,"Dropped at Offer",IF(H768&gt;=50,"Dropped at Interview","Dropped at Screening")))</f>
        <v>Dropped at Screening</v>
      </c>
      <c r="R768" s="1" t="str">
        <f t="shared" ca="1" si="71"/>
        <v>Feb-2024</v>
      </c>
    </row>
    <row r="769" spans="1:18">
      <c r="A769">
        <v>36</v>
      </c>
      <c r="B769">
        <v>0</v>
      </c>
      <c r="C769">
        <v>2</v>
      </c>
      <c r="D769">
        <v>12</v>
      </c>
      <c r="E769">
        <v>2</v>
      </c>
      <c r="F769">
        <v>5.9172460795106501</v>
      </c>
      <c r="G769">
        <v>32</v>
      </c>
      <c r="H769">
        <v>51</v>
      </c>
      <c r="I769">
        <v>36</v>
      </c>
      <c r="J769">
        <v>2</v>
      </c>
      <c r="K769">
        <v>0</v>
      </c>
      <c r="L769" s="2">
        <f t="shared" si="66"/>
        <v>45292</v>
      </c>
      <c r="M769" s="2">
        <f t="shared" ca="1" si="67"/>
        <v>45315</v>
      </c>
      <c r="N769" s="2" t="str">
        <f t="shared" ca="1" si="68"/>
        <v>N/A</v>
      </c>
      <c r="O769" s="3">
        <f t="shared" ca="1" si="69"/>
        <v>23</v>
      </c>
      <c r="P769" s="3" t="str">
        <f t="shared" ca="1" si="70"/>
        <v>N/A</v>
      </c>
      <c r="Q769" s="1" t="str">
        <f>IF(K769=1,"Joined",IF(H769&gt;=70,"Dropped at Offer",IF(H769&gt;=50,"Dropped at Interview","Dropped at Screening")))</f>
        <v>Dropped at Interview</v>
      </c>
      <c r="R769" s="1" t="str">
        <f t="shared" ca="1" si="71"/>
        <v>Jan-2024</v>
      </c>
    </row>
    <row r="770" spans="1:18">
      <c r="A770">
        <v>49</v>
      </c>
      <c r="B770">
        <v>1</v>
      </c>
      <c r="C770">
        <v>3</v>
      </c>
      <c r="D770">
        <v>12</v>
      </c>
      <c r="E770">
        <v>4</v>
      </c>
      <c r="F770">
        <v>23.4637273478324</v>
      </c>
      <c r="G770">
        <v>29</v>
      </c>
      <c r="H770">
        <v>34</v>
      </c>
      <c r="I770">
        <v>48</v>
      </c>
      <c r="J770">
        <v>1</v>
      </c>
      <c r="K770">
        <v>1</v>
      </c>
      <c r="L770" s="2">
        <f t="shared" ref="L770:L833" si="72">DATE(2024,1,1)</f>
        <v>45292</v>
      </c>
      <c r="M770" s="2">
        <f t="shared" ref="M770:M833" ca="1" si="73">L770+RANDBETWEEN(14,45)</f>
        <v>45318</v>
      </c>
      <c r="N770" s="2">
        <f t="shared" ref="N770:N833" ca="1" si="74">IF(K770=1, M770+RANDBETWEEN(7,30), "N/A")</f>
        <v>45345</v>
      </c>
      <c r="O770" s="3">
        <f t="shared" ref="O770:O833" ca="1" si="75">IF(AND(M770&lt;&gt;"",L770&lt;&gt;""), M770-L770, "N/A")</f>
        <v>26</v>
      </c>
      <c r="P770" s="3">
        <f t="shared" ref="P770:Q833" ca="1" si="76">IF(AND(K770=1, N770&lt;&gt;"", M770&lt;&gt;""), N770 - M770, "N/A")</f>
        <v>27</v>
      </c>
      <c r="Q770" s="1" t="str">
        <f>IF(K770=1,"Joined",IF(H770&gt;=70,"Dropped at Offer",IF(H770&gt;=50,"Dropped at Interview","Dropped at Screening")))</f>
        <v>Joined</v>
      </c>
      <c r="R770" s="1" t="str">
        <f t="shared" ref="R770:R833" ca="1" si="77">TEXT(M770,"MMM-YYYY")</f>
        <v>Jan-2024</v>
      </c>
    </row>
    <row r="771" spans="1:18">
      <c r="A771">
        <v>39</v>
      </c>
      <c r="B771">
        <v>1</v>
      </c>
      <c r="C771">
        <v>1</v>
      </c>
      <c r="D771">
        <v>0</v>
      </c>
      <c r="E771">
        <v>1</v>
      </c>
      <c r="F771">
        <v>48.024859925650503</v>
      </c>
      <c r="G771">
        <v>58</v>
      </c>
      <c r="H771">
        <v>96</v>
      </c>
      <c r="I771">
        <v>85</v>
      </c>
      <c r="J771">
        <v>1</v>
      </c>
      <c r="K771">
        <v>1</v>
      </c>
      <c r="L771" s="2">
        <f t="shared" si="72"/>
        <v>45292</v>
      </c>
      <c r="M771" s="2">
        <f t="shared" ca="1" si="73"/>
        <v>45313</v>
      </c>
      <c r="N771" s="2">
        <f t="shared" ca="1" si="74"/>
        <v>45340</v>
      </c>
      <c r="O771" s="3">
        <f t="shared" ca="1" si="75"/>
        <v>21</v>
      </c>
      <c r="P771" s="3">
        <f t="shared" ca="1" si="76"/>
        <v>27</v>
      </c>
      <c r="Q771" s="1" t="str">
        <f>IF(K771=1,"Joined",IF(H771&gt;=70,"Dropped at Offer",IF(H771&gt;=50,"Dropped at Interview","Dropped at Screening")))</f>
        <v>Joined</v>
      </c>
      <c r="R771" s="1" t="str">
        <f t="shared" ca="1" si="77"/>
        <v>Jan-2024</v>
      </c>
    </row>
    <row r="772" spans="1:18">
      <c r="A772">
        <v>35</v>
      </c>
      <c r="B772">
        <v>1</v>
      </c>
      <c r="C772">
        <v>3</v>
      </c>
      <c r="D772">
        <v>2</v>
      </c>
      <c r="E772">
        <v>1</v>
      </c>
      <c r="F772">
        <v>48.641719458529202</v>
      </c>
      <c r="G772">
        <v>75</v>
      </c>
      <c r="H772">
        <v>50</v>
      </c>
      <c r="I772">
        <v>12</v>
      </c>
      <c r="J772">
        <v>2</v>
      </c>
      <c r="K772">
        <v>0</v>
      </c>
      <c r="L772" s="2">
        <f t="shared" si="72"/>
        <v>45292</v>
      </c>
      <c r="M772" s="2">
        <f t="shared" ca="1" si="73"/>
        <v>45309</v>
      </c>
      <c r="N772" s="2" t="str">
        <f t="shared" ca="1" si="74"/>
        <v>N/A</v>
      </c>
      <c r="O772" s="3">
        <f t="shared" ca="1" si="75"/>
        <v>17</v>
      </c>
      <c r="P772" s="3" t="str">
        <f t="shared" ca="1" si="76"/>
        <v>N/A</v>
      </c>
      <c r="Q772" s="1" t="str">
        <f>IF(K772=1,"Joined",IF(H772&gt;=70,"Dropped at Offer",IF(H772&gt;=50,"Dropped at Interview","Dropped at Screening")))</f>
        <v>Dropped at Interview</v>
      </c>
      <c r="R772" s="1" t="str">
        <f t="shared" ca="1" si="77"/>
        <v>Jan-2024</v>
      </c>
    </row>
    <row r="773" spans="1:18">
      <c r="A773">
        <v>44</v>
      </c>
      <c r="B773">
        <v>0</v>
      </c>
      <c r="C773">
        <v>3</v>
      </c>
      <c r="D773">
        <v>3</v>
      </c>
      <c r="E773">
        <v>4</v>
      </c>
      <c r="F773">
        <v>12.9666143273679</v>
      </c>
      <c r="G773">
        <v>14</v>
      </c>
      <c r="H773">
        <v>82</v>
      </c>
      <c r="I773">
        <v>54</v>
      </c>
      <c r="J773">
        <v>2</v>
      </c>
      <c r="K773">
        <v>0</v>
      </c>
      <c r="L773" s="2">
        <f t="shared" si="72"/>
        <v>45292</v>
      </c>
      <c r="M773" s="2">
        <f t="shared" ca="1" si="73"/>
        <v>45336</v>
      </c>
      <c r="N773" s="2" t="str">
        <f t="shared" ca="1" si="74"/>
        <v>N/A</v>
      </c>
      <c r="O773" s="3">
        <f t="shared" ca="1" si="75"/>
        <v>44</v>
      </c>
      <c r="P773" s="3" t="str">
        <f t="shared" ca="1" si="76"/>
        <v>N/A</v>
      </c>
      <c r="Q773" s="1" t="str">
        <f>IF(K773=1,"Joined",IF(H773&gt;=70,"Dropped at Offer",IF(H773&gt;=50,"Dropped at Interview","Dropped at Screening")))</f>
        <v>Dropped at Offer</v>
      </c>
      <c r="R773" s="1" t="str">
        <f t="shared" ca="1" si="77"/>
        <v>Feb-2024</v>
      </c>
    </row>
    <row r="774" spans="1:18">
      <c r="A774">
        <v>41</v>
      </c>
      <c r="B774">
        <v>0</v>
      </c>
      <c r="C774">
        <v>2</v>
      </c>
      <c r="D774">
        <v>10</v>
      </c>
      <c r="E774">
        <v>2</v>
      </c>
      <c r="F774">
        <v>32.205671002282699</v>
      </c>
      <c r="G774">
        <v>81</v>
      </c>
      <c r="H774">
        <v>54</v>
      </c>
      <c r="I774">
        <v>16</v>
      </c>
      <c r="J774">
        <v>2</v>
      </c>
      <c r="K774">
        <v>0</v>
      </c>
      <c r="L774" s="2">
        <f t="shared" si="72"/>
        <v>45292</v>
      </c>
      <c r="M774" s="2">
        <f t="shared" ca="1" si="73"/>
        <v>45330</v>
      </c>
      <c r="N774" s="2" t="str">
        <f t="shared" ca="1" si="74"/>
        <v>N/A</v>
      </c>
      <c r="O774" s="3">
        <f t="shared" ca="1" si="75"/>
        <v>38</v>
      </c>
      <c r="P774" s="3" t="str">
        <f t="shared" ca="1" si="76"/>
        <v>N/A</v>
      </c>
      <c r="Q774" s="1" t="str">
        <f>IF(K774=1,"Joined",IF(H774&gt;=70,"Dropped at Offer",IF(H774&gt;=50,"Dropped at Interview","Dropped at Screening")))</f>
        <v>Dropped at Interview</v>
      </c>
      <c r="R774" s="1" t="str">
        <f t="shared" ca="1" si="77"/>
        <v>Feb-2024</v>
      </c>
    </row>
    <row r="775" spans="1:18">
      <c r="A775">
        <v>32</v>
      </c>
      <c r="B775">
        <v>1</v>
      </c>
      <c r="C775">
        <v>2</v>
      </c>
      <c r="D775">
        <v>10</v>
      </c>
      <c r="E775">
        <v>1</v>
      </c>
      <c r="F775">
        <v>24.703813205392802</v>
      </c>
      <c r="G775">
        <v>91</v>
      </c>
      <c r="H775">
        <v>86</v>
      </c>
      <c r="I775">
        <v>8</v>
      </c>
      <c r="J775">
        <v>2</v>
      </c>
      <c r="K775">
        <v>0</v>
      </c>
      <c r="L775" s="2">
        <f t="shared" si="72"/>
        <v>45292</v>
      </c>
      <c r="M775" s="2">
        <f t="shared" ca="1" si="73"/>
        <v>45322</v>
      </c>
      <c r="N775" s="2" t="str">
        <f t="shared" ca="1" si="74"/>
        <v>N/A</v>
      </c>
      <c r="O775" s="3">
        <f t="shared" ca="1" si="75"/>
        <v>30</v>
      </c>
      <c r="P775" s="3" t="str">
        <f t="shared" ca="1" si="76"/>
        <v>N/A</v>
      </c>
      <c r="Q775" s="1" t="str">
        <f>IF(K775=1,"Joined",IF(H775&gt;=70,"Dropped at Offer",IF(H775&gt;=50,"Dropped at Interview","Dropped at Screening")))</f>
        <v>Dropped at Offer</v>
      </c>
      <c r="R775" s="1" t="str">
        <f t="shared" ca="1" si="77"/>
        <v>Jan-2024</v>
      </c>
    </row>
    <row r="776" spans="1:18">
      <c r="A776">
        <v>46</v>
      </c>
      <c r="B776">
        <v>0</v>
      </c>
      <c r="C776">
        <v>2</v>
      </c>
      <c r="D776">
        <v>4</v>
      </c>
      <c r="E776">
        <v>4</v>
      </c>
      <c r="F776">
        <v>44.784256379305297</v>
      </c>
      <c r="G776">
        <v>22</v>
      </c>
      <c r="H776">
        <v>76</v>
      </c>
      <c r="I776">
        <v>87</v>
      </c>
      <c r="J776">
        <v>3</v>
      </c>
      <c r="K776">
        <v>0</v>
      </c>
      <c r="L776" s="2">
        <f t="shared" si="72"/>
        <v>45292</v>
      </c>
      <c r="M776" s="2">
        <f t="shared" ca="1" si="73"/>
        <v>45307</v>
      </c>
      <c r="N776" s="2" t="str">
        <f t="shared" ca="1" si="74"/>
        <v>N/A</v>
      </c>
      <c r="O776" s="3">
        <f t="shared" ca="1" si="75"/>
        <v>15</v>
      </c>
      <c r="P776" s="3" t="str">
        <f t="shared" ca="1" si="76"/>
        <v>N/A</v>
      </c>
      <c r="Q776" s="1" t="str">
        <f>IF(K776=1,"Joined",IF(H776&gt;=70,"Dropped at Offer",IF(H776&gt;=50,"Dropped at Interview","Dropped at Screening")))</f>
        <v>Dropped at Offer</v>
      </c>
      <c r="R776" s="1" t="str">
        <f t="shared" ca="1" si="77"/>
        <v>Jan-2024</v>
      </c>
    </row>
    <row r="777" spans="1:18">
      <c r="A777">
        <v>38</v>
      </c>
      <c r="B777">
        <v>0</v>
      </c>
      <c r="C777">
        <v>2</v>
      </c>
      <c r="D777">
        <v>2</v>
      </c>
      <c r="E777">
        <v>1</v>
      </c>
      <c r="F777">
        <v>14.571543213802601</v>
      </c>
      <c r="G777">
        <v>77</v>
      </c>
      <c r="H777">
        <v>43</v>
      </c>
      <c r="I777">
        <v>43</v>
      </c>
      <c r="J777">
        <v>3</v>
      </c>
      <c r="K777">
        <v>0</v>
      </c>
      <c r="L777" s="2">
        <f t="shared" si="72"/>
        <v>45292</v>
      </c>
      <c r="M777" s="2">
        <f t="shared" ca="1" si="73"/>
        <v>45332</v>
      </c>
      <c r="N777" s="2" t="str">
        <f t="shared" ca="1" si="74"/>
        <v>N/A</v>
      </c>
      <c r="O777" s="3">
        <f t="shared" ca="1" si="75"/>
        <v>40</v>
      </c>
      <c r="P777" s="3" t="str">
        <f t="shared" ca="1" si="76"/>
        <v>N/A</v>
      </c>
      <c r="Q777" s="1" t="str">
        <f>IF(K777=1,"Joined",IF(H777&gt;=70,"Dropped at Offer",IF(H777&gt;=50,"Dropped at Interview","Dropped at Screening")))</f>
        <v>Dropped at Screening</v>
      </c>
      <c r="R777" s="1" t="str">
        <f t="shared" ca="1" si="77"/>
        <v>Feb-2024</v>
      </c>
    </row>
    <row r="778" spans="1:18">
      <c r="A778">
        <v>36</v>
      </c>
      <c r="B778">
        <v>1</v>
      </c>
      <c r="C778">
        <v>2</v>
      </c>
      <c r="D778">
        <v>5</v>
      </c>
      <c r="E778">
        <v>3</v>
      </c>
      <c r="F778">
        <v>1.18512034162084</v>
      </c>
      <c r="G778">
        <v>93</v>
      </c>
      <c r="H778">
        <v>64</v>
      </c>
      <c r="I778">
        <v>77</v>
      </c>
      <c r="J778">
        <v>2</v>
      </c>
      <c r="K778">
        <v>0</v>
      </c>
      <c r="L778" s="2">
        <f t="shared" si="72"/>
        <v>45292</v>
      </c>
      <c r="M778" s="2">
        <f t="shared" ca="1" si="73"/>
        <v>45313</v>
      </c>
      <c r="N778" s="2" t="str">
        <f t="shared" ca="1" si="74"/>
        <v>N/A</v>
      </c>
      <c r="O778" s="3">
        <f t="shared" ca="1" si="75"/>
        <v>21</v>
      </c>
      <c r="P778" s="3" t="str">
        <f t="shared" ca="1" si="76"/>
        <v>N/A</v>
      </c>
      <c r="Q778" s="1" t="str">
        <f>IF(K778=1,"Joined",IF(H778&gt;=70,"Dropped at Offer",IF(H778&gt;=50,"Dropped at Interview","Dropped at Screening")))</f>
        <v>Dropped at Interview</v>
      </c>
      <c r="R778" s="1" t="str">
        <f t="shared" ca="1" si="77"/>
        <v>Jan-2024</v>
      </c>
    </row>
    <row r="779" spans="1:18">
      <c r="A779">
        <v>23</v>
      </c>
      <c r="B779">
        <v>1</v>
      </c>
      <c r="C779">
        <v>1</v>
      </c>
      <c r="D779">
        <v>10</v>
      </c>
      <c r="E779">
        <v>5</v>
      </c>
      <c r="F779">
        <v>9.1280602965707498</v>
      </c>
      <c r="G779">
        <v>96</v>
      </c>
      <c r="H779">
        <v>92</v>
      </c>
      <c r="I779">
        <v>45</v>
      </c>
      <c r="J779">
        <v>1</v>
      </c>
      <c r="K779">
        <v>1</v>
      </c>
      <c r="L779" s="2">
        <f t="shared" si="72"/>
        <v>45292</v>
      </c>
      <c r="M779" s="2">
        <f t="shared" ca="1" si="73"/>
        <v>45317</v>
      </c>
      <c r="N779" s="2">
        <f t="shared" ca="1" si="74"/>
        <v>45344</v>
      </c>
      <c r="O779" s="3">
        <f t="shared" ca="1" si="75"/>
        <v>25</v>
      </c>
      <c r="P779" s="3">
        <f t="shared" ca="1" si="76"/>
        <v>27</v>
      </c>
      <c r="Q779" s="1" t="str">
        <f>IF(K779=1,"Joined",IF(H779&gt;=70,"Dropped at Offer",IF(H779&gt;=50,"Dropped at Interview","Dropped at Screening")))</f>
        <v>Joined</v>
      </c>
      <c r="R779" s="1" t="str">
        <f t="shared" ca="1" si="77"/>
        <v>Jan-2024</v>
      </c>
    </row>
    <row r="780" spans="1:18">
      <c r="A780">
        <v>31</v>
      </c>
      <c r="B780">
        <v>1</v>
      </c>
      <c r="C780">
        <v>2</v>
      </c>
      <c r="D780">
        <v>13</v>
      </c>
      <c r="E780">
        <v>3</v>
      </c>
      <c r="F780">
        <v>18.476140058469898</v>
      </c>
      <c r="G780">
        <v>44</v>
      </c>
      <c r="H780">
        <v>87</v>
      </c>
      <c r="I780">
        <v>7</v>
      </c>
      <c r="J780">
        <v>2</v>
      </c>
      <c r="K780">
        <v>0</v>
      </c>
      <c r="L780" s="2">
        <f t="shared" si="72"/>
        <v>45292</v>
      </c>
      <c r="M780" s="2">
        <f t="shared" ca="1" si="73"/>
        <v>45319</v>
      </c>
      <c r="N780" s="2" t="str">
        <f t="shared" ca="1" si="74"/>
        <v>N/A</v>
      </c>
      <c r="O780" s="3">
        <f t="shared" ca="1" si="75"/>
        <v>27</v>
      </c>
      <c r="P780" s="3" t="str">
        <f t="shared" ca="1" si="76"/>
        <v>N/A</v>
      </c>
      <c r="Q780" s="1" t="str">
        <f>IF(K780=1,"Joined",IF(H780&gt;=70,"Dropped at Offer",IF(H780&gt;=50,"Dropped at Interview","Dropped at Screening")))</f>
        <v>Dropped at Offer</v>
      </c>
      <c r="R780" s="1" t="str">
        <f t="shared" ca="1" si="77"/>
        <v>Jan-2024</v>
      </c>
    </row>
    <row r="781" spans="1:18">
      <c r="A781">
        <v>48</v>
      </c>
      <c r="B781">
        <v>1</v>
      </c>
      <c r="C781">
        <v>3</v>
      </c>
      <c r="D781">
        <v>14</v>
      </c>
      <c r="E781">
        <v>1</v>
      </c>
      <c r="F781">
        <v>16.786056488524402</v>
      </c>
      <c r="G781">
        <v>61</v>
      </c>
      <c r="H781">
        <v>79</v>
      </c>
      <c r="I781">
        <v>36</v>
      </c>
      <c r="J781">
        <v>1</v>
      </c>
      <c r="K781">
        <v>1</v>
      </c>
      <c r="L781" s="2">
        <f t="shared" si="72"/>
        <v>45292</v>
      </c>
      <c r="M781" s="2">
        <f t="shared" ca="1" si="73"/>
        <v>45336</v>
      </c>
      <c r="N781" s="2">
        <f t="shared" ca="1" si="74"/>
        <v>45359</v>
      </c>
      <c r="O781" s="3">
        <f t="shared" ca="1" si="75"/>
        <v>44</v>
      </c>
      <c r="P781" s="3">
        <f t="shared" ca="1" si="76"/>
        <v>23</v>
      </c>
      <c r="Q781" s="1" t="str">
        <f>IF(K781=1,"Joined",IF(H781&gt;=70,"Dropped at Offer",IF(H781&gt;=50,"Dropped at Interview","Dropped at Screening")))</f>
        <v>Joined</v>
      </c>
      <c r="R781" s="1" t="str">
        <f t="shared" ca="1" si="77"/>
        <v>Feb-2024</v>
      </c>
    </row>
    <row r="782" spans="1:18">
      <c r="A782">
        <v>28</v>
      </c>
      <c r="B782">
        <v>0</v>
      </c>
      <c r="C782">
        <v>2</v>
      </c>
      <c r="D782">
        <v>11</v>
      </c>
      <c r="E782">
        <v>2</v>
      </c>
      <c r="F782">
        <v>40.568145956144299</v>
      </c>
      <c r="G782">
        <v>78</v>
      </c>
      <c r="H782">
        <v>24</v>
      </c>
      <c r="I782">
        <v>18</v>
      </c>
      <c r="J782">
        <v>2</v>
      </c>
      <c r="K782">
        <v>0</v>
      </c>
      <c r="L782" s="2">
        <f t="shared" si="72"/>
        <v>45292</v>
      </c>
      <c r="M782" s="2">
        <f t="shared" ca="1" si="73"/>
        <v>45319</v>
      </c>
      <c r="N782" s="2" t="str">
        <f t="shared" ca="1" si="74"/>
        <v>N/A</v>
      </c>
      <c r="O782" s="3">
        <f t="shared" ca="1" si="75"/>
        <v>27</v>
      </c>
      <c r="P782" s="3" t="str">
        <f t="shared" ca="1" si="76"/>
        <v>N/A</v>
      </c>
      <c r="Q782" s="1" t="str">
        <f>IF(K782=1,"Joined",IF(H782&gt;=70,"Dropped at Offer",IF(H782&gt;=50,"Dropped at Interview","Dropped at Screening")))</f>
        <v>Dropped at Screening</v>
      </c>
      <c r="R782" s="1" t="str">
        <f t="shared" ca="1" si="77"/>
        <v>Jan-2024</v>
      </c>
    </row>
    <row r="783" spans="1:18">
      <c r="A783">
        <v>38</v>
      </c>
      <c r="B783">
        <v>0</v>
      </c>
      <c r="C783">
        <v>3</v>
      </c>
      <c r="D783">
        <v>15</v>
      </c>
      <c r="E783">
        <v>5</v>
      </c>
      <c r="F783">
        <v>35.028033306941801</v>
      </c>
      <c r="G783">
        <v>70</v>
      </c>
      <c r="H783">
        <v>86</v>
      </c>
      <c r="I783">
        <v>62</v>
      </c>
      <c r="J783">
        <v>2</v>
      </c>
      <c r="K783">
        <v>1</v>
      </c>
      <c r="L783" s="2">
        <f t="shared" si="72"/>
        <v>45292</v>
      </c>
      <c r="M783" s="2">
        <f t="shared" ca="1" si="73"/>
        <v>45326</v>
      </c>
      <c r="N783" s="2">
        <f t="shared" ca="1" si="74"/>
        <v>45355</v>
      </c>
      <c r="O783" s="3">
        <f t="shared" ca="1" si="75"/>
        <v>34</v>
      </c>
      <c r="P783" s="3">
        <f t="shared" ca="1" si="76"/>
        <v>29</v>
      </c>
      <c r="Q783" s="1" t="str">
        <f>IF(K783=1,"Joined",IF(H783&gt;=70,"Dropped at Offer",IF(H783&gt;=50,"Dropped at Interview","Dropped at Screening")))</f>
        <v>Joined</v>
      </c>
      <c r="R783" s="1" t="str">
        <f t="shared" ca="1" si="77"/>
        <v>Feb-2024</v>
      </c>
    </row>
    <row r="784" spans="1:18">
      <c r="A784">
        <v>31</v>
      </c>
      <c r="B784">
        <v>1</v>
      </c>
      <c r="C784">
        <v>2</v>
      </c>
      <c r="D784">
        <v>4</v>
      </c>
      <c r="E784">
        <v>3</v>
      </c>
      <c r="F784">
        <v>15.977815980744801</v>
      </c>
      <c r="G784">
        <v>14</v>
      </c>
      <c r="H784">
        <v>91</v>
      </c>
      <c r="I784">
        <v>91</v>
      </c>
      <c r="J784">
        <v>2</v>
      </c>
      <c r="K784">
        <v>0</v>
      </c>
      <c r="L784" s="2">
        <f t="shared" si="72"/>
        <v>45292</v>
      </c>
      <c r="M784" s="2">
        <f t="shared" ca="1" si="73"/>
        <v>45308</v>
      </c>
      <c r="N784" s="2" t="str">
        <f t="shared" ca="1" si="74"/>
        <v>N/A</v>
      </c>
      <c r="O784" s="3">
        <f t="shared" ca="1" si="75"/>
        <v>16</v>
      </c>
      <c r="P784" s="3" t="str">
        <f t="shared" ca="1" si="76"/>
        <v>N/A</v>
      </c>
      <c r="Q784" s="1" t="str">
        <f>IF(K784=1,"Joined",IF(H784&gt;=70,"Dropped at Offer",IF(H784&gt;=50,"Dropped at Interview","Dropped at Screening")))</f>
        <v>Dropped at Offer</v>
      </c>
      <c r="R784" s="1" t="str">
        <f t="shared" ca="1" si="77"/>
        <v>Jan-2024</v>
      </c>
    </row>
    <row r="785" spans="1:18">
      <c r="A785">
        <v>28</v>
      </c>
      <c r="B785">
        <v>0</v>
      </c>
      <c r="C785">
        <v>3</v>
      </c>
      <c r="D785">
        <v>2</v>
      </c>
      <c r="E785">
        <v>4</v>
      </c>
      <c r="F785">
        <v>23.8871908583106</v>
      </c>
      <c r="G785">
        <v>45</v>
      </c>
      <c r="H785">
        <v>46</v>
      </c>
      <c r="I785">
        <v>45</v>
      </c>
      <c r="J785">
        <v>2</v>
      </c>
      <c r="K785">
        <v>0</v>
      </c>
      <c r="L785" s="2">
        <f t="shared" si="72"/>
        <v>45292</v>
      </c>
      <c r="M785" s="2">
        <f t="shared" ca="1" si="73"/>
        <v>45327</v>
      </c>
      <c r="N785" s="2" t="str">
        <f t="shared" ca="1" si="74"/>
        <v>N/A</v>
      </c>
      <c r="O785" s="3">
        <f t="shared" ca="1" si="75"/>
        <v>35</v>
      </c>
      <c r="P785" s="3" t="str">
        <f t="shared" ca="1" si="76"/>
        <v>N/A</v>
      </c>
      <c r="Q785" s="1" t="str">
        <f>IF(K785=1,"Joined",IF(H785&gt;=70,"Dropped at Offer",IF(H785&gt;=50,"Dropped at Interview","Dropped at Screening")))</f>
        <v>Dropped at Screening</v>
      </c>
      <c r="R785" s="1" t="str">
        <f t="shared" ca="1" si="77"/>
        <v>Feb-2024</v>
      </c>
    </row>
    <row r="786" spans="1:18">
      <c r="A786">
        <v>26</v>
      </c>
      <c r="B786">
        <v>1</v>
      </c>
      <c r="C786">
        <v>2</v>
      </c>
      <c r="D786">
        <v>5</v>
      </c>
      <c r="E786">
        <v>2</v>
      </c>
      <c r="F786">
        <v>5.7779551979167598</v>
      </c>
      <c r="G786">
        <v>63</v>
      </c>
      <c r="H786">
        <v>79</v>
      </c>
      <c r="I786">
        <v>93</v>
      </c>
      <c r="J786">
        <v>1</v>
      </c>
      <c r="K786">
        <v>1</v>
      </c>
      <c r="L786" s="2">
        <f t="shared" si="72"/>
        <v>45292</v>
      </c>
      <c r="M786" s="2">
        <f t="shared" ca="1" si="73"/>
        <v>45320</v>
      </c>
      <c r="N786" s="2">
        <f t="shared" ca="1" si="74"/>
        <v>45336</v>
      </c>
      <c r="O786" s="3">
        <f t="shared" ca="1" si="75"/>
        <v>28</v>
      </c>
      <c r="P786" s="3">
        <f t="shared" ca="1" si="76"/>
        <v>16</v>
      </c>
      <c r="Q786" s="1" t="str">
        <f>IF(K786=1,"Joined",IF(H786&gt;=70,"Dropped at Offer",IF(H786&gt;=50,"Dropped at Interview","Dropped at Screening")))</f>
        <v>Joined</v>
      </c>
      <c r="R786" s="1" t="str">
        <f t="shared" ca="1" si="77"/>
        <v>Jan-2024</v>
      </c>
    </row>
    <row r="787" spans="1:18">
      <c r="A787">
        <v>47</v>
      </c>
      <c r="B787">
        <v>1</v>
      </c>
      <c r="C787">
        <v>1</v>
      </c>
      <c r="D787">
        <v>5</v>
      </c>
      <c r="E787">
        <v>3</v>
      </c>
      <c r="F787">
        <v>45.907322241004998</v>
      </c>
      <c r="G787">
        <v>45</v>
      </c>
      <c r="H787">
        <v>55</v>
      </c>
      <c r="I787">
        <v>70</v>
      </c>
      <c r="J787">
        <v>2</v>
      </c>
      <c r="K787">
        <v>0</v>
      </c>
      <c r="L787" s="2">
        <f t="shared" si="72"/>
        <v>45292</v>
      </c>
      <c r="M787" s="2">
        <f t="shared" ca="1" si="73"/>
        <v>45310</v>
      </c>
      <c r="N787" s="2" t="str">
        <f t="shared" ca="1" si="74"/>
        <v>N/A</v>
      </c>
      <c r="O787" s="3">
        <f t="shared" ca="1" si="75"/>
        <v>18</v>
      </c>
      <c r="P787" s="3" t="str">
        <f t="shared" ca="1" si="76"/>
        <v>N/A</v>
      </c>
      <c r="Q787" s="1" t="str">
        <f>IF(K787=1,"Joined",IF(H787&gt;=70,"Dropped at Offer",IF(H787&gt;=50,"Dropped at Interview","Dropped at Screening")))</f>
        <v>Dropped at Interview</v>
      </c>
      <c r="R787" s="1" t="str">
        <f t="shared" ca="1" si="77"/>
        <v>Jan-2024</v>
      </c>
    </row>
    <row r="788" spans="1:18">
      <c r="A788">
        <v>33</v>
      </c>
      <c r="B788">
        <v>0</v>
      </c>
      <c r="C788">
        <v>2</v>
      </c>
      <c r="D788">
        <v>14</v>
      </c>
      <c r="E788">
        <v>4</v>
      </c>
      <c r="F788">
        <v>47.771241222426703</v>
      </c>
      <c r="G788">
        <v>55</v>
      </c>
      <c r="H788">
        <v>37</v>
      </c>
      <c r="I788">
        <v>25</v>
      </c>
      <c r="J788">
        <v>2</v>
      </c>
      <c r="K788">
        <v>0</v>
      </c>
      <c r="L788" s="2">
        <f t="shared" si="72"/>
        <v>45292</v>
      </c>
      <c r="M788" s="2">
        <f t="shared" ca="1" si="73"/>
        <v>45324</v>
      </c>
      <c r="N788" s="2" t="str">
        <f t="shared" ca="1" si="74"/>
        <v>N/A</v>
      </c>
      <c r="O788" s="3">
        <f t="shared" ca="1" si="75"/>
        <v>32</v>
      </c>
      <c r="P788" s="3" t="str">
        <f t="shared" ca="1" si="76"/>
        <v>N/A</v>
      </c>
      <c r="Q788" s="1" t="str">
        <f>IF(K788=1,"Joined",IF(H788&gt;=70,"Dropped at Offer",IF(H788&gt;=50,"Dropped at Interview","Dropped at Screening")))</f>
        <v>Dropped at Screening</v>
      </c>
      <c r="R788" s="1" t="str">
        <f t="shared" ca="1" si="77"/>
        <v>Feb-2024</v>
      </c>
    </row>
    <row r="789" spans="1:18">
      <c r="A789">
        <v>50</v>
      </c>
      <c r="B789">
        <v>1</v>
      </c>
      <c r="C789">
        <v>1</v>
      </c>
      <c r="D789">
        <v>13</v>
      </c>
      <c r="E789">
        <v>1</v>
      </c>
      <c r="F789">
        <v>49.990176769046897</v>
      </c>
      <c r="G789">
        <v>43</v>
      </c>
      <c r="H789">
        <v>10</v>
      </c>
      <c r="I789">
        <v>45</v>
      </c>
      <c r="J789">
        <v>2</v>
      </c>
      <c r="K789">
        <v>0</v>
      </c>
      <c r="L789" s="2">
        <f t="shared" si="72"/>
        <v>45292</v>
      </c>
      <c r="M789" s="2">
        <f t="shared" ca="1" si="73"/>
        <v>45333</v>
      </c>
      <c r="N789" s="2" t="str">
        <f t="shared" ca="1" si="74"/>
        <v>N/A</v>
      </c>
      <c r="O789" s="3">
        <f t="shared" ca="1" si="75"/>
        <v>41</v>
      </c>
      <c r="P789" s="3" t="str">
        <f t="shared" ca="1" si="76"/>
        <v>N/A</v>
      </c>
      <c r="Q789" s="1" t="str">
        <f>IF(K789=1,"Joined",IF(H789&gt;=70,"Dropped at Offer",IF(H789&gt;=50,"Dropped at Interview","Dropped at Screening")))</f>
        <v>Dropped at Screening</v>
      </c>
      <c r="R789" s="1" t="str">
        <f t="shared" ca="1" si="77"/>
        <v>Feb-2024</v>
      </c>
    </row>
    <row r="790" spans="1:18">
      <c r="A790">
        <v>39</v>
      </c>
      <c r="B790">
        <v>0</v>
      </c>
      <c r="C790">
        <v>2</v>
      </c>
      <c r="D790">
        <v>7</v>
      </c>
      <c r="E790">
        <v>4</v>
      </c>
      <c r="F790">
        <v>44.427641539291798</v>
      </c>
      <c r="G790">
        <v>74</v>
      </c>
      <c r="H790">
        <v>66</v>
      </c>
      <c r="I790">
        <v>45</v>
      </c>
      <c r="J790">
        <v>2</v>
      </c>
      <c r="K790">
        <v>0</v>
      </c>
      <c r="L790" s="2">
        <f t="shared" si="72"/>
        <v>45292</v>
      </c>
      <c r="M790" s="2">
        <f t="shared" ca="1" si="73"/>
        <v>45335</v>
      </c>
      <c r="N790" s="2" t="str">
        <f t="shared" ca="1" si="74"/>
        <v>N/A</v>
      </c>
      <c r="O790" s="3">
        <f t="shared" ca="1" si="75"/>
        <v>43</v>
      </c>
      <c r="P790" s="3" t="str">
        <f t="shared" ca="1" si="76"/>
        <v>N/A</v>
      </c>
      <c r="Q790" s="1" t="str">
        <f>IF(K790=1,"Joined",IF(H790&gt;=70,"Dropped at Offer",IF(H790&gt;=50,"Dropped at Interview","Dropped at Screening")))</f>
        <v>Dropped at Interview</v>
      </c>
      <c r="R790" s="1" t="str">
        <f t="shared" ca="1" si="77"/>
        <v>Feb-2024</v>
      </c>
    </row>
    <row r="791" spans="1:18">
      <c r="A791">
        <v>38</v>
      </c>
      <c r="B791">
        <v>0</v>
      </c>
      <c r="C791">
        <v>4</v>
      </c>
      <c r="D791">
        <v>1</v>
      </c>
      <c r="E791">
        <v>3</v>
      </c>
      <c r="F791">
        <v>9.6980443848112703</v>
      </c>
      <c r="G791">
        <v>28</v>
      </c>
      <c r="H791">
        <v>14</v>
      </c>
      <c r="I791">
        <v>74</v>
      </c>
      <c r="J791">
        <v>2</v>
      </c>
      <c r="K791">
        <v>0</v>
      </c>
      <c r="L791" s="2">
        <f t="shared" si="72"/>
        <v>45292</v>
      </c>
      <c r="M791" s="2">
        <f t="shared" ca="1" si="73"/>
        <v>45308</v>
      </c>
      <c r="N791" s="2" t="str">
        <f t="shared" ca="1" si="74"/>
        <v>N/A</v>
      </c>
      <c r="O791" s="3">
        <f t="shared" ca="1" si="75"/>
        <v>16</v>
      </c>
      <c r="P791" s="3" t="str">
        <f t="shared" ca="1" si="76"/>
        <v>N/A</v>
      </c>
      <c r="Q791" s="1" t="str">
        <f>IF(K791=1,"Joined",IF(H791&gt;=70,"Dropped at Offer",IF(H791&gt;=50,"Dropped at Interview","Dropped at Screening")))</f>
        <v>Dropped at Screening</v>
      </c>
      <c r="R791" s="1" t="str">
        <f t="shared" ca="1" si="77"/>
        <v>Jan-2024</v>
      </c>
    </row>
    <row r="792" spans="1:18">
      <c r="A792">
        <v>45</v>
      </c>
      <c r="B792">
        <v>0</v>
      </c>
      <c r="C792">
        <v>1</v>
      </c>
      <c r="D792">
        <v>0</v>
      </c>
      <c r="E792">
        <v>3</v>
      </c>
      <c r="F792">
        <v>3.30982416008144</v>
      </c>
      <c r="G792">
        <v>94</v>
      </c>
      <c r="H792">
        <v>0</v>
      </c>
      <c r="I792">
        <v>13</v>
      </c>
      <c r="J792">
        <v>2</v>
      </c>
      <c r="K792">
        <v>0</v>
      </c>
      <c r="L792" s="2">
        <f t="shared" si="72"/>
        <v>45292</v>
      </c>
      <c r="M792" s="2">
        <f t="shared" ca="1" si="73"/>
        <v>45323</v>
      </c>
      <c r="N792" s="2" t="str">
        <f t="shared" ca="1" si="74"/>
        <v>N/A</v>
      </c>
      <c r="O792" s="3">
        <f t="shared" ca="1" si="75"/>
        <v>31</v>
      </c>
      <c r="P792" s="3" t="str">
        <f t="shared" ca="1" si="76"/>
        <v>N/A</v>
      </c>
      <c r="Q792" s="1" t="str">
        <f>IF(K792=1,"Joined",IF(H792&gt;=70,"Dropped at Offer",IF(H792&gt;=50,"Dropped at Interview","Dropped at Screening")))</f>
        <v>Dropped at Screening</v>
      </c>
      <c r="R792" s="1" t="str">
        <f t="shared" ca="1" si="77"/>
        <v>Feb-2024</v>
      </c>
    </row>
    <row r="793" spans="1:18">
      <c r="A793">
        <v>34</v>
      </c>
      <c r="B793">
        <v>0</v>
      </c>
      <c r="C793">
        <v>2</v>
      </c>
      <c r="D793">
        <v>15</v>
      </c>
      <c r="E793">
        <v>1</v>
      </c>
      <c r="F793">
        <v>29.979836370633699</v>
      </c>
      <c r="G793">
        <v>61</v>
      </c>
      <c r="H793">
        <v>6</v>
      </c>
      <c r="I793">
        <v>84</v>
      </c>
      <c r="J793">
        <v>2</v>
      </c>
      <c r="K793">
        <v>0</v>
      </c>
      <c r="L793" s="2">
        <f t="shared" si="72"/>
        <v>45292</v>
      </c>
      <c r="M793" s="2">
        <f t="shared" ca="1" si="73"/>
        <v>45320</v>
      </c>
      <c r="N793" s="2" t="str">
        <f t="shared" ca="1" si="74"/>
        <v>N/A</v>
      </c>
      <c r="O793" s="3">
        <f t="shared" ca="1" si="75"/>
        <v>28</v>
      </c>
      <c r="P793" s="3" t="str">
        <f t="shared" ca="1" si="76"/>
        <v>N/A</v>
      </c>
      <c r="Q793" s="1" t="str">
        <f>IF(K793=1,"Joined",IF(H793&gt;=70,"Dropped at Offer",IF(H793&gt;=50,"Dropped at Interview","Dropped at Screening")))</f>
        <v>Dropped at Screening</v>
      </c>
      <c r="R793" s="1" t="str">
        <f t="shared" ca="1" si="77"/>
        <v>Jan-2024</v>
      </c>
    </row>
    <row r="794" spans="1:18">
      <c r="A794">
        <v>35</v>
      </c>
      <c r="B794">
        <v>1</v>
      </c>
      <c r="C794">
        <v>3</v>
      </c>
      <c r="D794">
        <v>3</v>
      </c>
      <c r="E794">
        <v>4</v>
      </c>
      <c r="F794">
        <v>46.630251344155504</v>
      </c>
      <c r="G794">
        <v>88</v>
      </c>
      <c r="H794">
        <v>0</v>
      </c>
      <c r="I794">
        <v>62</v>
      </c>
      <c r="J794">
        <v>1</v>
      </c>
      <c r="K794">
        <v>1</v>
      </c>
      <c r="L794" s="2">
        <f t="shared" si="72"/>
        <v>45292</v>
      </c>
      <c r="M794" s="2">
        <f t="shared" ca="1" si="73"/>
        <v>45325</v>
      </c>
      <c r="N794" s="2">
        <f t="shared" ca="1" si="74"/>
        <v>45354</v>
      </c>
      <c r="O794" s="3">
        <f t="shared" ca="1" si="75"/>
        <v>33</v>
      </c>
      <c r="P794" s="3">
        <f t="shared" ca="1" si="76"/>
        <v>29</v>
      </c>
      <c r="Q794" s="1" t="str">
        <f>IF(K794=1,"Joined",IF(H794&gt;=70,"Dropped at Offer",IF(H794&gt;=50,"Dropped at Interview","Dropped at Screening")))</f>
        <v>Joined</v>
      </c>
      <c r="R794" s="1" t="str">
        <f t="shared" ca="1" si="77"/>
        <v>Feb-2024</v>
      </c>
    </row>
    <row r="795" spans="1:18">
      <c r="A795">
        <v>40</v>
      </c>
      <c r="B795">
        <v>0</v>
      </c>
      <c r="C795">
        <v>3</v>
      </c>
      <c r="D795">
        <v>15</v>
      </c>
      <c r="E795">
        <v>4</v>
      </c>
      <c r="F795">
        <v>9.8675680829871393</v>
      </c>
      <c r="G795">
        <v>51</v>
      </c>
      <c r="H795">
        <v>48</v>
      </c>
      <c r="I795">
        <v>71</v>
      </c>
      <c r="J795">
        <v>1</v>
      </c>
      <c r="K795">
        <v>1</v>
      </c>
      <c r="L795" s="2">
        <f t="shared" si="72"/>
        <v>45292</v>
      </c>
      <c r="M795" s="2">
        <f t="shared" ca="1" si="73"/>
        <v>45315</v>
      </c>
      <c r="N795" s="2">
        <f t="shared" ca="1" si="74"/>
        <v>45332</v>
      </c>
      <c r="O795" s="3">
        <f t="shared" ca="1" si="75"/>
        <v>23</v>
      </c>
      <c r="P795" s="3">
        <f t="shared" ca="1" si="76"/>
        <v>17</v>
      </c>
      <c r="Q795" s="1" t="str">
        <f>IF(K795=1,"Joined",IF(H795&gt;=70,"Dropped at Offer",IF(H795&gt;=50,"Dropped at Interview","Dropped at Screening")))</f>
        <v>Joined</v>
      </c>
      <c r="R795" s="1" t="str">
        <f t="shared" ca="1" si="77"/>
        <v>Jan-2024</v>
      </c>
    </row>
    <row r="796" spans="1:18">
      <c r="A796">
        <v>24</v>
      </c>
      <c r="B796">
        <v>1</v>
      </c>
      <c r="C796">
        <v>2</v>
      </c>
      <c r="D796">
        <v>6</v>
      </c>
      <c r="E796">
        <v>1</v>
      </c>
      <c r="F796">
        <v>1.3521457312070899</v>
      </c>
      <c r="G796">
        <v>53</v>
      </c>
      <c r="H796">
        <v>95</v>
      </c>
      <c r="I796">
        <v>2</v>
      </c>
      <c r="J796">
        <v>2</v>
      </c>
      <c r="K796">
        <v>0</v>
      </c>
      <c r="L796" s="2">
        <f t="shared" si="72"/>
        <v>45292</v>
      </c>
      <c r="M796" s="2">
        <f t="shared" ca="1" si="73"/>
        <v>45313</v>
      </c>
      <c r="N796" s="2" t="str">
        <f t="shared" ca="1" si="74"/>
        <v>N/A</v>
      </c>
      <c r="O796" s="3">
        <f t="shared" ca="1" si="75"/>
        <v>21</v>
      </c>
      <c r="P796" s="3" t="str">
        <f t="shared" ca="1" si="76"/>
        <v>N/A</v>
      </c>
      <c r="Q796" s="1" t="str">
        <f>IF(K796=1,"Joined",IF(H796&gt;=70,"Dropped at Offer",IF(H796&gt;=50,"Dropped at Interview","Dropped at Screening")))</f>
        <v>Dropped at Offer</v>
      </c>
      <c r="R796" s="1" t="str">
        <f t="shared" ca="1" si="77"/>
        <v>Jan-2024</v>
      </c>
    </row>
    <row r="797" spans="1:18">
      <c r="A797">
        <v>22</v>
      </c>
      <c r="B797">
        <v>1</v>
      </c>
      <c r="C797">
        <v>2</v>
      </c>
      <c r="D797">
        <v>14</v>
      </c>
      <c r="E797">
        <v>4</v>
      </c>
      <c r="F797">
        <v>41.274802301612198</v>
      </c>
      <c r="G797">
        <v>87</v>
      </c>
      <c r="H797">
        <v>72</v>
      </c>
      <c r="I797">
        <v>27</v>
      </c>
      <c r="J797">
        <v>1</v>
      </c>
      <c r="K797">
        <v>1</v>
      </c>
      <c r="L797" s="2">
        <f t="shared" si="72"/>
        <v>45292</v>
      </c>
      <c r="M797" s="2">
        <f t="shared" ca="1" si="73"/>
        <v>45309</v>
      </c>
      <c r="N797" s="2">
        <f t="shared" ca="1" si="74"/>
        <v>45321</v>
      </c>
      <c r="O797" s="3">
        <f t="shared" ca="1" si="75"/>
        <v>17</v>
      </c>
      <c r="P797" s="3">
        <f t="shared" ca="1" si="76"/>
        <v>12</v>
      </c>
      <c r="Q797" s="1" t="str">
        <f>IF(K797=1,"Joined",IF(H797&gt;=70,"Dropped at Offer",IF(H797&gt;=50,"Dropped at Interview","Dropped at Screening")))</f>
        <v>Joined</v>
      </c>
      <c r="R797" s="1" t="str">
        <f t="shared" ca="1" si="77"/>
        <v>Jan-2024</v>
      </c>
    </row>
    <row r="798" spans="1:18">
      <c r="A798">
        <v>31</v>
      </c>
      <c r="B798">
        <v>1</v>
      </c>
      <c r="C798">
        <v>2</v>
      </c>
      <c r="D798">
        <v>15</v>
      </c>
      <c r="E798">
        <v>1</v>
      </c>
      <c r="F798">
        <v>4.8397842143367003</v>
      </c>
      <c r="G798">
        <v>56</v>
      </c>
      <c r="H798">
        <v>28</v>
      </c>
      <c r="I798">
        <v>28</v>
      </c>
      <c r="J798">
        <v>2</v>
      </c>
      <c r="K798">
        <v>0</v>
      </c>
      <c r="L798" s="2">
        <f t="shared" si="72"/>
        <v>45292</v>
      </c>
      <c r="M798" s="2">
        <f t="shared" ca="1" si="73"/>
        <v>45318</v>
      </c>
      <c r="N798" s="2" t="str">
        <f t="shared" ca="1" si="74"/>
        <v>N/A</v>
      </c>
      <c r="O798" s="3">
        <f t="shared" ca="1" si="75"/>
        <v>26</v>
      </c>
      <c r="P798" s="3" t="str">
        <f t="shared" ca="1" si="76"/>
        <v>N/A</v>
      </c>
      <c r="Q798" s="1" t="str">
        <f>IF(K798=1,"Joined",IF(H798&gt;=70,"Dropped at Offer",IF(H798&gt;=50,"Dropped at Interview","Dropped at Screening")))</f>
        <v>Dropped at Screening</v>
      </c>
      <c r="R798" s="1" t="str">
        <f t="shared" ca="1" si="77"/>
        <v>Jan-2024</v>
      </c>
    </row>
    <row r="799" spans="1:18">
      <c r="A799">
        <v>44</v>
      </c>
      <c r="B799">
        <v>1</v>
      </c>
      <c r="C799">
        <v>2</v>
      </c>
      <c r="D799">
        <v>10</v>
      </c>
      <c r="E799">
        <v>2</v>
      </c>
      <c r="F799">
        <v>21.6853015955015</v>
      </c>
      <c r="G799">
        <v>82</v>
      </c>
      <c r="H799">
        <v>25</v>
      </c>
      <c r="I799">
        <v>86</v>
      </c>
      <c r="J799">
        <v>2</v>
      </c>
      <c r="K799">
        <v>0</v>
      </c>
      <c r="L799" s="2">
        <f t="shared" si="72"/>
        <v>45292</v>
      </c>
      <c r="M799" s="2">
        <f t="shared" ca="1" si="73"/>
        <v>45337</v>
      </c>
      <c r="N799" s="2" t="str">
        <f t="shared" ca="1" si="74"/>
        <v>N/A</v>
      </c>
      <c r="O799" s="3">
        <f t="shared" ca="1" si="75"/>
        <v>45</v>
      </c>
      <c r="P799" s="3" t="str">
        <f t="shared" ca="1" si="76"/>
        <v>N/A</v>
      </c>
      <c r="Q799" s="1" t="str">
        <f>IF(K799=1,"Joined",IF(H799&gt;=70,"Dropped at Offer",IF(H799&gt;=50,"Dropped at Interview","Dropped at Screening")))</f>
        <v>Dropped at Screening</v>
      </c>
      <c r="R799" s="1" t="str">
        <f t="shared" ca="1" si="77"/>
        <v>Feb-2024</v>
      </c>
    </row>
    <row r="800" spans="1:18">
      <c r="A800">
        <v>39</v>
      </c>
      <c r="B800">
        <v>0</v>
      </c>
      <c r="C800">
        <v>3</v>
      </c>
      <c r="D800">
        <v>9</v>
      </c>
      <c r="E800">
        <v>3</v>
      </c>
      <c r="F800">
        <v>34.944366859439199</v>
      </c>
      <c r="G800">
        <v>65</v>
      </c>
      <c r="H800">
        <v>86</v>
      </c>
      <c r="I800">
        <v>17</v>
      </c>
      <c r="J800">
        <v>3</v>
      </c>
      <c r="K800">
        <v>0</v>
      </c>
      <c r="L800" s="2">
        <f t="shared" si="72"/>
        <v>45292</v>
      </c>
      <c r="M800" s="2">
        <f t="shared" ca="1" si="73"/>
        <v>45333</v>
      </c>
      <c r="N800" s="2" t="str">
        <f t="shared" ca="1" si="74"/>
        <v>N/A</v>
      </c>
      <c r="O800" s="3">
        <f t="shared" ca="1" si="75"/>
        <v>41</v>
      </c>
      <c r="P800" s="3" t="str">
        <f t="shared" ca="1" si="76"/>
        <v>N/A</v>
      </c>
      <c r="Q800" s="1" t="str">
        <f>IF(K800=1,"Joined",IF(H800&gt;=70,"Dropped at Offer",IF(H800&gt;=50,"Dropped at Interview","Dropped at Screening")))</f>
        <v>Dropped at Offer</v>
      </c>
      <c r="R800" s="1" t="str">
        <f t="shared" ca="1" si="77"/>
        <v>Feb-2024</v>
      </c>
    </row>
    <row r="801" spans="1:18">
      <c r="A801">
        <v>46</v>
      </c>
      <c r="B801">
        <v>0</v>
      </c>
      <c r="C801">
        <v>4</v>
      </c>
      <c r="D801">
        <v>2</v>
      </c>
      <c r="E801">
        <v>2</v>
      </c>
      <c r="F801">
        <v>12.839879272809</v>
      </c>
      <c r="G801">
        <v>21</v>
      </c>
      <c r="H801">
        <v>44</v>
      </c>
      <c r="I801">
        <v>34</v>
      </c>
      <c r="J801">
        <v>3</v>
      </c>
      <c r="K801">
        <v>0</v>
      </c>
      <c r="L801" s="2">
        <f t="shared" si="72"/>
        <v>45292</v>
      </c>
      <c r="M801" s="2">
        <f t="shared" ca="1" si="73"/>
        <v>45307</v>
      </c>
      <c r="N801" s="2" t="str">
        <f t="shared" ca="1" si="74"/>
        <v>N/A</v>
      </c>
      <c r="O801" s="3">
        <f t="shared" ca="1" si="75"/>
        <v>15</v>
      </c>
      <c r="P801" s="3" t="str">
        <f t="shared" ca="1" si="76"/>
        <v>N/A</v>
      </c>
      <c r="Q801" s="1" t="str">
        <f>IF(K801=1,"Joined",IF(H801&gt;=70,"Dropped at Offer",IF(H801&gt;=50,"Dropped at Interview","Dropped at Screening")))</f>
        <v>Dropped at Screening</v>
      </c>
      <c r="R801" s="1" t="str">
        <f t="shared" ca="1" si="77"/>
        <v>Jan-2024</v>
      </c>
    </row>
    <row r="802" spans="1:18">
      <c r="A802">
        <v>40</v>
      </c>
      <c r="B802">
        <v>1</v>
      </c>
      <c r="C802">
        <v>3</v>
      </c>
      <c r="D802">
        <v>2</v>
      </c>
      <c r="E802">
        <v>5</v>
      </c>
      <c r="F802">
        <v>5.1981281723363297</v>
      </c>
      <c r="G802">
        <v>19</v>
      </c>
      <c r="H802">
        <v>92</v>
      </c>
      <c r="I802">
        <v>76</v>
      </c>
      <c r="J802">
        <v>1</v>
      </c>
      <c r="K802">
        <v>1</v>
      </c>
      <c r="L802" s="2">
        <f t="shared" si="72"/>
        <v>45292</v>
      </c>
      <c r="M802" s="2">
        <f t="shared" ca="1" si="73"/>
        <v>45312</v>
      </c>
      <c r="N802" s="2">
        <f t="shared" ca="1" si="74"/>
        <v>45325</v>
      </c>
      <c r="O802" s="3">
        <f t="shared" ca="1" si="75"/>
        <v>20</v>
      </c>
      <c r="P802" s="3">
        <f t="shared" ca="1" si="76"/>
        <v>13</v>
      </c>
      <c r="Q802" s="1" t="str">
        <f>IF(K802=1,"Joined",IF(H802&gt;=70,"Dropped at Offer",IF(H802&gt;=50,"Dropped at Interview","Dropped at Screening")))</f>
        <v>Joined</v>
      </c>
      <c r="R802" s="1" t="str">
        <f t="shared" ca="1" si="77"/>
        <v>Jan-2024</v>
      </c>
    </row>
    <row r="803" spans="1:18">
      <c r="A803">
        <v>23</v>
      </c>
      <c r="B803">
        <v>1</v>
      </c>
      <c r="C803">
        <v>3</v>
      </c>
      <c r="D803">
        <v>15</v>
      </c>
      <c r="E803">
        <v>5</v>
      </c>
      <c r="F803">
        <v>39.501061422791402</v>
      </c>
      <c r="G803">
        <v>32</v>
      </c>
      <c r="H803">
        <v>96</v>
      </c>
      <c r="I803">
        <v>75</v>
      </c>
      <c r="J803">
        <v>3</v>
      </c>
      <c r="K803">
        <v>1</v>
      </c>
      <c r="L803" s="2">
        <f t="shared" si="72"/>
        <v>45292</v>
      </c>
      <c r="M803" s="2">
        <f t="shared" ca="1" si="73"/>
        <v>45329</v>
      </c>
      <c r="N803" s="2">
        <f t="shared" ca="1" si="74"/>
        <v>45351</v>
      </c>
      <c r="O803" s="3">
        <f t="shared" ca="1" si="75"/>
        <v>37</v>
      </c>
      <c r="P803" s="3">
        <f t="shared" ca="1" si="76"/>
        <v>22</v>
      </c>
      <c r="Q803" s="1" t="str">
        <f>IF(K803=1,"Joined",IF(H803&gt;=70,"Dropped at Offer",IF(H803&gt;=50,"Dropped at Interview","Dropped at Screening")))</f>
        <v>Joined</v>
      </c>
      <c r="R803" s="1" t="str">
        <f t="shared" ca="1" si="77"/>
        <v>Feb-2024</v>
      </c>
    </row>
    <row r="804" spans="1:18">
      <c r="A804">
        <v>40</v>
      </c>
      <c r="B804">
        <v>0</v>
      </c>
      <c r="C804">
        <v>1</v>
      </c>
      <c r="D804">
        <v>4</v>
      </c>
      <c r="E804">
        <v>5</v>
      </c>
      <c r="F804">
        <v>32.508754244351998</v>
      </c>
      <c r="G804">
        <v>71</v>
      </c>
      <c r="H804">
        <v>70</v>
      </c>
      <c r="I804">
        <v>46</v>
      </c>
      <c r="J804">
        <v>2</v>
      </c>
      <c r="K804">
        <v>0</v>
      </c>
      <c r="L804" s="2">
        <f t="shared" si="72"/>
        <v>45292</v>
      </c>
      <c r="M804" s="2">
        <f t="shared" ca="1" si="73"/>
        <v>45324</v>
      </c>
      <c r="N804" s="2" t="str">
        <f t="shared" ca="1" si="74"/>
        <v>N/A</v>
      </c>
      <c r="O804" s="3">
        <f t="shared" ca="1" si="75"/>
        <v>32</v>
      </c>
      <c r="P804" s="3" t="str">
        <f t="shared" ca="1" si="76"/>
        <v>N/A</v>
      </c>
      <c r="Q804" s="1" t="str">
        <f>IF(K804=1,"Joined",IF(H804&gt;=70,"Dropped at Offer",IF(H804&gt;=50,"Dropped at Interview","Dropped at Screening")))</f>
        <v>Dropped at Offer</v>
      </c>
      <c r="R804" s="1" t="str">
        <f t="shared" ca="1" si="77"/>
        <v>Feb-2024</v>
      </c>
    </row>
    <row r="805" spans="1:18">
      <c r="A805">
        <v>42</v>
      </c>
      <c r="B805">
        <v>1</v>
      </c>
      <c r="C805">
        <v>3</v>
      </c>
      <c r="D805">
        <v>4</v>
      </c>
      <c r="E805">
        <v>1</v>
      </c>
      <c r="F805">
        <v>50.424524224340203</v>
      </c>
      <c r="G805">
        <v>24</v>
      </c>
      <c r="H805">
        <v>11</v>
      </c>
      <c r="I805">
        <v>4</v>
      </c>
      <c r="J805">
        <v>2</v>
      </c>
      <c r="K805">
        <v>0</v>
      </c>
      <c r="L805" s="2">
        <f t="shared" si="72"/>
        <v>45292</v>
      </c>
      <c r="M805" s="2">
        <f t="shared" ca="1" si="73"/>
        <v>45330</v>
      </c>
      <c r="N805" s="2" t="str">
        <f t="shared" ca="1" si="74"/>
        <v>N/A</v>
      </c>
      <c r="O805" s="3">
        <f t="shared" ca="1" si="75"/>
        <v>38</v>
      </c>
      <c r="P805" s="3" t="str">
        <f t="shared" ca="1" si="76"/>
        <v>N/A</v>
      </c>
      <c r="Q805" s="1" t="str">
        <f>IF(K805=1,"Joined",IF(H805&gt;=70,"Dropped at Offer",IF(H805&gt;=50,"Dropped at Interview","Dropped at Screening")))</f>
        <v>Dropped at Screening</v>
      </c>
      <c r="R805" s="1" t="str">
        <f t="shared" ca="1" si="77"/>
        <v>Feb-2024</v>
      </c>
    </row>
    <row r="806" spans="1:18">
      <c r="A806">
        <v>35</v>
      </c>
      <c r="B806">
        <v>0</v>
      </c>
      <c r="C806">
        <v>3</v>
      </c>
      <c r="D806">
        <v>12</v>
      </c>
      <c r="E806">
        <v>4</v>
      </c>
      <c r="F806">
        <v>18.215401665997899</v>
      </c>
      <c r="G806">
        <v>45</v>
      </c>
      <c r="H806">
        <v>94</v>
      </c>
      <c r="I806">
        <v>74</v>
      </c>
      <c r="J806">
        <v>1</v>
      </c>
      <c r="K806">
        <v>1</v>
      </c>
      <c r="L806" s="2">
        <f t="shared" si="72"/>
        <v>45292</v>
      </c>
      <c r="M806" s="2">
        <f t="shared" ca="1" si="73"/>
        <v>45316</v>
      </c>
      <c r="N806" s="2">
        <f t="shared" ca="1" si="74"/>
        <v>45336</v>
      </c>
      <c r="O806" s="3">
        <f t="shared" ca="1" si="75"/>
        <v>24</v>
      </c>
      <c r="P806" s="3">
        <f t="shared" ca="1" si="76"/>
        <v>20</v>
      </c>
      <c r="Q806" s="1" t="str">
        <f>IF(K806=1,"Joined",IF(H806&gt;=70,"Dropped at Offer",IF(H806&gt;=50,"Dropped at Interview","Dropped at Screening")))</f>
        <v>Joined</v>
      </c>
      <c r="R806" s="1" t="str">
        <f t="shared" ca="1" si="77"/>
        <v>Jan-2024</v>
      </c>
    </row>
    <row r="807" spans="1:18">
      <c r="A807">
        <v>44</v>
      </c>
      <c r="B807">
        <v>1</v>
      </c>
      <c r="C807">
        <v>1</v>
      </c>
      <c r="D807">
        <v>9</v>
      </c>
      <c r="E807">
        <v>2</v>
      </c>
      <c r="F807">
        <v>4.0881193145099797</v>
      </c>
      <c r="G807">
        <v>72</v>
      </c>
      <c r="H807">
        <v>31</v>
      </c>
      <c r="I807">
        <v>58</v>
      </c>
      <c r="J807">
        <v>3</v>
      </c>
      <c r="K807">
        <v>0</v>
      </c>
      <c r="L807" s="2">
        <f t="shared" si="72"/>
        <v>45292</v>
      </c>
      <c r="M807" s="2">
        <f t="shared" ca="1" si="73"/>
        <v>45321</v>
      </c>
      <c r="N807" s="2" t="str">
        <f t="shared" ca="1" si="74"/>
        <v>N/A</v>
      </c>
      <c r="O807" s="3">
        <f t="shared" ca="1" si="75"/>
        <v>29</v>
      </c>
      <c r="P807" s="3" t="str">
        <f t="shared" ca="1" si="76"/>
        <v>N/A</v>
      </c>
      <c r="Q807" s="1" t="str">
        <f>IF(K807=1,"Joined",IF(H807&gt;=70,"Dropped at Offer",IF(H807&gt;=50,"Dropped at Interview","Dropped at Screening")))</f>
        <v>Dropped at Screening</v>
      </c>
      <c r="R807" s="1" t="str">
        <f t="shared" ca="1" si="77"/>
        <v>Jan-2024</v>
      </c>
    </row>
    <row r="808" spans="1:18">
      <c r="A808">
        <v>26</v>
      </c>
      <c r="B808">
        <v>0</v>
      </c>
      <c r="C808">
        <v>3</v>
      </c>
      <c r="D808">
        <v>2</v>
      </c>
      <c r="E808">
        <v>2</v>
      </c>
      <c r="F808">
        <v>37.717501766764698</v>
      </c>
      <c r="G808">
        <v>97</v>
      </c>
      <c r="H808">
        <v>19</v>
      </c>
      <c r="I808">
        <v>74</v>
      </c>
      <c r="J808">
        <v>1</v>
      </c>
      <c r="K808">
        <v>1</v>
      </c>
      <c r="L808" s="2">
        <f t="shared" si="72"/>
        <v>45292</v>
      </c>
      <c r="M808" s="2">
        <f t="shared" ca="1" si="73"/>
        <v>45335</v>
      </c>
      <c r="N808" s="2">
        <f t="shared" ca="1" si="74"/>
        <v>45355</v>
      </c>
      <c r="O808" s="3">
        <f t="shared" ca="1" si="75"/>
        <v>43</v>
      </c>
      <c r="P808" s="3">
        <f t="shared" ca="1" si="76"/>
        <v>20</v>
      </c>
      <c r="Q808" s="1" t="str">
        <f>IF(K808=1,"Joined",IF(H808&gt;=70,"Dropped at Offer",IF(H808&gt;=50,"Dropped at Interview","Dropped at Screening")))</f>
        <v>Joined</v>
      </c>
      <c r="R808" s="1" t="str">
        <f t="shared" ca="1" si="77"/>
        <v>Feb-2024</v>
      </c>
    </row>
    <row r="809" spans="1:18">
      <c r="A809">
        <v>32</v>
      </c>
      <c r="B809">
        <v>1</v>
      </c>
      <c r="C809">
        <v>2</v>
      </c>
      <c r="D809">
        <v>8</v>
      </c>
      <c r="E809">
        <v>2</v>
      </c>
      <c r="F809">
        <v>27.086670942662199</v>
      </c>
      <c r="G809">
        <v>56</v>
      </c>
      <c r="H809">
        <v>50</v>
      </c>
      <c r="I809">
        <v>58</v>
      </c>
      <c r="J809">
        <v>3</v>
      </c>
      <c r="K809">
        <v>0</v>
      </c>
      <c r="L809" s="2">
        <f t="shared" si="72"/>
        <v>45292</v>
      </c>
      <c r="M809" s="2">
        <f t="shared" ca="1" si="73"/>
        <v>45319</v>
      </c>
      <c r="N809" s="2" t="str">
        <f t="shared" ca="1" si="74"/>
        <v>N/A</v>
      </c>
      <c r="O809" s="3">
        <f t="shared" ca="1" si="75"/>
        <v>27</v>
      </c>
      <c r="P809" s="3" t="str">
        <f t="shared" ca="1" si="76"/>
        <v>N/A</v>
      </c>
      <c r="Q809" s="1" t="str">
        <f>IF(K809=1,"Joined",IF(H809&gt;=70,"Dropped at Offer",IF(H809&gt;=50,"Dropped at Interview","Dropped at Screening")))</f>
        <v>Dropped at Interview</v>
      </c>
      <c r="R809" s="1" t="str">
        <f t="shared" ca="1" si="77"/>
        <v>Jan-2024</v>
      </c>
    </row>
    <row r="810" spans="1:18">
      <c r="A810">
        <v>40</v>
      </c>
      <c r="B810">
        <v>1</v>
      </c>
      <c r="C810">
        <v>2</v>
      </c>
      <c r="D810">
        <v>3</v>
      </c>
      <c r="E810">
        <v>2</v>
      </c>
      <c r="F810">
        <v>11.6601965694567</v>
      </c>
      <c r="G810">
        <v>86</v>
      </c>
      <c r="H810">
        <v>80</v>
      </c>
      <c r="I810">
        <v>46</v>
      </c>
      <c r="J810">
        <v>1</v>
      </c>
      <c r="K810">
        <v>1</v>
      </c>
      <c r="L810" s="2">
        <f t="shared" si="72"/>
        <v>45292</v>
      </c>
      <c r="M810" s="2">
        <f t="shared" ca="1" si="73"/>
        <v>45311</v>
      </c>
      <c r="N810" s="2">
        <f t="shared" ca="1" si="74"/>
        <v>45341</v>
      </c>
      <c r="O810" s="3">
        <f t="shared" ca="1" si="75"/>
        <v>19</v>
      </c>
      <c r="P810" s="3">
        <f t="shared" ca="1" si="76"/>
        <v>30</v>
      </c>
      <c r="Q810" s="1" t="str">
        <f>IF(K810=1,"Joined",IF(H810&gt;=70,"Dropped at Offer",IF(H810&gt;=50,"Dropped at Interview","Dropped at Screening")))</f>
        <v>Joined</v>
      </c>
      <c r="R810" s="1" t="str">
        <f t="shared" ca="1" si="77"/>
        <v>Jan-2024</v>
      </c>
    </row>
    <row r="811" spans="1:18">
      <c r="A811">
        <v>29</v>
      </c>
      <c r="B811">
        <v>0</v>
      </c>
      <c r="C811">
        <v>3</v>
      </c>
      <c r="D811">
        <v>12</v>
      </c>
      <c r="E811">
        <v>5</v>
      </c>
      <c r="F811">
        <v>40.0864494502379</v>
      </c>
      <c r="G811">
        <v>4</v>
      </c>
      <c r="H811">
        <v>35</v>
      </c>
      <c r="I811">
        <v>94</v>
      </c>
      <c r="J811">
        <v>2</v>
      </c>
      <c r="K811">
        <v>0</v>
      </c>
      <c r="L811" s="2">
        <f t="shared" si="72"/>
        <v>45292</v>
      </c>
      <c r="M811" s="2">
        <f t="shared" ca="1" si="73"/>
        <v>45316</v>
      </c>
      <c r="N811" s="2" t="str">
        <f t="shared" ca="1" si="74"/>
        <v>N/A</v>
      </c>
      <c r="O811" s="3">
        <f t="shared" ca="1" si="75"/>
        <v>24</v>
      </c>
      <c r="P811" s="3" t="str">
        <f t="shared" ca="1" si="76"/>
        <v>N/A</v>
      </c>
      <c r="Q811" s="1" t="str">
        <f>IF(K811=1,"Joined",IF(H811&gt;=70,"Dropped at Offer",IF(H811&gt;=50,"Dropped at Interview","Dropped at Screening")))</f>
        <v>Dropped at Screening</v>
      </c>
      <c r="R811" s="1" t="str">
        <f t="shared" ca="1" si="77"/>
        <v>Jan-2024</v>
      </c>
    </row>
    <row r="812" spans="1:18">
      <c r="A812">
        <v>45</v>
      </c>
      <c r="B812">
        <v>1</v>
      </c>
      <c r="C812">
        <v>2</v>
      </c>
      <c r="D812">
        <v>12</v>
      </c>
      <c r="E812">
        <v>2</v>
      </c>
      <c r="F812">
        <v>11.1877742924971</v>
      </c>
      <c r="G812">
        <v>54</v>
      </c>
      <c r="H812">
        <v>66</v>
      </c>
      <c r="I812">
        <v>94</v>
      </c>
      <c r="J812">
        <v>2</v>
      </c>
      <c r="K812">
        <v>0</v>
      </c>
      <c r="L812" s="2">
        <f t="shared" si="72"/>
        <v>45292</v>
      </c>
      <c r="M812" s="2">
        <f t="shared" ca="1" si="73"/>
        <v>45309</v>
      </c>
      <c r="N812" s="2" t="str">
        <f t="shared" ca="1" si="74"/>
        <v>N/A</v>
      </c>
      <c r="O812" s="3">
        <f t="shared" ca="1" si="75"/>
        <v>17</v>
      </c>
      <c r="P812" s="3" t="str">
        <f t="shared" ca="1" si="76"/>
        <v>N/A</v>
      </c>
      <c r="Q812" s="1" t="str">
        <f>IF(K812=1,"Joined",IF(H812&gt;=70,"Dropped at Offer",IF(H812&gt;=50,"Dropped at Interview","Dropped at Screening")))</f>
        <v>Dropped at Interview</v>
      </c>
      <c r="R812" s="1" t="str">
        <f t="shared" ca="1" si="77"/>
        <v>Jan-2024</v>
      </c>
    </row>
    <row r="813" spans="1:18">
      <c r="A813">
        <v>26</v>
      </c>
      <c r="B813">
        <v>1</v>
      </c>
      <c r="C813">
        <v>1</v>
      </c>
      <c r="D813">
        <v>14</v>
      </c>
      <c r="E813">
        <v>4</v>
      </c>
      <c r="F813">
        <v>14.033082741646799</v>
      </c>
      <c r="G813">
        <v>60</v>
      </c>
      <c r="H813">
        <v>0</v>
      </c>
      <c r="I813">
        <v>12</v>
      </c>
      <c r="J813">
        <v>1</v>
      </c>
      <c r="K813">
        <v>0</v>
      </c>
      <c r="L813" s="2">
        <f t="shared" si="72"/>
        <v>45292</v>
      </c>
      <c r="M813" s="2">
        <f t="shared" ca="1" si="73"/>
        <v>45330</v>
      </c>
      <c r="N813" s="2" t="str">
        <f t="shared" ca="1" si="74"/>
        <v>N/A</v>
      </c>
      <c r="O813" s="3">
        <f t="shared" ca="1" si="75"/>
        <v>38</v>
      </c>
      <c r="P813" s="3" t="str">
        <f t="shared" ca="1" si="76"/>
        <v>N/A</v>
      </c>
      <c r="Q813" s="1" t="str">
        <f>IF(K813=1,"Joined",IF(H813&gt;=70,"Dropped at Offer",IF(H813&gt;=50,"Dropped at Interview","Dropped at Screening")))</f>
        <v>Dropped at Screening</v>
      </c>
      <c r="R813" s="1" t="str">
        <f t="shared" ca="1" si="77"/>
        <v>Feb-2024</v>
      </c>
    </row>
    <row r="814" spans="1:18">
      <c r="A814">
        <v>33</v>
      </c>
      <c r="B814">
        <v>0</v>
      </c>
      <c r="C814">
        <v>2</v>
      </c>
      <c r="D814">
        <v>2</v>
      </c>
      <c r="E814">
        <v>5</v>
      </c>
      <c r="F814">
        <v>5.6264277183359503</v>
      </c>
      <c r="G814">
        <v>88</v>
      </c>
      <c r="H814">
        <v>26</v>
      </c>
      <c r="I814">
        <v>77</v>
      </c>
      <c r="J814">
        <v>1</v>
      </c>
      <c r="K814">
        <v>1</v>
      </c>
      <c r="L814" s="2">
        <f t="shared" si="72"/>
        <v>45292</v>
      </c>
      <c r="M814" s="2">
        <f t="shared" ca="1" si="73"/>
        <v>45315</v>
      </c>
      <c r="N814" s="2">
        <f t="shared" ca="1" si="74"/>
        <v>45329</v>
      </c>
      <c r="O814" s="3">
        <f t="shared" ca="1" si="75"/>
        <v>23</v>
      </c>
      <c r="P814" s="3">
        <f t="shared" ca="1" si="76"/>
        <v>14</v>
      </c>
      <c r="Q814" s="1" t="str">
        <f>IF(K814=1,"Joined",IF(H814&gt;=70,"Dropped at Offer",IF(H814&gt;=50,"Dropped at Interview","Dropped at Screening")))</f>
        <v>Joined</v>
      </c>
      <c r="R814" s="1" t="str">
        <f t="shared" ca="1" si="77"/>
        <v>Jan-2024</v>
      </c>
    </row>
    <row r="815" spans="1:18">
      <c r="A815">
        <v>50</v>
      </c>
      <c r="B815">
        <v>1</v>
      </c>
      <c r="C815">
        <v>2</v>
      </c>
      <c r="D815">
        <v>10</v>
      </c>
      <c r="E815">
        <v>2</v>
      </c>
      <c r="F815">
        <v>20.9716139515427</v>
      </c>
      <c r="G815">
        <v>7</v>
      </c>
      <c r="H815">
        <v>39</v>
      </c>
      <c r="I815">
        <v>88</v>
      </c>
      <c r="J815">
        <v>2</v>
      </c>
      <c r="K815">
        <v>0</v>
      </c>
      <c r="L815" s="2">
        <f t="shared" si="72"/>
        <v>45292</v>
      </c>
      <c r="M815" s="2">
        <f t="shared" ca="1" si="73"/>
        <v>45330</v>
      </c>
      <c r="N815" s="2" t="str">
        <f t="shared" ca="1" si="74"/>
        <v>N/A</v>
      </c>
      <c r="O815" s="3">
        <f t="shared" ca="1" si="75"/>
        <v>38</v>
      </c>
      <c r="P815" s="3" t="str">
        <f t="shared" ca="1" si="76"/>
        <v>N/A</v>
      </c>
      <c r="Q815" s="1" t="str">
        <f>IF(K815=1,"Joined",IF(H815&gt;=70,"Dropped at Offer",IF(H815&gt;=50,"Dropped at Interview","Dropped at Screening")))</f>
        <v>Dropped at Screening</v>
      </c>
      <c r="R815" s="1" t="str">
        <f t="shared" ca="1" si="77"/>
        <v>Feb-2024</v>
      </c>
    </row>
    <row r="816" spans="1:18">
      <c r="A816">
        <v>45</v>
      </c>
      <c r="B816">
        <v>0</v>
      </c>
      <c r="C816">
        <v>4</v>
      </c>
      <c r="D816">
        <v>1</v>
      </c>
      <c r="E816">
        <v>1</v>
      </c>
      <c r="F816">
        <v>21.946461196870899</v>
      </c>
      <c r="G816">
        <v>15</v>
      </c>
      <c r="H816">
        <v>96</v>
      </c>
      <c r="I816">
        <v>32</v>
      </c>
      <c r="J816">
        <v>1</v>
      </c>
      <c r="K816">
        <v>1</v>
      </c>
      <c r="L816" s="2">
        <f t="shared" si="72"/>
        <v>45292</v>
      </c>
      <c r="M816" s="2">
        <f t="shared" ca="1" si="73"/>
        <v>45314</v>
      </c>
      <c r="N816" s="2">
        <f t="shared" ca="1" si="74"/>
        <v>45344</v>
      </c>
      <c r="O816" s="3">
        <f t="shared" ca="1" si="75"/>
        <v>22</v>
      </c>
      <c r="P816" s="3">
        <f t="shared" ca="1" si="76"/>
        <v>30</v>
      </c>
      <c r="Q816" s="1" t="str">
        <f>IF(K816=1,"Joined",IF(H816&gt;=70,"Dropped at Offer",IF(H816&gt;=50,"Dropped at Interview","Dropped at Screening")))</f>
        <v>Joined</v>
      </c>
      <c r="R816" s="1" t="str">
        <f t="shared" ca="1" si="77"/>
        <v>Jan-2024</v>
      </c>
    </row>
    <row r="817" spans="1:18">
      <c r="A817">
        <v>24</v>
      </c>
      <c r="B817">
        <v>0</v>
      </c>
      <c r="C817">
        <v>2</v>
      </c>
      <c r="D817">
        <v>9</v>
      </c>
      <c r="E817">
        <v>3</v>
      </c>
      <c r="F817">
        <v>26.728089517414901</v>
      </c>
      <c r="G817">
        <v>47</v>
      </c>
      <c r="H817">
        <v>83</v>
      </c>
      <c r="I817">
        <v>96</v>
      </c>
      <c r="J817">
        <v>2</v>
      </c>
      <c r="K817">
        <v>0</v>
      </c>
      <c r="L817" s="2">
        <f t="shared" si="72"/>
        <v>45292</v>
      </c>
      <c r="M817" s="2">
        <f t="shared" ca="1" si="73"/>
        <v>45317</v>
      </c>
      <c r="N817" s="2" t="str">
        <f t="shared" ca="1" si="74"/>
        <v>N/A</v>
      </c>
      <c r="O817" s="3">
        <f t="shared" ca="1" si="75"/>
        <v>25</v>
      </c>
      <c r="P817" s="3" t="str">
        <f t="shared" ca="1" si="76"/>
        <v>N/A</v>
      </c>
      <c r="Q817" s="1" t="str">
        <f>IF(K817=1,"Joined",IF(H817&gt;=70,"Dropped at Offer",IF(H817&gt;=50,"Dropped at Interview","Dropped at Screening")))</f>
        <v>Dropped at Offer</v>
      </c>
      <c r="R817" s="1" t="str">
        <f t="shared" ca="1" si="77"/>
        <v>Jan-2024</v>
      </c>
    </row>
    <row r="818" spans="1:18">
      <c r="A818">
        <v>22</v>
      </c>
      <c r="B818">
        <v>1</v>
      </c>
      <c r="C818">
        <v>2</v>
      </c>
      <c r="D818">
        <v>12</v>
      </c>
      <c r="E818">
        <v>3</v>
      </c>
      <c r="F818">
        <v>36.448213356188802</v>
      </c>
      <c r="G818">
        <v>60</v>
      </c>
      <c r="H818">
        <v>13</v>
      </c>
      <c r="I818">
        <v>61</v>
      </c>
      <c r="J818">
        <v>2</v>
      </c>
      <c r="K818">
        <v>0</v>
      </c>
      <c r="L818" s="2">
        <f t="shared" si="72"/>
        <v>45292</v>
      </c>
      <c r="M818" s="2">
        <f t="shared" ca="1" si="73"/>
        <v>45313</v>
      </c>
      <c r="N818" s="2" t="str">
        <f t="shared" ca="1" si="74"/>
        <v>N/A</v>
      </c>
      <c r="O818" s="3">
        <f t="shared" ca="1" si="75"/>
        <v>21</v>
      </c>
      <c r="P818" s="3" t="str">
        <f t="shared" ca="1" si="76"/>
        <v>N/A</v>
      </c>
      <c r="Q818" s="1" t="str">
        <f>IF(K818=1,"Joined",IF(H818&gt;=70,"Dropped at Offer",IF(H818&gt;=50,"Dropped at Interview","Dropped at Screening")))</f>
        <v>Dropped at Screening</v>
      </c>
      <c r="R818" s="1" t="str">
        <f t="shared" ca="1" si="77"/>
        <v>Jan-2024</v>
      </c>
    </row>
    <row r="819" spans="1:18">
      <c r="A819">
        <v>42</v>
      </c>
      <c r="B819">
        <v>1</v>
      </c>
      <c r="C819">
        <v>3</v>
      </c>
      <c r="D819">
        <v>10</v>
      </c>
      <c r="E819">
        <v>3</v>
      </c>
      <c r="F819">
        <v>46.3050464340212</v>
      </c>
      <c r="G819">
        <v>14</v>
      </c>
      <c r="H819">
        <v>99</v>
      </c>
      <c r="I819">
        <v>78</v>
      </c>
      <c r="J819">
        <v>3</v>
      </c>
      <c r="K819">
        <v>1</v>
      </c>
      <c r="L819" s="2">
        <f t="shared" si="72"/>
        <v>45292</v>
      </c>
      <c r="M819" s="2">
        <f t="shared" ca="1" si="73"/>
        <v>45322</v>
      </c>
      <c r="N819" s="2">
        <f t="shared" ca="1" si="74"/>
        <v>45337</v>
      </c>
      <c r="O819" s="3">
        <f t="shared" ca="1" si="75"/>
        <v>30</v>
      </c>
      <c r="P819" s="3">
        <f t="shared" ca="1" si="76"/>
        <v>15</v>
      </c>
      <c r="Q819" s="1" t="str">
        <f>IF(K819=1,"Joined",IF(H819&gt;=70,"Dropped at Offer",IF(H819&gt;=50,"Dropped at Interview","Dropped at Screening")))</f>
        <v>Joined</v>
      </c>
      <c r="R819" s="1" t="str">
        <f t="shared" ca="1" si="77"/>
        <v>Jan-2024</v>
      </c>
    </row>
    <row r="820" spans="1:18">
      <c r="A820">
        <v>48</v>
      </c>
      <c r="B820">
        <v>1</v>
      </c>
      <c r="C820">
        <v>2</v>
      </c>
      <c r="D820">
        <v>8</v>
      </c>
      <c r="E820">
        <v>5</v>
      </c>
      <c r="F820">
        <v>7.8867049443904298</v>
      </c>
      <c r="G820">
        <v>64</v>
      </c>
      <c r="H820">
        <v>68</v>
      </c>
      <c r="I820">
        <v>15</v>
      </c>
      <c r="J820">
        <v>2</v>
      </c>
      <c r="K820">
        <v>0</v>
      </c>
      <c r="L820" s="2">
        <f t="shared" si="72"/>
        <v>45292</v>
      </c>
      <c r="M820" s="2">
        <f t="shared" ca="1" si="73"/>
        <v>45317</v>
      </c>
      <c r="N820" s="2" t="str">
        <f t="shared" ca="1" si="74"/>
        <v>N/A</v>
      </c>
      <c r="O820" s="3">
        <f t="shared" ca="1" si="75"/>
        <v>25</v>
      </c>
      <c r="P820" s="3" t="str">
        <f t="shared" ca="1" si="76"/>
        <v>N/A</v>
      </c>
      <c r="Q820" s="1" t="str">
        <f>IF(K820=1,"Joined",IF(H820&gt;=70,"Dropped at Offer",IF(H820&gt;=50,"Dropped at Interview","Dropped at Screening")))</f>
        <v>Dropped at Interview</v>
      </c>
      <c r="R820" s="1" t="str">
        <f t="shared" ca="1" si="77"/>
        <v>Jan-2024</v>
      </c>
    </row>
    <row r="821" spans="1:18">
      <c r="A821">
        <v>30</v>
      </c>
      <c r="B821">
        <v>1</v>
      </c>
      <c r="C821">
        <v>2</v>
      </c>
      <c r="D821">
        <v>3</v>
      </c>
      <c r="E821">
        <v>2</v>
      </c>
      <c r="F821">
        <v>3.7174049174328498</v>
      </c>
      <c r="G821">
        <v>21</v>
      </c>
      <c r="H821">
        <v>86</v>
      </c>
      <c r="I821">
        <v>43</v>
      </c>
      <c r="J821">
        <v>1</v>
      </c>
      <c r="K821">
        <v>0</v>
      </c>
      <c r="L821" s="2">
        <f t="shared" si="72"/>
        <v>45292</v>
      </c>
      <c r="M821" s="2">
        <f t="shared" ca="1" si="73"/>
        <v>45319</v>
      </c>
      <c r="N821" s="2" t="str">
        <f t="shared" ca="1" si="74"/>
        <v>N/A</v>
      </c>
      <c r="O821" s="3">
        <f t="shared" ca="1" si="75"/>
        <v>27</v>
      </c>
      <c r="P821" s="3" t="str">
        <f t="shared" ca="1" si="76"/>
        <v>N/A</v>
      </c>
      <c r="Q821" s="1" t="str">
        <f>IF(K821=1,"Joined",IF(H821&gt;=70,"Dropped at Offer",IF(H821&gt;=50,"Dropped at Interview","Dropped at Screening")))</f>
        <v>Dropped at Offer</v>
      </c>
      <c r="R821" s="1" t="str">
        <f t="shared" ca="1" si="77"/>
        <v>Jan-2024</v>
      </c>
    </row>
    <row r="822" spans="1:18">
      <c r="A822">
        <v>30</v>
      </c>
      <c r="B822">
        <v>1</v>
      </c>
      <c r="C822">
        <v>2</v>
      </c>
      <c r="D822">
        <v>15</v>
      </c>
      <c r="E822">
        <v>5</v>
      </c>
      <c r="F822">
        <v>1.92656167971666</v>
      </c>
      <c r="G822">
        <v>2</v>
      </c>
      <c r="H822">
        <v>78</v>
      </c>
      <c r="I822">
        <v>57</v>
      </c>
      <c r="J822">
        <v>2</v>
      </c>
      <c r="K822">
        <v>0</v>
      </c>
      <c r="L822" s="2">
        <f t="shared" si="72"/>
        <v>45292</v>
      </c>
      <c r="M822" s="2">
        <f t="shared" ca="1" si="73"/>
        <v>45320</v>
      </c>
      <c r="N822" s="2" t="str">
        <f t="shared" ca="1" si="74"/>
        <v>N/A</v>
      </c>
      <c r="O822" s="3">
        <f t="shared" ca="1" si="75"/>
        <v>28</v>
      </c>
      <c r="P822" s="3" t="str">
        <f t="shared" ca="1" si="76"/>
        <v>N/A</v>
      </c>
      <c r="Q822" s="1" t="str">
        <f>IF(K822=1,"Joined",IF(H822&gt;=70,"Dropped at Offer",IF(H822&gt;=50,"Dropped at Interview","Dropped at Screening")))</f>
        <v>Dropped at Offer</v>
      </c>
      <c r="R822" s="1" t="str">
        <f t="shared" ca="1" si="77"/>
        <v>Jan-2024</v>
      </c>
    </row>
    <row r="823" spans="1:18">
      <c r="A823">
        <v>37</v>
      </c>
      <c r="B823">
        <v>1</v>
      </c>
      <c r="C823">
        <v>3</v>
      </c>
      <c r="D823">
        <v>2</v>
      </c>
      <c r="E823">
        <v>4</v>
      </c>
      <c r="F823">
        <v>8.1810689034408099</v>
      </c>
      <c r="G823">
        <v>53</v>
      </c>
      <c r="H823">
        <v>5</v>
      </c>
      <c r="I823">
        <v>5</v>
      </c>
      <c r="J823">
        <v>1</v>
      </c>
      <c r="K823">
        <v>0</v>
      </c>
      <c r="L823" s="2">
        <f t="shared" si="72"/>
        <v>45292</v>
      </c>
      <c r="M823" s="2">
        <f t="shared" ca="1" si="73"/>
        <v>45313</v>
      </c>
      <c r="N823" s="2" t="str">
        <f t="shared" ca="1" si="74"/>
        <v>N/A</v>
      </c>
      <c r="O823" s="3">
        <f t="shared" ca="1" si="75"/>
        <v>21</v>
      </c>
      <c r="P823" s="3" t="str">
        <f t="shared" ca="1" si="76"/>
        <v>N/A</v>
      </c>
      <c r="Q823" s="1" t="str">
        <f>IF(K823=1,"Joined",IF(H823&gt;=70,"Dropped at Offer",IF(H823&gt;=50,"Dropped at Interview","Dropped at Screening")))</f>
        <v>Dropped at Screening</v>
      </c>
      <c r="R823" s="1" t="str">
        <f t="shared" ca="1" si="77"/>
        <v>Jan-2024</v>
      </c>
    </row>
    <row r="824" spans="1:18">
      <c r="A824">
        <v>34</v>
      </c>
      <c r="B824">
        <v>1</v>
      </c>
      <c r="C824">
        <v>2</v>
      </c>
      <c r="D824">
        <v>6</v>
      </c>
      <c r="E824">
        <v>1</v>
      </c>
      <c r="F824">
        <v>33.897474289081202</v>
      </c>
      <c r="G824">
        <v>13</v>
      </c>
      <c r="H824">
        <v>32</v>
      </c>
      <c r="I824">
        <v>88</v>
      </c>
      <c r="J824">
        <v>3</v>
      </c>
      <c r="K824">
        <v>0</v>
      </c>
      <c r="L824" s="2">
        <f t="shared" si="72"/>
        <v>45292</v>
      </c>
      <c r="M824" s="2">
        <f t="shared" ca="1" si="73"/>
        <v>45335</v>
      </c>
      <c r="N824" s="2" t="str">
        <f t="shared" ca="1" si="74"/>
        <v>N/A</v>
      </c>
      <c r="O824" s="3">
        <f t="shared" ca="1" si="75"/>
        <v>43</v>
      </c>
      <c r="P824" s="3" t="str">
        <f t="shared" ca="1" si="76"/>
        <v>N/A</v>
      </c>
      <c r="Q824" s="1" t="str">
        <f>IF(K824=1,"Joined",IF(H824&gt;=70,"Dropped at Offer",IF(H824&gt;=50,"Dropped at Interview","Dropped at Screening")))</f>
        <v>Dropped at Screening</v>
      </c>
      <c r="R824" s="1" t="str">
        <f t="shared" ca="1" si="77"/>
        <v>Feb-2024</v>
      </c>
    </row>
    <row r="825" spans="1:18">
      <c r="A825">
        <v>31</v>
      </c>
      <c r="B825">
        <v>0</v>
      </c>
      <c r="C825">
        <v>2</v>
      </c>
      <c r="D825">
        <v>7</v>
      </c>
      <c r="E825">
        <v>1</v>
      </c>
      <c r="F825">
        <v>37.373853899824802</v>
      </c>
      <c r="G825">
        <v>35</v>
      </c>
      <c r="H825">
        <v>54</v>
      </c>
      <c r="I825">
        <v>14</v>
      </c>
      <c r="J825">
        <v>3</v>
      </c>
      <c r="K825">
        <v>0</v>
      </c>
      <c r="L825" s="2">
        <f t="shared" si="72"/>
        <v>45292</v>
      </c>
      <c r="M825" s="2">
        <f t="shared" ca="1" si="73"/>
        <v>45327</v>
      </c>
      <c r="N825" s="2" t="str">
        <f t="shared" ca="1" si="74"/>
        <v>N/A</v>
      </c>
      <c r="O825" s="3">
        <f t="shared" ca="1" si="75"/>
        <v>35</v>
      </c>
      <c r="P825" s="3" t="str">
        <f t="shared" ca="1" si="76"/>
        <v>N/A</v>
      </c>
      <c r="Q825" s="1" t="str">
        <f>IF(K825=1,"Joined",IF(H825&gt;=70,"Dropped at Offer",IF(H825&gt;=50,"Dropped at Interview","Dropped at Screening")))</f>
        <v>Dropped at Interview</v>
      </c>
      <c r="R825" s="1" t="str">
        <f t="shared" ca="1" si="77"/>
        <v>Feb-2024</v>
      </c>
    </row>
    <row r="826" spans="1:18">
      <c r="A826">
        <v>28</v>
      </c>
      <c r="B826">
        <v>1</v>
      </c>
      <c r="C826">
        <v>1</v>
      </c>
      <c r="D826">
        <v>10</v>
      </c>
      <c r="E826">
        <v>3</v>
      </c>
      <c r="F826">
        <v>40.325285676406097</v>
      </c>
      <c r="G826">
        <v>81</v>
      </c>
      <c r="H826">
        <v>18</v>
      </c>
      <c r="I826">
        <v>3</v>
      </c>
      <c r="J826">
        <v>2</v>
      </c>
      <c r="K826">
        <v>0</v>
      </c>
      <c r="L826" s="2">
        <f t="shared" si="72"/>
        <v>45292</v>
      </c>
      <c r="M826" s="2">
        <f t="shared" ca="1" si="73"/>
        <v>45336</v>
      </c>
      <c r="N826" s="2" t="str">
        <f t="shared" ca="1" si="74"/>
        <v>N/A</v>
      </c>
      <c r="O826" s="3">
        <f t="shared" ca="1" si="75"/>
        <v>44</v>
      </c>
      <c r="P826" s="3" t="str">
        <f t="shared" ca="1" si="76"/>
        <v>N/A</v>
      </c>
      <c r="Q826" s="1" t="str">
        <f>IF(K826=1,"Joined",IF(H826&gt;=70,"Dropped at Offer",IF(H826&gt;=50,"Dropped at Interview","Dropped at Screening")))</f>
        <v>Dropped at Screening</v>
      </c>
      <c r="R826" s="1" t="str">
        <f t="shared" ca="1" si="77"/>
        <v>Feb-2024</v>
      </c>
    </row>
    <row r="827" spans="1:18">
      <c r="A827">
        <v>29</v>
      </c>
      <c r="B827">
        <v>0</v>
      </c>
      <c r="C827">
        <v>1</v>
      </c>
      <c r="D827">
        <v>13</v>
      </c>
      <c r="E827">
        <v>3</v>
      </c>
      <c r="F827">
        <v>13.1854105952171</v>
      </c>
      <c r="G827">
        <v>81</v>
      </c>
      <c r="H827">
        <v>76</v>
      </c>
      <c r="I827">
        <v>55</v>
      </c>
      <c r="J827">
        <v>1</v>
      </c>
      <c r="K827">
        <v>1</v>
      </c>
      <c r="L827" s="2">
        <f t="shared" si="72"/>
        <v>45292</v>
      </c>
      <c r="M827" s="2">
        <f t="shared" ca="1" si="73"/>
        <v>45326</v>
      </c>
      <c r="N827" s="2">
        <f t="shared" ca="1" si="74"/>
        <v>45333</v>
      </c>
      <c r="O827" s="3">
        <f t="shared" ca="1" si="75"/>
        <v>34</v>
      </c>
      <c r="P827" s="3">
        <f t="shared" ca="1" si="76"/>
        <v>7</v>
      </c>
      <c r="Q827" s="1" t="str">
        <f>IF(K827=1,"Joined",IF(H827&gt;=70,"Dropped at Offer",IF(H827&gt;=50,"Dropped at Interview","Dropped at Screening")))</f>
        <v>Joined</v>
      </c>
      <c r="R827" s="1" t="str">
        <f t="shared" ca="1" si="77"/>
        <v>Feb-2024</v>
      </c>
    </row>
    <row r="828" spans="1:18">
      <c r="A828">
        <v>45</v>
      </c>
      <c r="B828">
        <v>1</v>
      </c>
      <c r="C828">
        <v>1</v>
      </c>
      <c r="D828">
        <v>1</v>
      </c>
      <c r="E828">
        <v>3</v>
      </c>
      <c r="F828">
        <v>16.294740663075899</v>
      </c>
      <c r="G828">
        <v>66</v>
      </c>
      <c r="H828">
        <v>28</v>
      </c>
      <c r="I828">
        <v>63</v>
      </c>
      <c r="J828">
        <v>3</v>
      </c>
      <c r="K828">
        <v>0</v>
      </c>
      <c r="L828" s="2">
        <f t="shared" si="72"/>
        <v>45292</v>
      </c>
      <c r="M828" s="2">
        <f t="shared" ca="1" si="73"/>
        <v>45316</v>
      </c>
      <c r="N828" s="2" t="str">
        <f t="shared" ca="1" si="74"/>
        <v>N/A</v>
      </c>
      <c r="O828" s="3">
        <f t="shared" ca="1" si="75"/>
        <v>24</v>
      </c>
      <c r="P828" s="3" t="str">
        <f t="shared" ca="1" si="76"/>
        <v>N/A</v>
      </c>
      <c r="Q828" s="1" t="str">
        <f>IF(K828=1,"Joined",IF(H828&gt;=70,"Dropped at Offer",IF(H828&gt;=50,"Dropped at Interview","Dropped at Screening")))</f>
        <v>Dropped at Screening</v>
      </c>
      <c r="R828" s="1" t="str">
        <f t="shared" ca="1" si="77"/>
        <v>Jan-2024</v>
      </c>
    </row>
    <row r="829" spans="1:18">
      <c r="A829">
        <v>31</v>
      </c>
      <c r="B829">
        <v>1</v>
      </c>
      <c r="C829">
        <v>1</v>
      </c>
      <c r="D829">
        <v>6</v>
      </c>
      <c r="E829">
        <v>2</v>
      </c>
      <c r="F829">
        <v>25.156732278274902</v>
      </c>
      <c r="G829">
        <v>9</v>
      </c>
      <c r="H829">
        <v>60</v>
      </c>
      <c r="I829">
        <v>67</v>
      </c>
      <c r="J829">
        <v>3</v>
      </c>
      <c r="K829">
        <v>0</v>
      </c>
      <c r="L829" s="2">
        <f t="shared" si="72"/>
        <v>45292</v>
      </c>
      <c r="M829" s="2">
        <f t="shared" ca="1" si="73"/>
        <v>45326</v>
      </c>
      <c r="N829" s="2" t="str">
        <f t="shared" ca="1" si="74"/>
        <v>N/A</v>
      </c>
      <c r="O829" s="3">
        <f t="shared" ca="1" si="75"/>
        <v>34</v>
      </c>
      <c r="P829" s="3" t="str">
        <f t="shared" ca="1" si="76"/>
        <v>N/A</v>
      </c>
      <c r="Q829" s="1" t="str">
        <f>IF(K829=1,"Joined",IF(H829&gt;=70,"Dropped at Offer",IF(H829&gt;=50,"Dropped at Interview","Dropped at Screening")))</f>
        <v>Dropped at Interview</v>
      </c>
      <c r="R829" s="1" t="str">
        <f t="shared" ca="1" si="77"/>
        <v>Feb-2024</v>
      </c>
    </row>
    <row r="830" spans="1:18">
      <c r="A830">
        <v>36</v>
      </c>
      <c r="B830">
        <v>0</v>
      </c>
      <c r="C830">
        <v>2</v>
      </c>
      <c r="D830">
        <v>11</v>
      </c>
      <c r="E830">
        <v>4</v>
      </c>
      <c r="F830">
        <v>4.1591548430113203</v>
      </c>
      <c r="G830">
        <v>48</v>
      </c>
      <c r="H830">
        <v>69</v>
      </c>
      <c r="I830">
        <v>93</v>
      </c>
      <c r="J830">
        <v>3</v>
      </c>
      <c r="K830">
        <v>0</v>
      </c>
      <c r="L830" s="2">
        <f t="shared" si="72"/>
        <v>45292</v>
      </c>
      <c r="M830" s="2">
        <f t="shared" ca="1" si="73"/>
        <v>45316</v>
      </c>
      <c r="N830" s="2" t="str">
        <f t="shared" ca="1" si="74"/>
        <v>N/A</v>
      </c>
      <c r="O830" s="3">
        <f t="shared" ca="1" si="75"/>
        <v>24</v>
      </c>
      <c r="P830" s="3" t="str">
        <f t="shared" ca="1" si="76"/>
        <v>N/A</v>
      </c>
      <c r="Q830" s="1" t="str">
        <f>IF(K830=1,"Joined",IF(H830&gt;=70,"Dropped at Offer",IF(H830&gt;=50,"Dropped at Interview","Dropped at Screening")))</f>
        <v>Dropped at Interview</v>
      </c>
      <c r="R830" s="1" t="str">
        <f t="shared" ca="1" si="77"/>
        <v>Jan-2024</v>
      </c>
    </row>
    <row r="831" spans="1:18">
      <c r="A831">
        <v>48</v>
      </c>
      <c r="B831">
        <v>1</v>
      </c>
      <c r="C831">
        <v>3</v>
      </c>
      <c r="D831">
        <v>4</v>
      </c>
      <c r="E831">
        <v>4</v>
      </c>
      <c r="F831">
        <v>31.5570761605623</v>
      </c>
      <c r="G831">
        <v>64</v>
      </c>
      <c r="H831">
        <v>78</v>
      </c>
      <c r="I831">
        <v>33</v>
      </c>
      <c r="J831">
        <v>3</v>
      </c>
      <c r="K831">
        <v>0</v>
      </c>
      <c r="L831" s="2">
        <f t="shared" si="72"/>
        <v>45292</v>
      </c>
      <c r="M831" s="2">
        <f t="shared" ca="1" si="73"/>
        <v>45327</v>
      </c>
      <c r="N831" s="2" t="str">
        <f t="shared" ca="1" si="74"/>
        <v>N/A</v>
      </c>
      <c r="O831" s="3">
        <f t="shared" ca="1" si="75"/>
        <v>35</v>
      </c>
      <c r="P831" s="3" t="str">
        <f t="shared" ca="1" si="76"/>
        <v>N/A</v>
      </c>
      <c r="Q831" s="1" t="str">
        <f>IF(K831=1,"Joined",IF(H831&gt;=70,"Dropped at Offer",IF(H831&gt;=50,"Dropped at Interview","Dropped at Screening")))</f>
        <v>Dropped at Offer</v>
      </c>
      <c r="R831" s="1" t="str">
        <f t="shared" ca="1" si="77"/>
        <v>Feb-2024</v>
      </c>
    </row>
    <row r="832" spans="1:18">
      <c r="A832">
        <v>25</v>
      </c>
      <c r="B832">
        <v>1</v>
      </c>
      <c r="C832">
        <v>2</v>
      </c>
      <c r="D832">
        <v>14</v>
      </c>
      <c r="E832">
        <v>4</v>
      </c>
      <c r="F832">
        <v>50.186751683787797</v>
      </c>
      <c r="G832">
        <v>90</v>
      </c>
      <c r="H832">
        <v>79</v>
      </c>
      <c r="I832">
        <v>90</v>
      </c>
      <c r="J832">
        <v>2</v>
      </c>
      <c r="K832">
        <v>1</v>
      </c>
      <c r="L832" s="2">
        <f t="shared" si="72"/>
        <v>45292</v>
      </c>
      <c r="M832" s="2">
        <f t="shared" ca="1" si="73"/>
        <v>45336</v>
      </c>
      <c r="N832" s="2">
        <f t="shared" ca="1" si="74"/>
        <v>45353</v>
      </c>
      <c r="O832" s="3">
        <f t="shared" ca="1" si="75"/>
        <v>44</v>
      </c>
      <c r="P832" s="3">
        <f t="shared" ca="1" si="76"/>
        <v>17</v>
      </c>
      <c r="Q832" s="1" t="str">
        <f>IF(K832=1,"Joined",IF(H832&gt;=70,"Dropped at Offer",IF(H832&gt;=50,"Dropped at Interview","Dropped at Screening")))</f>
        <v>Joined</v>
      </c>
      <c r="R832" s="1" t="str">
        <f t="shared" ca="1" si="77"/>
        <v>Feb-2024</v>
      </c>
    </row>
    <row r="833" spans="1:18">
      <c r="A833">
        <v>26</v>
      </c>
      <c r="B833">
        <v>0</v>
      </c>
      <c r="C833">
        <v>3</v>
      </c>
      <c r="D833">
        <v>10</v>
      </c>
      <c r="E833">
        <v>4</v>
      </c>
      <c r="F833">
        <v>19.040315568900098</v>
      </c>
      <c r="G833">
        <v>56</v>
      </c>
      <c r="H833">
        <v>23</v>
      </c>
      <c r="I833">
        <v>94</v>
      </c>
      <c r="J833">
        <v>1</v>
      </c>
      <c r="K833">
        <v>1</v>
      </c>
      <c r="L833" s="2">
        <f t="shared" si="72"/>
        <v>45292</v>
      </c>
      <c r="M833" s="2">
        <f t="shared" ca="1" si="73"/>
        <v>45313</v>
      </c>
      <c r="N833" s="2">
        <f t="shared" ca="1" si="74"/>
        <v>45327</v>
      </c>
      <c r="O833" s="3">
        <f t="shared" ca="1" si="75"/>
        <v>21</v>
      </c>
      <c r="P833" s="3">
        <f t="shared" ca="1" si="76"/>
        <v>14</v>
      </c>
      <c r="Q833" s="1" t="str">
        <f>IF(K833=1,"Joined",IF(H833&gt;=70,"Dropped at Offer",IF(H833&gt;=50,"Dropped at Interview","Dropped at Screening")))</f>
        <v>Joined</v>
      </c>
      <c r="R833" s="1" t="str">
        <f t="shared" ca="1" si="77"/>
        <v>Jan-2024</v>
      </c>
    </row>
    <row r="834" spans="1:18">
      <c r="A834">
        <v>33</v>
      </c>
      <c r="B834">
        <v>1</v>
      </c>
      <c r="C834">
        <v>4</v>
      </c>
      <c r="D834">
        <v>4</v>
      </c>
      <c r="E834">
        <v>3</v>
      </c>
      <c r="F834">
        <v>38.642373754569199</v>
      </c>
      <c r="G834">
        <v>26</v>
      </c>
      <c r="H834">
        <v>22</v>
      </c>
      <c r="I834">
        <v>55</v>
      </c>
      <c r="J834">
        <v>2</v>
      </c>
      <c r="K834">
        <v>0</v>
      </c>
      <c r="L834" s="2">
        <f t="shared" ref="L834:L897" si="78">DATE(2024,1,1)</f>
        <v>45292</v>
      </c>
      <c r="M834" s="2">
        <f t="shared" ref="M834:M897" ca="1" si="79">L834+RANDBETWEEN(14,45)</f>
        <v>45310</v>
      </c>
      <c r="N834" s="2" t="str">
        <f t="shared" ref="N834:N897" ca="1" si="80">IF(K834=1, M834+RANDBETWEEN(7,30), "N/A")</f>
        <v>N/A</v>
      </c>
      <c r="O834" s="3">
        <f t="shared" ref="O834:O897" ca="1" si="81">IF(AND(M834&lt;&gt;"",L834&lt;&gt;""), M834-L834, "N/A")</f>
        <v>18</v>
      </c>
      <c r="P834" s="3" t="str">
        <f t="shared" ref="P834:Q897" ca="1" si="82">IF(AND(K834=1, N834&lt;&gt;"", M834&lt;&gt;""), N834 - M834, "N/A")</f>
        <v>N/A</v>
      </c>
      <c r="Q834" s="1" t="str">
        <f>IF(K834=1,"Joined",IF(H834&gt;=70,"Dropped at Offer",IF(H834&gt;=50,"Dropped at Interview","Dropped at Screening")))</f>
        <v>Dropped at Screening</v>
      </c>
      <c r="R834" s="1" t="str">
        <f t="shared" ref="R834:R897" ca="1" si="83">TEXT(M834,"MMM-YYYY")</f>
        <v>Jan-2024</v>
      </c>
    </row>
    <row r="835" spans="1:18">
      <c r="A835">
        <v>32</v>
      </c>
      <c r="B835">
        <v>1</v>
      </c>
      <c r="C835">
        <v>3</v>
      </c>
      <c r="D835">
        <v>2</v>
      </c>
      <c r="E835">
        <v>1</v>
      </c>
      <c r="F835">
        <v>26.0016957784804</v>
      </c>
      <c r="G835">
        <v>74</v>
      </c>
      <c r="H835">
        <v>9</v>
      </c>
      <c r="I835">
        <v>31</v>
      </c>
      <c r="J835">
        <v>2</v>
      </c>
      <c r="K835">
        <v>0</v>
      </c>
      <c r="L835" s="2">
        <f t="shared" si="78"/>
        <v>45292</v>
      </c>
      <c r="M835" s="2">
        <f t="shared" ca="1" si="79"/>
        <v>45330</v>
      </c>
      <c r="N835" s="2" t="str">
        <f t="shared" ca="1" si="80"/>
        <v>N/A</v>
      </c>
      <c r="O835" s="3">
        <f t="shared" ca="1" si="81"/>
        <v>38</v>
      </c>
      <c r="P835" s="3" t="str">
        <f t="shared" ca="1" si="82"/>
        <v>N/A</v>
      </c>
      <c r="Q835" s="1" t="str">
        <f>IF(K835=1,"Joined",IF(H835&gt;=70,"Dropped at Offer",IF(H835&gt;=50,"Dropped at Interview","Dropped at Screening")))</f>
        <v>Dropped at Screening</v>
      </c>
      <c r="R835" s="1" t="str">
        <f t="shared" ca="1" si="83"/>
        <v>Feb-2024</v>
      </c>
    </row>
    <row r="836" spans="1:18">
      <c r="A836">
        <v>27</v>
      </c>
      <c r="B836">
        <v>1</v>
      </c>
      <c r="C836">
        <v>2</v>
      </c>
      <c r="D836">
        <v>4</v>
      </c>
      <c r="E836">
        <v>3</v>
      </c>
      <c r="F836">
        <v>7.3905922180191297</v>
      </c>
      <c r="G836">
        <v>4</v>
      </c>
      <c r="H836">
        <v>53</v>
      </c>
      <c r="I836">
        <v>8</v>
      </c>
      <c r="J836">
        <v>2</v>
      </c>
      <c r="K836">
        <v>0</v>
      </c>
      <c r="L836" s="2">
        <f t="shared" si="78"/>
        <v>45292</v>
      </c>
      <c r="M836" s="2">
        <f t="shared" ca="1" si="79"/>
        <v>45326</v>
      </c>
      <c r="N836" s="2" t="str">
        <f t="shared" ca="1" si="80"/>
        <v>N/A</v>
      </c>
      <c r="O836" s="3">
        <f t="shared" ca="1" si="81"/>
        <v>34</v>
      </c>
      <c r="P836" s="3" t="str">
        <f t="shared" ca="1" si="82"/>
        <v>N/A</v>
      </c>
      <c r="Q836" s="1" t="str">
        <f>IF(K836=1,"Joined",IF(H836&gt;=70,"Dropped at Offer",IF(H836&gt;=50,"Dropped at Interview","Dropped at Screening")))</f>
        <v>Dropped at Interview</v>
      </c>
      <c r="R836" s="1" t="str">
        <f t="shared" ca="1" si="83"/>
        <v>Feb-2024</v>
      </c>
    </row>
    <row r="837" spans="1:18">
      <c r="A837">
        <v>29</v>
      </c>
      <c r="B837">
        <v>0</v>
      </c>
      <c r="C837">
        <v>2</v>
      </c>
      <c r="D837">
        <v>11</v>
      </c>
      <c r="E837">
        <v>4</v>
      </c>
      <c r="F837">
        <v>30.1118724401293</v>
      </c>
      <c r="G837">
        <v>70</v>
      </c>
      <c r="H837">
        <v>40</v>
      </c>
      <c r="I837">
        <v>62</v>
      </c>
      <c r="J837">
        <v>2</v>
      </c>
      <c r="K837">
        <v>0</v>
      </c>
      <c r="L837" s="2">
        <f t="shared" si="78"/>
        <v>45292</v>
      </c>
      <c r="M837" s="2">
        <f t="shared" ca="1" si="79"/>
        <v>45314</v>
      </c>
      <c r="N837" s="2" t="str">
        <f t="shared" ca="1" si="80"/>
        <v>N/A</v>
      </c>
      <c r="O837" s="3">
        <f t="shared" ca="1" si="81"/>
        <v>22</v>
      </c>
      <c r="P837" s="3" t="str">
        <f t="shared" ca="1" si="82"/>
        <v>N/A</v>
      </c>
      <c r="Q837" s="1" t="str">
        <f>IF(K837=1,"Joined",IF(H837&gt;=70,"Dropped at Offer",IF(H837&gt;=50,"Dropped at Interview","Dropped at Screening")))</f>
        <v>Dropped at Screening</v>
      </c>
      <c r="R837" s="1" t="str">
        <f t="shared" ca="1" si="83"/>
        <v>Jan-2024</v>
      </c>
    </row>
    <row r="838" spans="1:18">
      <c r="A838">
        <v>28</v>
      </c>
      <c r="B838">
        <v>1</v>
      </c>
      <c r="C838">
        <v>2</v>
      </c>
      <c r="D838">
        <v>1</v>
      </c>
      <c r="E838">
        <v>3</v>
      </c>
      <c r="F838">
        <v>15.9937134222032</v>
      </c>
      <c r="G838">
        <v>82</v>
      </c>
      <c r="H838">
        <v>48</v>
      </c>
      <c r="I838">
        <v>71</v>
      </c>
      <c r="J838">
        <v>1</v>
      </c>
      <c r="K838">
        <v>1</v>
      </c>
      <c r="L838" s="2">
        <f t="shared" si="78"/>
        <v>45292</v>
      </c>
      <c r="M838" s="2">
        <f t="shared" ca="1" si="79"/>
        <v>45325</v>
      </c>
      <c r="N838" s="2">
        <f t="shared" ca="1" si="80"/>
        <v>45343</v>
      </c>
      <c r="O838" s="3">
        <f t="shared" ca="1" si="81"/>
        <v>33</v>
      </c>
      <c r="P838" s="3">
        <f t="shared" ca="1" si="82"/>
        <v>18</v>
      </c>
      <c r="Q838" s="1" t="str">
        <f>IF(K838=1,"Joined",IF(H838&gt;=70,"Dropped at Offer",IF(H838&gt;=50,"Dropped at Interview","Dropped at Screening")))</f>
        <v>Joined</v>
      </c>
      <c r="R838" s="1" t="str">
        <f t="shared" ca="1" si="83"/>
        <v>Feb-2024</v>
      </c>
    </row>
    <row r="839" spans="1:18">
      <c r="A839">
        <v>37</v>
      </c>
      <c r="B839">
        <v>1</v>
      </c>
      <c r="C839">
        <v>1</v>
      </c>
      <c r="D839">
        <v>3</v>
      </c>
      <c r="E839">
        <v>4</v>
      </c>
      <c r="F839">
        <v>2.7201604226729099</v>
      </c>
      <c r="G839">
        <v>56</v>
      </c>
      <c r="H839">
        <v>16</v>
      </c>
      <c r="I839">
        <v>77</v>
      </c>
      <c r="J839">
        <v>2</v>
      </c>
      <c r="K839">
        <v>0</v>
      </c>
      <c r="L839" s="2">
        <f t="shared" si="78"/>
        <v>45292</v>
      </c>
      <c r="M839" s="2">
        <f t="shared" ca="1" si="79"/>
        <v>45312</v>
      </c>
      <c r="N839" s="2" t="str">
        <f t="shared" ca="1" si="80"/>
        <v>N/A</v>
      </c>
      <c r="O839" s="3">
        <f t="shared" ca="1" si="81"/>
        <v>20</v>
      </c>
      <c r="P839" s="3" t="str">
        <f t="shared" ca="1" si="82"/>
        <v>N/A</v>
      </c>
      <c r="Q839" s="1" t="str">
        <f>IF(K839=1,"Joined",IF(H839&gt;=70,"Dropped at Offer",IF(H839&gt;=50,"Dropped at Interview","Dropped at Screening")))</f>
        <v>Dropped at Screening</v>
      </c>
      <c r="R839" s="1" t="str">
        <f t="shared" ca="1" si="83"/>
        <v>Jan-2024</v>
      </c>
    </row>
    <row r="840" spans="1:18">
      <c r="A840">
        <v>46</v>
      </c>
      <c r="B840">
        <v>1</v>
      </c>
      <c r="C840">
        <v>2</v>
      </c>
      <c r="D840">
        <v>5</v>
      </c>
      <c r="E840">
        <v>5</v>
      </c>
      <c r="F840">
        <v>32.746486505887098</v>
      </c>
      <c r="G840">
        <v>92</v>
      </c>
      <c r="H840">
        <v>55</v>
      </c>
      <c r="I840">
        <v>32</v>
      </c>
      <c r="J840">
        <v>2</v>
      </c>
      <c r="K840">
        <v>0</v>
      </c>
      <c r="L840" s="2">
        <f t="shared" si="78"/>
        <v>45292</v>
      </c>
      <c r="M840" s="2">
        <f t="shared" ca="1" si="79"/>
        <v>45330</v>
      </c>
      <c r="N840" s="2" t="str">
        <f t="shared" ca="1" si="80"/>
        <v>N/A</v>
      </c>
      <c r="O840" s="3">
        <f t="shared" ca="1" si="81"/>
        <v>38</v>
      </c>
      <c r="P840" s="3" t="str">
        <f t="shared" ca="1" si="82"/>
        <v>N/A</v>
      </c>
      <c r="Q840" s="1" t="str">
        <f>IF(K840=1,"Joined",IF(H840&gt;=70,"Dropped at Offer",IF(H840&gt;=50,"Dropped at Interview","Dropped at Screening")))</f>
        <v>Dropped at Interview</v>
      </c>
      <c r="R840" s="1" t="str">
        <f t="shared" ca="1" si="83"/>
        <v>Feb-2024</v>
      </c>
    </row>
    <row r="841" spans="1:18">
      <c r="A841">
        <v>45</v>
      </c>
      <c r="B841">
        <v>1</v>
      </c>
      <c r="C841">
        <v>4</v>
      </c>
      <c r="D841">
        <v>0</v>
      </c>
      <c r="E841">
        <v>1</v>
      </c>
      <c r="F841">
        <v>43.946617466236297</v>
      </c>
      <c r="G841">
        <v>14</v>
      </c>
      <c r="H841">
        <v>44</v>
      </c>
      <c r="I841">
        <v>86</v>
      </c>
      <c r="J841">
        <v>1</v>
      </c>
      <c r="K841">
        <v>1</v>
      </c>
      <c r="L841" s="2">
        <f t="shared" si="78"/>
        <v>45292</v>
      </c>
      <c r="M841" s="2">
        <f t="shared" ca="1" si="79"/>
        <v>45308</v>
      </c>
      <c r="N841" s="2">
        <f t="shared" ca="1" si="80"/>
        <v>45327</v>
      </c>
      <c r="O841" s="3">
        <f t="shared" ca="1" si="81"/>
        <v>16</v>
      </c>
      <c r="P841" s="3">
        <f t="shared" ca="1" si="82"/>
        <v>19</v>
      </c>
      <c r="Q841" s="1" t="str">
        <f>IF(K841=1,"Joined",IF(H841&gt;=70,"Dropped at Offer",IF(H841&gt;=50,"Dropped at Interview","Dropped at Screening")))</f>
        <v>Joined</v>
      </c>
      <c r="R841" s="1" t="str">
        <f t="shared" ca="1" si="83"/>
        <v>Jan-2024</v>
      </c>
    </row>
    <row r="842" spans="1:18">
      <c r="A842">
        <v>21</v>
      </c>
      <c r="B842">
        <v>0</v>
      </c>
      <c r="C842">
        <v>3</v>
      </c>
      <c r="D842">
        <v>9</v>
      </c>
      <c r="E842">
        <v>5</v>
      </c>
      <c r="F842">
        <v>18.238488344993701</v>
      </c>
      <c r="G842">
        <v>98</v>
      </c>
      <c r="H842">
        <v>29</v>
      </c>
      <c r="I842">
        <v>20</v>
      </c>
      <c r="J842">
        <v>2</v>
      </c>
      <c r="K842">
        <v>0</v>
      </c>
      <c r="L842" s="2">
        <f t="shared" si="78"/>
        <v>45292</v>
      </c>
      <c r="M842" s="2">
        <f t="shared" ca="1" si="79"/>
        <v>45316</v>
      </c>
      <c r="N842" s="2" t="str">
        <f t="shared" ca="1" si="80"/>
        <v>N/A</v>
      </c>
      <c r="O842" s="3">
        <f t="shared" ca="1" si="81"/>
        <v>24</v>
      </c>
      <c r="P842" s="3" t="str">
        <f t="shared" ca="1" si="82"/>
        <v>N/A</v>
      </c>
      <c r="Q842" s="1" t="str">
        <f>IF(K842=1,"Joined",IF(H842&gt;=70,"Dropped at Offer",IF(H842&gt;=50,"Dropped at Interview","Dropped at Screening")))</f>
        <v>Dropped at Screening</v>
      </c>
      <c r="R842" s="1" t="str">
        <f t="shared" ca="1" si="83"/>
        <v>Jan-2024</v>
      </c>
    </row>
    <row r="843" spans="1:18">
      <c r="A843">
        <v>24</v>
      </c>
      <c r="B843">
        <v>0</v>
      </c>
      <c r="C843">
        <v>2</v>
      </c>
      <c r="D843">
        <v>3</v>
      </c>
      <c r="E843">
        <v>2</v>
      </c>
      <c r="F843">
        <v>20.514777360638501</v>
      </c>
      <c r="G843">
        <v>100</v>
      </c>
      <c r="H843">
        <v>43</v>
      </c>
      <c r="I843">
        <v>54</v>
      </c>
      <c r="J843">
        <v>3</v>
      </c>
      <c r="K843">
        <v>0</v>
      </c>
      <c r="L843" s="2">
        <f t="shared" si="78"/>
        <v>45292</v>
      </c>
      <c r="M843" s="2">
        <f t="shared" ca="1" si="79"/>
        <v>45335</v>
      </c>
      <c r="N843" s="2" t="str">
        <f t="shared" ca="1" si="80"/>
        <v>N/A</v>
      </c>
      <c r="O843" s="3">
        <f t="shared" ca="1" si="81"/>
        <v>43</v>
      </c>
      <c r="P843" s="3" t="str">
        <f t="shared" ca="1" si="82"/>
        <v>N/A</v>
      </c>
      <c r="Q843" s="1" t="str">
        <f>IF(K843=1,"Joined",IF(H843&gt;=70,"Dropped at Offer",IF(H843&gt;=50,"Dropped at Interview","Dropped at Screening")))</f>
        <v>Dropped at Screening</v>
      </c>
      <c r="R843" s="1" t="str">
        <f t="shared" ca="1" si="83"/>
        <v>Feb-2024</v>
      </c>
    </row>
    <row r="844" spans="1:18">
      <c r="A844">
        <v>48</v>
      </c>
      <c r="B844">
        <v>1</v>
      </c>
      <c r="C844">
        <v>2</v>
      </c>
      <c r="D844">
        <v>5</v>
      </c>
      <c r="E844">
        <v>3</v>
      </c>
      <c r="F844">
        <v>45.551084148360502</v>
      </c>
      <c r="G844">
        <v>75</v>
      </c>
      <c r="H844">
        <v>73</v>
      </c>
      <c r="I844">
        <v>75</v>
      </c>
      <c r="J844">
        <v>3</v>
      </c>
      <c r="K844">
        <v>0</v>
      </c>
      <c r="L844" s="2">
        <f t="shared" si="78"/>
        <v>45292</v>
      </c>
      <c r="M844" s="2">
        <f t="shared" ca="1" si="79"/>
        <v>45325</v>
      </c>
      <c r="N844" s="2" t="str">
        <f t="shared" ca="1" si="80"/>
        <v>N/A</v>
      </c>
      <c r="O844" s="3">
        <f t="shared" ca="1" si="81"/>
        <v>33</v>
      </c>
      <c r="P844" s="3" t="str">
        <f t="shared" ca="1" si="82"/>
        <v>N/A</v>
      </c>
      <c r="Q844" s="1" t="str">
        <f>IF(K844=1,"Joined",IF(H844&gt;=70,"Dropped at Offer",IF(H844&gt;=50,"Dropped at Interview","Dropped at Screening")))</f>
        <v>Dropped at Offer</v>
      </c>
      <c r="R844" s="1" t="str">
        <f t="shared" ca="1" si="83"/>
        <v>Feb-2024</v>
      </c>
    </row>
    <row r="845" spans="1:18">
      <c r="A845">
        <v>24</v>
      </c>
      <c r="B845">
        <v>1</v>
      </c>
      <c r="C845">
        <v>3</v>
      </c>
      <c r="D845">
        <v>8</v>
      </c>
      <c r="E845">
        <v>2</v>
      </c>
      <c r="F845">
        <v>41.680440668367702</v>
      </c>
      <c r="G845">
        <v>29</v>
      </c>
      <c r="H845">
        <v>54</v>
      </c>
      <c r="I845">
        <v>56</v>
      </c>
      <c r="J845">
        <v>2</v>
      </c>
      <c r="K845">
        <v>0</v>
      </c>
      <c r="L845" s="2">
        <f t="shared" si="78"/>
        <v>45292</v>
      </c>
      <c r="M845" s="2">
        <f t="shared" ca="1" si="79"/>
        <v>45333</v>
      </c>
      <c r="N845" s="2" t="str">
        <f t="shared" ca="1" si="80"/>
        <v>N/A</v>
      </c>
      <c r="O845" s="3">
        <f t="shared" ca="1" si="81"/>
        <v>41</v>
      </c>
      <c r="P845" s="3" t="str">
        <f t="shared" ca="1" si="82"/>
        <v>N/A</v>
      </c>
      <c r="Q845" s="1" t="str">
        <f>IF(K845=1,"Joined",IF(H845&gt;=70,"Dropped at Offer",IF(H845&gt;=50,"Dropped at Interview","Dropped at Screening")))</f>
        <v>Dropped at Interview</v>
      </c>
      <c r="R845" s="1" t="str">
        <f t="shared" ca="1" si="83"/>
        <v>Feb-2024</v>
      </c>
    </row>
    <row r="846" spans="1:18">
      <c r="A846">
        <v>25</v>
      </c>
      <c r="B846">
        <v>0</v>
      </c>
      <c r="C846">
        <v>1</v>
      </c>
      <c r="D846">
        <v>13</v>
      </c>
      <c r="E846">
        <v>3</v>
      </c>
      <c r="F846">
        <v>36.747641177588797</v>
      </c>
      <c r="G846">
        <v>19</v>
      </c>
      <c r="H846">
        <v>18</v>
      </c>
      <c r="I846">
        <v>1</v>
      </c>
      <c r="J846">
        <v>2</v>
      </c>
      <c r="K846">
        <v>0</v>
      </c>
      <c r="L846" s="2">
        <f t="shared" si="78"/>
        <v>45292</v>
      </c>
      <c r="M846" s="2">
        <f t="shared" ca="1" si="79"/>
        <v>45316</v>
      </c>
      <c r="N846" s="2" t="str">
        <f t="shared" ca="1" si="80"/>
        <v>N/A</v>
      </c>
      <c r="O846" s="3">
        <f t="shared" ca="1" si="81"/>
        <v>24</v>
      </c>
      <c r="P846" s="3" t="str">
        <f t="shared" ca="1" si="82"/>
        <v>N/A</v>
      </c>
      <c r="Q846" s="1" t="str">
        <f>IF(K846=1,"Joined",IF(H846&gt;=70,"Dropped at Offer",IF(H846&gt;=50,"Dropped at Interview","Dropped at Screening")))</f>
        <v>Dropped at Screening</v>
      </c>
      <c r="R846" s="1" t="str">
        <f t="shared" ca="1" si="83"/>
        <v>Jan-2024</v>
      </c>
    </row>
    <row r="847" spans="1:18">
      <c r="A847">
        <v>38</v>
      </c>
      <c r="B847">
        <v>0</v>
      </c>
      <c r="C847">
        <v>2</v>
      </c>
      <c r="D847">
        <v>10</v>
      </c>
      <c r="E847">
        <v>5</v>
      </c>
      <c r="F847">
        <v>13.439853187657301</v>
      </c>
      <c r="G847">
        <v>36</v>
      </c>
      <c r="H847">
        <v>28</v>
      </c>
      <c r="I847">
        <v>12</v>
      </c>
      <c r="J847">
        <v>1</v>
      </c>
      <c r="K847">
        <v>0</v>
      </c>
      <c r="L847" s="2">
        <f t="shared" si="78"/>
        <v>45292</v>
      </c>
      <c r="M847" s="2">
        <f t="shared" ca="1" si="79"/>
        <v>45317</v>
      </c>
      <c r="N847" s="2" t="str">
        <f t="shared" ca="1" si="80"/>
        <v>N/A</v>
      </c>
      <c r="O847" s="3">
        <f t="shared" ca="1" si="81"/>
        <v>25</v>
      </c>
      <c r="P847" s="3" t="str">
        <f t="shared" ca="1" si="82"/>
        <v>N/A</v>
      </c>
      <c r="Q847" s="1" t="str">
        <f>IF(K847=1,"Joined",IF(H847&gt;=70,"Dropped at Offer",IF(H847&gt;=50,"Dropped at Interview","Dropped at Screening")))</f>
        <v>Dropped at Screening</v>
      </c>
      <c r="R847" s="1" t="str">
        <f t="shared" ca="1" si="83"/>
        <v>Jan-2024</v>
      </c>
    </row>
    <row r="848" spans="1:18">
      <c r="A848">
        <v>27</v>
      </c>
      <c r="B848">
        <v>1</v>
      </c>
      <c r="C848">
        <v>3</v>
      </c>
      <c r="D848">
        <v>15</v>
      </c>
      <c r="E848">
        <v>4</v>
      </c>
      <c r="F848">
        <v>46.510832748332199</v>
      </c>
      <c r="G848">
        <v>2</v>
      </c>
      <c r="H848">
        <v>1</v>
      </c>
      <c r="I848">
        <v>3</v>
      </c>
      <c r="J848">
        <v>2</v>
      </c>
      <c r="K848">
        <v>0</v>
      </c>
      <c r="L848" s="2">
        <f t="shared" si="78"/>
        <v>45292</v>
      </c>
      <c r="M848" s="2">
        <f t="shared" ca="1" si="79"/>
        <v>45313</v>
      </c>
      <c r="N848" s="2" t="str">
        <f t="shared" ca="1" si="80"/>
        <v>N/A</v>
      </c>
      <c r="O848" s="3">
        <f t="shared" ca="1" si="81"/>
        <v>21</v>
      </c>
      <c r="P848" s="3" t="str">
        <f t="shared" ca="1" si="82"/>
        <v>N/A</v>
      </c>
      <c r="Q848" s="1" t="str">
        <f>IF(K848=1,"Joined",IF(H848&gt;=70,"Dropped at Offer",IF(H848&gt;=50,"Dropped at Interview","Dropped at Screening")))</f>
        <v>Dropped at Screening</v>
      </c>
      <c r="R848" s="1" t="str">
        <f t="shared" ca="1" si="83"/>
        <v>Jan-2024</v>
      </c>
    </row>
    <row r="849" spans="1:18">
      <c r="A849">
        <v>35</v>
      </c>
      <c r="B849">
        <v>0</v>
      </c>
      <c r="C849">
        <v>2</v>
      </c>
      <c r="D849">
        <v>10</v>
      </c>
      <c r="E849">
        <v>4</v>
      </c>
      <c r="F849">
        <v>8.7207878769606495</v>
      </c>
      <c r="G849">
        <v>72</v>
      </c>
      <c r="H849">
        <v>35</v>
      </c>
      <c r="I849">
        <v>83</v>
      </c>
      <c r="J849">
        <v>2</v>
      </c>
      <c r="K849">
        <v>0</v>
      </c>
      <c r="L849" s="2">
        <f t="shared" si="78"/>
        <v>45292</v>
      </c>
      <c r="M849" s="2">
        <f t="shared" ca="1" si="79"/>
        <v>45324</v>
      </c>
      <c r="N849" s="2" t="str">
        <f t="shared" ca="1" si="80"/>
        <v>N/A</v>
      </c>
      <c r="O849" s="3">
        <f t="shared" ca="1" si="81"/>
        <v>32</v>
      </c>
      <c r="P849" s="3" t="str">
        <f t="shared" ca="1" si="82"/>
        <v>N/A</v>
      </c>
      <c r="Q849" s="1" t="str">
        <f>IF(K849=1,"Joined",IF(H849&gt;=70,"Dropped at Offer",IF(H849&gt;=50,"Dropped at Interview","Dropped at Screening")))</f>
        <v>Dropped at Screening</v>
      </c>
      <c r="R849" s="1" t="str">
        <f t="shared" ca="1" si="83"/>
        <v>Feb-2024</v>
      </c>
    </row>
    <row r="850" spans="1:18">
      <c r="A850">
        <v>32</v>
      </c>
      <c r="B850">
        <v>1</v>
      </c>
      <c r="C850">
        <v>1</v>
      </c>
      <c r="D850">
        <v>12</v>
      </c>
      <c r="E850">
        <v>3</v>
      </c>
      <c r="F850">
        <v>32.338525970860999</v>
      </c>
      <c r="G850">
        <v>40</v>
      </c>
      <c r="H850">
        <v>18</v>
      </c>
      <c r="I850">
        <v>49</v>
      </c>
      <c r="J850">
        <v>2</v>
      </c>
      <c r="K850">
        <v>0</v>
      </c>
      <c r="L850" s="2">
        <f t="shared" si="78"/>
        <v>45292</v>
      </c>
      <c r="M850" s="2">
        <f t="shared" ca="1" si="79"/>
        <v>45320</v>
      </c>
      <c r="N850" s="2" t="str">
        <f t="shared" ca="1" si="80"/>
        <v>N/A</v>
      </c>
      <c r="O850" s="3">
        <f t="shared" ca="1" si="81"/>
        <v>28</v>
      </c>
      <c r="P850" s="3" t="str">
        <f t="shared" ca="1" si="82"/>
        <v>N/A</v>
      </c>
      <c r="Q850" s="1" t="str">
        <f>IF(K850=1,"Joined",IF(H850&gt;=70,"Dropped at Offer",IF(H850&gt;=50,"Dropped at Interview","Dropped at Screening")))</f>
        <v>Dropped at Screening</v>
      </c>
      <c r="R850" s="1" t="str">
        <f t="shared" ca="1" si="83"/>
        <v>Jan-2024</v>
      </c>
    </row>
    <row r="851" spans="1:18">
      <c r="A851">
        <v>20</v>
      </c>
      <c r="B851">
        <v>0</v>
      </c>
      <c r="C851">
        <v>2</v>
      </c>
      <c r="D851">
        <v>1</v>
      </c>
      <c r="E851">
        <v>4</v>
      </c>
      <c r="F851">
        <v>2.4400590273259302</v>
      </c>
      <c r="G851">
        <v>38</v>
      </c>
      <c r="H851">
        <v>6</v>
      </c>
      <c r="I851">
        <v>47</v>
      </c>
      <c r="J851">
        <v>3</v>
      </c>
      <c r="K851">
        <v>0</v>
      </c>
      <c r="L851" s="2">
        <f t="shared" si="78"/>
        <v>45292</v>
      </c>
      <c r="M851" s="2">
        <f t="shared" ca="1" si="79"/>
        <v>45325</v>
      </c>
      <c r="N851" s="2" t="str">
        <f t="shared" ca="1" si="80"/>
        <v>N/A</v>
      </c>
      <c r="O851" s="3">
        <f t="shared" ca="1" si="81"/>
        <v>33</v>
      </c>
      <c r="P851" s="3" t="str">
        <f t="shared" ca="1" si="82"/>
        <v>N/A</v>
      </c>
      <c r="Q851" s="1" t="str">
        <f>IF(K851=1,"Joined",IF(H851&gt;=70,"Dropped at Offer",IF(H851&gt;=50,"Dropped at Interview","Dropped at Screening")))</f>
        <v>Dropped at Screening</v>
      </c>
      <c r="R851" s="1" t="str">
        <f t="shared" ca="1" si="83"/>
        <v>Feb-2024</v>
      </c>
    </row>
    <row r="852" spans="1:18">
      <c r="A852">
        <v>41</v>
      </c>
      <c r="B852">
        <v>0</v>
      </c>
      <c r="C852">
        <v>3</v>
      </c>
      <c r="D852">
        <v>10</v>
      </c>
      <c r="E852">
        <v>5</v>
      </c>
      <c r="F852">
        <v>33.185990316247199</v>
      </c>
      <c r="G852">
        <v>25</v>
      </c>
      <c r="H852">
        <v>25</v>
      </c>
      <c r="I852">
        <v>77</v>
      </c>
      <c r="J852">
        <v>2</v>
      </c>
      <c r="K852">
        <v>0</v>
      </c>
      <c r="L852" s="2">
        <f t="shared" si="78"/>
        <v>45292</v>
      </c>
      <c r="M852" s="2">
        <f t="shared" ca="1" si="79"/>
        <v>45334</v>
      </c>
      <c r="N852" s="2" t="str">
        <f t="shared" ca="1" si="80"/>
        <v>N/A</v>
      </c>
      <c r="O852" s="3">
        <f t="shared" ca="1" si="81"/>
        <v>42</v>
      </c>
      <c r="P852" s="3" t="str">
        <f t="shared" ca="1" si="82"/>
        <v>N/A</v>
      </c>
      <c r="Q852" s="1" t="str">
        <f>IF(K852=1,"Joined",IF(H852&gt;=70,"Dropped at Offer",IF(H852&gt;=50,"Dropped at Interview","Dropped at Screening")))</f>
        <v>Dropped at Screening</v>
      </c>
      <c r="R852" s="1" t="str">
        <f t="shared" ca="1" si="83"/>
        <v>Feb-2024</v>
      </c>
    </row>
    <row r="853" spans="1:18">
      <c r="A853">
        <v>39</v>
      </c>
      <c r="B853">
        <v>0</v>
      </c>
      <c r="C853">
        <v>2</v>
      </c>
      <c r="D853">
        <v>6</v>
      </c>
      <c r="E853">
        <v>4</v>
      </c>
      <c r="F853">
        <v>14.857217593667899</v>
      </c>
      <c r="G853">
        <v>1</v>
      </c>
      <c r="H853">
        <v>78</v>
      </c>
      <c r="I853">
        <v>29</v>
      </c>
      <c r="J853">
        <v>1</v>
      </c>
      <c r="K853">
        <v>1</v>
      </c>
      <c r="L853" s="2">
        <f t="shared" si="78"/>
        <v>45292</v>
      </c>
      <c r="M853" s="2">
        <f t="shared" ca="1" si="79"/>
        <v>45326</v>
      </c>
      <c r="N853" s="2">
        <f t="shared" ca="1" si="80"/>
        <v>45349</v>
      </c>
      <c r="O853" s="3">
        <f t="shared" ca="1" si="81"/>
        <v>34</v>
      </c>
      <c r="P853" s="3">
        <f t="shared" ca="1" si="82"/>
        <v>23</v>
      </c>
      <c r="Q853" s="1" t="str">
        <f>IF(K853=1,"Joined",IF(H853&gt;=70,"Dropped at Offer",IF(H853&gt;=50,"Dropped at Interview","Dropped at Screening")))</f>
        <v>Joined</v>
      </c>
      <c r="R853" s="1" t="str">
        <f t="shared" ca="1" si="83"/>
        <v>Feb-2024</v>
      </c>
    </row>
    <row r="854" spans="1:18">
      <c r="A854">
        <v>36</v>
      </c>
      <c r="B854">
        <v>0</v>
      </c>
      <c r="C854">
        <v>2</v>
      </c>
      <c r="D854">
        <v>5</v>
      </c>
      <c r="E854">
        <v>5</v>
      </c>
      <c r="F854">
        <v>23.483848859186001</v>
      </c>
      <c r="G854">
        <v>22</v>
      </c>
      <c r="H854">
        <v>37</v>
      </c>
      <c r="I854">
        <v>28</v>
      </c>
      <c r="J854">
        <v>1</v>
      </c>
      <c r="K854">
        <v>0</v>
      </c>
      <c r="L854" s="2">
        <f t="shared" si="78"/>
        <v>45292</v>
      </c>
      <c r="M854" s="2">
        <f t="shared" ca="1" si="79"/>
        <v>45310</v>
      </c>
      <c r="N854" s="2" t="str">
        <f t="shared" ca="1" si="80"/>
        <v>N/A</v>
      </c>
      <c r="O854" s="3">
        <f t="shared" ca="1" si="81"/>
        <v>18</v>
      </c>
      <c r="P854" s="3" t="str">
        <f t="shared" ca="1" si="82"/>
        <v>N/A</v>
      </c>
      <c r="Q854" s="1" t="str">
        <f>IF(K854=1,"Joined",IF(H854&gt;=70,"Dropped at Offer",IF(H854&gt;=50,"Dropped at Interview","Dropped at Screening")))</f>
        <v>Dropped at Screening</v>
      </c>
      <c r="R854" s="1" t="str">
        <f t="shared" ca="1" si="83"/>
        <v>Jan-2024</v>
      </c>
    </row>
    <row r="855" spans="1:18">
      <c r="A855">
        <v>50</v>
      </c>
      <c r="B855">
        <v>1</v>
      </c>
      <c r="C855">
        <v>2</v>
      </c>
      <c r="D855">
        <v>1</v>
      </c>
      <c r="E855">
        <v>2</v>
      </c>
      <c r="F855">
        <v>18.263227602852599</v>
      </c>
      <c r="G855">
        <v>22</v>
      </c>
      <c r="H855">
        <v>2</v>
      </c>
      <c r="I855">
        <v>7</v>
      </c>
      <c r="J855">
        <v>2</v>
      </c>
      <c r="K855">
        <v>0</v>
      </c>
      <c r="L855" s="2">
        <f t="shared" si="78"/>
        <v>45292</v>
      </c>
      <c r="M855" s="2">
        <f t="shared" ca="1" si="79"/>
        <v>45322</v>
      </c>
      <c r="N855" s="2" t="str">
        <f t="shared" ca="1" si="80"/>
        <v>N/A</v>
      </c>
      <c r="O855" s="3">
        <f t="shared" ca="1" si="81"/>
        <v>30</v>
      </c>
      <c r="P855" s="3" t="str">
        <f t="shared" ca="1" si="82"/>
        <v>N/A</v>
      </c>
      <c r="Q855" s="1" t="str">
        <f>IF(K855=1,"Joined",IF(H855&gt;=70,"Dropped at Offer",IF(H855&gt;=50,"Dropped at Interview","Dropped at Screening")))</f>
        <v>Dropped at Screening</v>
      </c>
      <c r="R855" s="1" t="str">
        <f t="shared" ca="1" si="83"/>
        <v>Jan-2024</v>
      </c>
    </row>
    <row r="856" spans="1:18">
      <c r="A856">
        <v>26</v>
      </c>
      <c r="B856">
        <v>0</v>
      </c>
      <c r="C856">
        <v>2</v>
      </c>
      <c r="D856">
        <v>7</v>
      </c>
      <c r="E856">
        <v>5</v>
      </c>
      <c r="F856">
        <v>9.6378378123104902</v>
      </c>
      <c r="G856">
        <v>84</v>
      </c>
      <c r="H856">
        <v>79</v>
      </c>
      <c r="I856">
        <v>11</v>
      </c>
      <c r="J856">
        <v>2</v>
      </c>
      <c r="K856">
        <v>0</v>
      </c>
      <c r="L856" s="2">
        <f t="shared" si="78"/>
        <v>45292</v>
      </c>
      <c r="M856" s="2">
        <f t="shared" ca="1" si="79"/>
        <v>45319</v>
      </c>
      <c r="N856" s="2" t="str">
        <f t="shared" ca="1" si="80"/>
        <v>N/A</v>
      </c>
      <c r="O856" s="3">
        <f t="shared" ca="1" si="81"/>
        <v>27</v>
      </c>
      <c r="P856" s="3" t="str">
        <f t="shared" ca="1" si="82"/>
        <v>N/A</v>
      </c>
      <c r="Q856" s="1" t="str">
        <f>IF(K856=1,"Joined",IF(H856&gt;=70,"Dropped at Offer",IF(H856&gt;=50,"Dropped at Interview","Dropped at Screening")))</f>
        <v>Dropped at Offer</v>
      </c>
      <c r="R856" s="1" t="str">
        <f t="shared" ca="1" si="83"/>
        <v>Jan-2024</v>
      </c>
    </row>
    <row r="857" spans="1:18">
      <c r="A857">
        <v>44</v>
      </c>
      <c r="B857">
        <v>0</v>
      </c>
      <c r="C857">
        <v>2</v>
      </c>
      <c r="D857">
        <v>6</v>
      </c>
      <c r="E857">
        <v>1</v>
      </c>
      <c r="F857">
        <v>32.0990395046937</v>
      </c>
      <c r="G857">
        <v>15</v>
      </c>
      <c r="H857">
        <v>65</v>
      </c>
      <c r="I857">
        <v>40</v>
      </c>
      <c r="J857">
        <v>3</v>
      </c>
      <c r="K857">
        <v>0</v>
      </c>
      <c r="L857" s="2">
        <f t="shared" si="78"/>
        <v>45292</v>
      </c>
      <c r="M857" s="2">
        <f t="shared" ca="1" si="79"/>
        <v>45335</v>
      </c>
      <c r="N857" s="2" t="str">
        <f t="shared" ca="1" si="80"/>
        <v>N/A</v>
      </c>
      <c r="O857" s="3">
        <f t="shared" ca="1" si="81"/>
        <v>43</v>
      </c>
      <c r="P857" s="3" t="str">
        <f t="shared" ca="1" si="82"/>
        <v>N/A</v>
      </c>
      <c r="Q857" s="1" t="str">
        <f>IF(K857=1,"Joined",IF(H857&gt;=70,"Dropped at Offer",IF(H857&gt;=50,"Dropped at Interview","Dropped at Screening")))</f>
        <v>Dropped at Interview</v>
      </c>
      <c r="R857" s="1" t="str">
        <f t="shared" ca="1" si="83"/>
        <v>Feb-2024</v>
      </c>
    </row>
    <row r="858" spans="1:18">
      <c r="A858">
        <v>32</v>
      </c>
      <c r="B858">
        <v>1</v>
      </c>
      <c r="C858">
        <v>3</v>
      </c>
      <c r="D858">
        <v>10</v>
      </c>
      <c r="E858">
        <v>1</v>
      </c>
      <c r="F858">
        <v>45.098777757030298</v>
      </c>
      <c r="G858">
        <v>8</v>
      </c>
      <c r="H858">
        <v>94</v>
      </c>
      <c r="I858">
        <v>25</v>
      </c>
      <c r="J858">
        <v>2</v>
      </c>
      <c r="K858">
        <v>0</v>
      </c>
      <c r="L858" s="2">
        <f t="shared" si="78"/>
        <v>45292</v>
      </c>
      <c r="M858" s="2">
        <f t="shared" ca="1" si="79"/>
        <v>45313</v>
      </c>
      <c r="N858" s="2" t="str">
        <f t="shared" ca="1" si="80"/>
        <v>N/A</v>
      </c>
      <c r="O858" s="3">
        <f t="shared" ca="1" si="81"/>
        <v>21</v>
      </c>
      <c r="P858" s="3" t="str">
        <f t="shared" ca="1" si="82"/>
        <v>N/A</v>
      </c>
      <c r="Q858" s="1" t="str">
        <f>IF(K858=1,"Joined",IF(H858&gt;=70,"Dropped at Offer",IF(H858&gt;=50,"Dropped at Interview","Dropped at Screening")))</f>
        <v>Dropped at Offer</v>
      </c>
      <c r="R858" s="1" t="str">
        <f t="shared" ca="1" si="83"/>
        <v>Jan-2024</v>
      </c>
    </row>
    <row r="859" spans="1:18">
      <c r="A859">
        <v>23</v>
      </c>
      <c r="B859">
        <v>0</v>
      </c>
      <c r="C859">
        <v>1</v>
      </c>
      <c r="D859">
        <v>4</v>
      </c>
      <c r="E859">
        <v>1</v>
      </c>
      <c r="F859">
        <v>48.954212114120097</v>
      </c>
      <c r="G859">
        <v>12</v>
      </c>
      <c r="H859">
        <v>91</v>
      </c>
      <c r="I859">
        <v>49</v>
      </c>
      <c r="J859">
        <v>2</v>
      </c>
      <c r="K859">
        <v>0</v>
      </c>
      <c r="L859" s="2">
        <f t="shared" si="78"/>
        <v>45292</v>
      </c>
      <c r="M859" s="2">
        <f t="shared" ca="1" si="79"/>
        <v>45324</v>
      </c>
      <c r="N859" s="2" t="str">
        <f t="shared" ca="1" si="80"/>
        <v>N/A</v>
      </c>
      <c r="O859" s="3">
        <f t="shared" ca="1" si="81"/>
        <v>32</v>
      </c>
      <c r="P859" s="3" t="str">
        <f t="shared" ca="1" si="82"/>
        <v>N/A</v>
      </c>
      <c r="Q859" s="1" t="str">
        <f>IF(K859=1,"Joined",IF(H859&gt;=70,"Dropped at Offer",IF(H859&gt;=50,"Dropped at Interview","Dropped at Screening")))</f>
        <v>Dropped at Offer</v>
      </c>
      <c r="R859" s="1" t="str">
        <f t="shared" ca="1" si="83"/>
        <v>Feb-2024</v>
      </c>
    </row>
    <row r="860" spans="1:18">
      <c r="A860">
        <v>23</v>
      </c>
      <c r="B860">
        <v>0</v>
      </c>
      <c r="C860">
        <v>3</v>
      </c>
      <c r="D860">
        <v>11</v>
      </c>
      <c r="E860">
        <v>3</v>
      </c>
      <c r="F860">
        <v>10.617318157695699</v>
      </c>
      <c r="G860">
        <v>27</v>
      </c>
      <c r="H860">
        <v>70</v>
      </c>
      <c r="I860">
        <v>1</v>
      </c>
      <c r="J860">
        <v>2</v>
      </c>
      <c r="K860">
        <v>0</v>
      </c>
      <c r="L860" s="2">
        <f t="shared" si="78"/>
        <v>45292</v>
      </c>
      <c r="M860" s="2">
        <f t="shared" ca="1" si="79"/>
        <v>45308</v>
      </c>
      <c r="N860" s="2" t="str">
        <f t="shared" ca="1" si="80"/>
        <v>N/A</v>
      </c>
      <c r="O860" s="3">
        <f t="shared" ca="1" si="81"/>
        <v>16</v>
      </c>
      <c r="P860" s="3" t="str">
        <f t="shared" ca="1" si="82"/>
        <v>N/A</v>
      </c>
      <c r="Q860" s="1" t="str">
        <f>IF(K860=1,"Joined",IF(H860&gt;=70,"Dropped at Offer",IF(H860&gt;=50,"Dropped at Interview","Dropped at Screening")))</f>
        <v>Dropped at Offer</v>
      </c>
      <c r="R860" s="1" t="str">
        <f t="shared" ca="1" si="83"/>
        <v>Jan-2024</v>
      </c>
    </row>
    <row r="861" spans="1:18">
      <c r="A861">
        <v>25</v>
      </c>
      <c r="B861">
        <v>1</v>
      </c>
      <c r="C861">
        <v>1</v>
      </c>
      <c r="D861">
        <v>4</v>
      </c>
      <c r="E861">
        <v>3</v>
      </c>
      <c r="F861">
        <v>36.868638703148598</v>
      </c>
      <c r="G861">
        <v>26</v>
      </c>
      <c r="H861">
        <v>93</v>
      </c>
      <c r="I861">
        <v>54</v>
      </c>
      <c r="J861">
        <v>2</v>
      </c>
      <c r="K861">
        <v>0</v>
      </c>
      <c r="L861" s="2">
        <f t="shared" si="78"/>
        <v>45292</v>
      </c>
      <c r="M861" s="2">
        <f t="shared" ca="1" si="79"/>
        <v>45312</v>
      </c>
      <c r="N861" s="2" t="str">
        <f t="shared" ca="1" si="80"/>
        <v>N/A</v>
      </c>
      <c r="O861" s="3">
        <f t="shared" ca="1" si="81"/>
        <v>20</v>
      </c>
      <c r="P861" s="3" t="str">
        <f t="shared" ca="1" si="82"/>
        <v>N/A</v>
      </c>
      <c r="Q861" s="1" t="str">
        <f>IF(K861=1,"Joined",IF(H861&gt;=70,"Dropped at Offer",IF(H861&gt;=50,"Dropped at Interview","Dropped at Screening")))</f>
        <v>Dropped at Offer</v>
      </c>
      <c r="R861" s="1" t="str">
        <f t="shared" ca="1" si="83"/>
        <v>Jan-2024</v>
      </c>
    </row>
    <row r="862" spans="1:18">
      <c r="A862">
        <v>47</v>
      </c>
      <c r="B862">
        <v>0</v>
      </c>
      <c r="C862">
        <v>2</v>
      </c>
      <c r="D862">
        <v>6</v>
      </c>
      <c r="E862">
        <v>3</v>
      </c>
      <c r="F862">
        <v>34.216968330284097</v>
      </c>
      <c r="G862">
        <v>50</v>
      </c>
      <c r="H862">
        <v>42</v>
      </c>
      <c r="I862">
        <v>55</v>
      </c>
      <c r="J862">
        <v>2</v>
      </c>
      <c r="K862">
        <v>0</v>
      </c>
      <c r="L862" s="2">
        <f t="shared" si="78"/>
        <v>45292</v>
      </c>
      <c r="M862" s="2">
        <f t="shared" ca="1" si="79"/>
        <v>45321</v>
      </c>
      <c r="N862" s="2" t="str">
        <f t="shared" ca="1" si="80"/>
        <v>N/A</v>
      </c>
      <c r="O862" s="3">
        <f t="shared" ca="1" si="81"/>
        <v>29</v>
      </c>
      <c r="P862" s="3" t="str">
        <f t="shared" ca="1" si="82"/>
        <v>N/A</v>
      </c>
      <c r="Q862" s="1" t="str">
        <f>IF(K862=1,"Joined",IF(H862&gt;=70,"Dropped at Offer",IF(H862&gt;=50,"Dropped at Interview","Dropped at Screening")))</f>
        <v>Dropped at Screening</v>
      </c>
      <c r="R862" s="1" t="str">
        <f t="shared" ca="1" si="83"/>
        <v>Jan-2024</v>
      </c>
    </row>
    <row r="863" spans="1:18">
      <c r="A863">
        <v>50</v>
      </c>
      <c r="B863">
        <v>1</v>
      </c>
      <c r="C863">
        <v>1</v>
      </c>
      <c r="D863">
        <v>8</v>
      </c>
      <c r="E863">
        <v>5</v>
      </c>
      <c r="F863">
        <v>18.168889478728602</v>
      </c>
      <c r="G863">
        <v>63</v>
      </c>
      <c r="H863">
        <v>61</v>
      </c>
      <c r="I863">
        <v>13</v>
      </c>
      <c r="J863">
        <v>2</v>
      </c>
      <c r="K863">
        <v>0</v>
      </c>
      <c r="L863" s="2">
        <f t="shared" si="78"/>
        <v>45292</v>
      </c>
      <c r="M863" s="2">
        <f t="shared" ca="1" si="79"/>
        <v>45320</v>
      </c>
      <c r="N863" s="2" t="str">
        <f t="shared" ca="1" si="80"/>
        <v>N/A</v>
      </c>
      <c r="O863" s="3">
        <f t="shared" ca="1" si="81"/>
        <v>28</v>
      </c>
      <c r="P863" s="3" t="str">
        <f t="shared" ca="1" si="82"/>
        <v>N/A</v>
      </c>
      <c r="Q863" s="1" t="str">
        <f>IF(K863=1,"Joined",IF(H863&gt;=70,"Dropped at Offer",IF(H863&gt;=50,"Dropped at Interview","Dropped at Screening")))</f>
        <v>Dropped at Interview</v>
      </c>
      <c r="R863" s="1" t="str">
        <f t="shared" ca="1" si="83"/>
        <v>Jan-2024</v>
      </c>
    </row>
    <row r="864" spans="1:18">
      <c r="A864">
        <v>38</v>
      </c>
      <c r="B864">
        <v>1</v>
      </c>
      <c r="C864">
        <v>2</v>
      </c>
      <c r="D864">
        <v>10</v>
      </c>
      <c r="E864">
        <v>3</v>
      </c>
      <c r="F864">
        <v>1.9549599676862901</v>
      </c>
      <c r="G864">
        <v>51</v>
      </c>
      <c r="H864">
        <v>70</v>
      </c>
      <c r="I864">
        <v>5</v>
      </c>
      <c r="J864">
        <v>2</v>
      </c>
      <c r="K864">
        <v>0</v>
      </c>
      <c r="L864" s="2">
        <f t="shared" si="78"/>
        <v>45292</v>
      </c>
      <c r="M864" s="2">
        <f t="shared" ca="1" si="79"/>
        <v>45315</v>
      </c>
      <c r="N864" s="2" t="str">
        <f t="shared" ca="1" si="80"/>
        <v>N/A</v>
      </c>
      <c r="O864" s="3">
        <f t="shared" ca="1" si="81"/>
        <v>23</v>
      </c>
      <c r="P864" s="3" t="str">
        <f t="shared" ca="1" si="82"/>
        <v>N/A</v>
      </c>
      <c r="Q864" s="1" t="str">
        <f>IF(K864=1,"Joined",IF(H864&gt;=70,"Dropped at Offer",IF(H864&gt;=50,"Dropped at Interview","Dropped at Screening")))</f>
        <v>Dropped at Offer</v>
      </c>
      <c r="R864" s="1" t="str">
        <f t="shared" ca="1" si="83"/>
        <v>Jan-2024</v>
      </c>
    </row>
    <row r="865" spans="1:18">
      <c r="A865">
        <v>48</v>
      </c>
      <c r="B865">
        <v>1</v>
      </c>
      <c r="C865">
        <v>2</v>
      </c>
      <c r="D865">
        <v>14</v>
      </c>
      <c r="E865">
        <v>2</v>
      </c>
      <c r="F865">
        <v>35.489562365643302</v>
      </c>
      <c r="G865">
        <v>80</v>
      </c>
      <c r="H865">
        <v>99</v>
      </c>
      <c r="I865">
        <v>94</v>
      </c>
      <c r="J865">
        <v>1</v>
      </c>
      <c r="K865">
        <v>1</v>
      </c>
      <c r="L865" s="2">
        <f t="shared" si="78"/>
        <v>45292</v>
      </c>
      <c r="M865" s="2">
        <f t="shared" ca="1" si="79"/>
        <v>45317</v>
      </c>
      <c r="N865" s="2">
        <f t="shared" ca="1" si="80"/>
        <v>45328</v>
      </c>
      <c r="O865" s="3">
        <f t="shared" ca="1" si="81"/>
        <v>25</v>
      </c>
      <c r="P865" s="3">
        <f t="shared" ca="1" si="82"/>
        <v>11</v>
      </c>
      <c r="Q865" s="1" t="str">
        <f>IF(K865=1,"Joined",IF(H865&gt;=70,"Dropped at Offer",IF(H865&gt;=50,"Dropped at Interview","Dropped at Screening")))</f>
        <v>Joined</v>
      </c>
      <c r="R865" s="1" t="str">
        <f t="shared" ca="1" si="83"/>
        <v>Jan-2024</v>
      </c>
    </row>
    <row r="866" spans="1:18">
      <c r="A866">
        <v>31</v>
      </c>
      <c r="B866">
        <v>1</v>
      </c>
      <c r="C866">
        <v>2</v>
      </c>
      <c r="D866">
        <v>8</v>
      </c>
      <c r="E866">
        <v>1</v>
      </c>
      <c r="F866">
        <v>48.274743027974999</v>
      </c>
      <c r="G866">
        <v>37</v>
      </c>
      <c r="H866">
        <v>92</v>
      </c>
      <c r="I866">
        <v>80</v>
      </c>
      <c r="J866">
        <v>3</v>
      </c>
      <c r="K866">
        <v>0</v>
      </c>
      <c r="L866" s="2">
        <f t="shared" si="78"/>
        <v>45292</v>
      </c>
      <c r="M866" s="2">
        <f t="shared" ca="1" si="79"/>
        <v>45327</v>
      </c>
      <c r="N866" s="2" t="str">
        <f t="shared" ca="1" si="80"/>
        <v>N/A</v>
      </c>
      <c r="O866" s="3">
        <f t="shared" ca="1" si="81"/>
        <v>35</v>
      </c>
      <c r="P866" s="3" t="str">
        <f t="shared" ca="1" si="82"/>
        <v>N/A</v>
      </c>
      <c r="Q866" s="1" t="str">
        <f>IF(K866=1,"Joined",IF(H866&gt;=70,"Dropped at Offer",IF(H866&gt;=50,"Dropped at Interview","Dropped at Screening")))</f>
        <v>Dropped at Offer</v>
      </c>
      <c r="R866" s="1" t="str">
        <f t="shared" ca="1" si="83"/>
        <v>Feb-2024</v>
      </c>
    </row>
    <row r="867" spans="1:18">
      <c r="A867">
        <v>41</v>
      </c>
      <c r="B867">
        <v>0</v>
      </c>
      <c r="C867">
        <v>1</v>
      </c>
      <c r="D867">
        <v>8</v>
      </c>
      <c r="E867">
        <v>5</v>
      </c>
      <c r="F867">
        <v>32.606006095782497</v>
      </c>
      <c r="G867">
        <v>99</v>
      </c>
      <c r="H867">
        <v>23</v>
      </c>
      <c r="I867">
        <v>88</v>
      </c>
      <c r="J867">
        <v>2</v>
      </c>
      <c r="K867">
        <v>0</v>
      </c>
      <c r="L867" s="2">
        <f t="shared" si="78"/>
        <v>45292</v>
      </c>
      <c r="M867" s="2">
        <f t="shared" ca="1" si="79"/>
        <v>45324</v>
      </c>
      <c r="N867" s="2" t="str">
        <f t="shared" ca="1" si="80"/>
        <v>N/A</v>
      </c>
      <c r="O867" s="3">
        <f t="shared" ca="1" si="81"/>
        <v>32</v>
      </c>
      <c r="P867" s="3" t="str">
        <f t="shared" ca="1" si="82"/>
        <v>N/A</v>
      </c>
      <c r="Q867" s="1" t="str">
        <f>IF(K867=1,"Joined",IF(H867&gt;=70,"Dropped at Offer",IF(H867&gt;=50,"Dropped at Interview","Dropped at Screening")))</f>
        <v>Dropped at Screening</v>
      </c>
      <c r="R867" s="1" t="str">
        <f t="shared" ca="1" si="83"/>
        <v>Feb-2024</v>
      </c>
    </row>
    <row r="868" spans="1:18">
      <c r="A868">
        <v>26</v>
      </c>
      <c r="B868">
        <v>1</v>
      </c>
      <c r="C868">
        <v>2</v>
      </c>
      <c r="D868">
        <v>5</v>
      </c>
      <c r="E868">
        <v>1</v>
      </c>
      <c r="F868">
        <v>22.764636209381699</v>
      </c>
      <c r="G868">
        <v>64</v>
      </c>
      <c r="H868">
        <v>38</v>
      </c>
      <c r="I868">
        <v>60</v>
      </c>
      <c r="J868">
        <v>1</v>
      </c>
      <c r="K868">
        <v>0</v>
      </c>
      <c r="L868" s="2">
        <f t="shared" si="78"/>
        <v>45292</v>
      </c>
      <c r="M868" s="2">
        <f t="shared" ca="1" si="79"/>
        <v>45329</v>
      </c>
      <c r="N868" s="2" t="str">
        <f t="shared" ca="1" si="80"/>
        <v>N/A</v>
      </c>
      <c r="O868" s="3">
        <f t="shared" ca="1" si="81"/>
        <v>37</v>
      </c>
      <c r="P868" s="3" t="str">
        <f t="shared" ca="1" si="82"/>
        <v>N/A</v>
      </c>
      <c r="Q868" s="1" t="str">
        <f>IF(K868=1,"Joined",IF(H868&gt;=70,"Dropped at Offer",IF(H868&gt;=50,"Dropped at Interview","Dropped at Screening")))</f>
        <v>Dropped at Screening</v>
      </c>
      <c r="R868" s="1" t="str">
        <f t="shared" ca="1" si="83"/>
        <v>Feb-2024</v>
      </c>
    </row>
    <row r="869" spans="1:18">
      <c r="A869">
        <v>46</v>
      </c>
      <c r="B869">
        <v>0</v>
      </c>
      <c r="C869">
        <v>1</v>
      </c>
      <c r="D869">
        <v>9</v>
      </c>
      <c r="E869">
        <v>3</v>
      </c>
      <c r="F869">
        <v>27.2576947055814</v>
      </c>
      <c r="G869">
        <v>17</v>
      </c>
      <c r="H869">
        <v>67</v>
      </c>
      <c r="I869">
        <v>95</v>
      </c>
      <c r="J869">
        <v>1</v>
      </c>
      <c r="K869">
        <v>1</v>
      </c>
      <c r="L869" s="2">
        <f t="shared" si="78"/>
        <v>45292</v>
      </c>
      <c r="M869" s="2">
        <f t="shared" ca="1" si="79"/>
        <v>45315</v>
      </c>
      <c r="N869" s="2">
        <f t="shared" ca="1" si="80"/>
        <v>45335</v>
      </c>
      <c r="O869" s="3">
        <f t="shared" ca="1" si="81"/>
        <v>23</v>
      </c>
      <c r="P869" s="3">
        <f t="shared" ca="1" si="82"/>
        <v>20</v>
      </c>
      <c r="Q869" s="1" t="str">
        <f>IF(K869=1,"Joined",IF(H869&gt;=70,"Dropped at Offer",IF(H869&gt;=50,"Dropped at Interview","Dropped at Screening")))</f>
        <v>Joined</v>
      </c>
      <c r="R869" s="1" t="str">
        <f t="shared" ca="1" si="83"/>
        <v>Jan-2024</v>
      </c>
    </row>
    <row r="870" spans="1:18">
      <c r="A870">
        <v>29</v>
      </c>
      <c r="B870">
        <v>0</v>
      </c>
      <c r="C870">
        <v>3</v>
      </c>
      <c r="D870">
        <v>5</v>
      </c>
      <c r="E870">
        <v>5</v>
      </c>
      <c r="F870">
        <v>10.9814403829958</v>
      </c>
      <c r="G870">
        <v>62</v>
      </c>
      <c r="H870">
        <v>92</v>
      </c>
      <c r="I870">
        <v>11</v>
      </c>
      <c r="J870">
        <v>1</v>
      </c>
      <c r="K870">
        <v>1</v>
      </c>
      <c r="L870" s="2">
        <f t="shared" si="78"/>
        <v>45292</v>
      </c>
      <c r="M870" s="2">
        <f t="shared" ca="1" si="79"/>
        <v>45309</v>
      </c>
      <c r="N870" s="2">
        <f t="shared" ca="1" si="80"/>
        <v>45323</v>
      </c>
      <c r="O870" s="3">
        <f t="shared" ca="1" si="81"/>
        <v>17</v>
      </c>
      <c r="P870" s="3">
        <f t="shared" ca="1" si="82"/>
        <v>14</v>
      </c>
      <c r="Q870" s="1" t="str">
        <f>IF(K870=1,"Joined",IF(H870&gt;=70,"Dropped at Offer",IF(H870&gt;=50,"Dropped at Interview","Dropped at Screening")))</f>
        <v>Joined</v>
      </c>
      <c r="R870" s="1" t="str">
        <f t="shared" ca="1" si="83"/>
        <v>Jan-2024</v>
      </c>
    </row>
    <row r="871" spans="1:18">
      <c r="A871">
        <v>45</v>
      </c>
      <c r="B871">
        <v>0</v>
      </c>
      <c r="C871">
        <v>4</v>
      </c>
      <c r="D871">
        <v>2</v>
      </c>
      <c r="E871">
        <v>4</v>
      </c>
      <c r="F871">
        <v>38.527208187686803</v>
      </c>
      <c r="G871">
        <v>50</v>
      </c>
      <c r="H871">
        <v>43</v>
      </c>
      <c r="I871">
        <v>12</v>
      </c>
      <c r="J871">
        <v>2</v>
      </c>
      <c r="K871">
        <v>0</v>
      </c>
      <c r="L871" s="2">
        <f t="shared" si="78"/>
        <v>45292</v>
      </c>
      <c r="M871" s="2">
        <f t="shared" ca="1" si="79"/>
        <v>45311</v>
      </c>
      <c r="N871" s="2" t="str">
        <f t="shared" ca="1" si="80"/>
        <v>N/A</v>
      </c>
      <c r="O871" s="3">
        <f t="shared" ca="1" si="81"/>
        <v>19</v>
      </c>
      <c r="P871" s="3" t="str">
        <f t="shared" ca="1" si="82"/>
        <v>N/A</v>
      </c>
      <c r="Q871" s="1" t="str">
        <f>IF(K871=1,"Joined",IF(H871&gt;=70,"Dropped at Offer",IF(H871&gt;=50,"Dropped at Interview","Dropped at Screening")))</f>
        <v>Dropped at Screening</v>
      </c>
      <c r="R871" s="1" t="str">
        <f t="shared" ca="1" si="83"/>
        <v>Jan-2024</v>
      </c>
    </row>
    <row r="872" spans="1:18">
      <c r="A872">
        <v>38</v>
      </c>
      <c r="B872">
        <v>0</v>
      </c>
      <c r="C872">
        <v>2</v>
      </c>
      <c r="D872">
        <v>0</v>
      </c>
      <c r="E872">
        <v>2</v>
      </c>
      <c r="F872">
        <v>38.320991500492397</v>
      </c>
      <c r="G872">
        <v>8</v>
      </c>
      <c r="H872">
        <v>4</v>
      </c>
      <c r="I872">
        <v>18</v>
      </c>
      <c r="J872">
        <v>1</v>
      </c>
      <c r="K872">
        <v>0</v>
      </c>
      <c r="L872" s="2">
        <f t="shared" si="78"/>
        <v>45292</v>
      </c>
      <c r="M872" s="2">
        <f t="shared" ca="1" si="79"/>
        <v>45316</v>
      </c>
      <c r="N872" s="2" t="str">
        <f t="shared" ca="1" si="80"/>
        <v>N/A</v>
      </c>
      <c r="O872" s="3">
        <f t="shared" ca="1" si="81"/>
        <v>24</v>
      </c>
      <c r="P872" s="3" t="str">
        <f t="shared" ca="1" si="82"/>
        <v>N/A</v>
      </c>
      <c r="Q872" s="1" t="str">
        <f>IF(K872=1,"Joined",IF(H872&gt;=70,"Dropped at Offer",IF(H872&gt;=50,"Dropped at Interview","Dropped at Screening")))</f>
        <v>Dropped at Screening</v>
      </c>
      <c r="R872" s="1" t="str">
        <f t="shared" ca="1" si="83"/>
        <v>Jan-2024</v>
      </c>
    </row>
    <row r="873" spans="1:18">
      <c r="A873">
        <v>26</v>
      </c>
      <c r="B873">
        <v>0</v>
      </c>
      <c r="C873">
        <v>2</v>
      </c>
      <c r="D873">
        <v>15</v>
      </c>
      <c r="E873">
        <v>3</v>
      </c>
      <c r="F873">
        <v>8.2758650193712402</v>
      </c>
      <c r="G873">
        <v>12</v>
      </c>
      <c r="H873">
        <v>54</v>
      </c>
      <c r="I873">
        <v>43</v>
      </c>
      <c r="J873">
        <v>1</v>
      </c>
      <c r="K873">
        <v>1</v>
      </c>
      <c r="L873" s="2">
        <f t="shared" si="78"/>
        <v>45292</v>
      </c>
      <c r="M873" s="2">
        <f t="shared" ca="1" si="79"/>
        <v>45312</v>
      </c>
      <c r="N873" s="2">
        <f t="shared" ca="1" si="80"/>
        <v>45340</v>
      </c>
      <c r="O873" s="3">
        <f t="shared" ca="1" si="81"/>
        <v>20</v>
      </c>
      <c r="P873" s="3">
        <f t="shared" ca="1" si="82"/>
        <v>28</v>
      </c>
      <c r="Q873" s="1" t="str">
        <f>IF(K873=1,"Joined",IF(H873&gt;=70,"Dropped at Offer",IF(H873&gt;=50,"Dropped at Interview","Dropped at Screening")))</f>
        <v>Joined</v>
      </c>
      <c r="R873" s="1" t="str">
        <f t="shared" ca="1" si="83"/>
        <v>Jan-2024</v>
      </c>
    </row>
    <row r="874" spans="1:18">
      <c r="A874">
        <v>49</v>
      </c>
      <c r="B874">
        <v>0</v>
      </c>
      <c r="C874">
        <v>2</v>
      </c>
      <c r="D874">
        <v>6</v>
      </c>
      <c r="E874">
        <v>3</v>
      </c>
      <c r="F874">
        <v>44.898919124982903</v>
      </c>
      <c r="G874">
        <v>39</v>
      </c>
      <c r="H874">
        <v>92</v>
      </c>
      <c r="I874">
        <v>88</v>
      </c>
      <c r="J874">
        <v>2</v>
      </c>
      <c r="K874">
        <v>0</v>
      </c>
      <c r="L874" s="2">
        <f t="shared" si="78"/>
        <v>45292</v>
      </c>
      <c r="M874" s="2">
        <f t="shared" ca="1" si="79"/>
        <v>45310</v>
      </c>
      <c r="N874" s="2" t="str">
        <f t="shared" ca="1" si="80"/>
        <v>N/A</v>
      </c>
      <c r="O874" s="3">
        <f t="shared" ca="1" si="81"/>
        <v>18</v>
      </c>
      <c r="P874" s="3" t="str">
        <f t="shared" ca="1" si="82"/>
        <v>N/A</v>
      </c>
      <c r="Q874" s="1" t="str">
        <f>IF(K874=1,"Joined",IF(H874&gt;=70,"Dropped at Offer",IF(H874&gt;=50,"Dropped at Interview","Dropped at Screening")))</f>
        <v>Dropped at Offer</v>
      </c>
      <c r="R874" s="1" t="str">
        <f t="shared" ca="1" si="83"/>
        <v>Jan-2024</v>
      </c>
    </row>
    <row r="875" spans="1:18">
      <c r="A875">
        <v>22</v>
      </c>
      <c r="B875">
        <v>0</v>
      </c>
      <c r="C875">
        <v>1</v>
      </c>
      <c r="D875">
        <v>3</v>
      </c>
      <c r="E875">
        <v>2</v>
      </c>
      <c r="F875">
        <v>14.4594869736652</v>
      </c>
      <c r="G875">
        <v>54</v>
      </c>
      <c r="H875">
        <v>29</v>
      </c>
      <c r="I875">
        <v>94</v>
      </c>
      <c r="J875">
        <v>2</v>
      </c>
      <c r="K875">
        <v>0</v>
      </c>
      <c r="L875" s="2">
        <f t="shared" si="78"/>
        <v>45292</v>
      </c>
      <c r="M875" s="2">
        <f t="shared" ca="1" si="79"/>
        <v>45308</v>
      </c>
      <c r="N875" s="2" t="str">
        <f t="shared" ca="1" si="80"/>
        <v>N/A</v>
      </c>
      <c r="O875" s="3">
        <f t="shared" ca="1" si="81"/>
        <v>16</v>
      </c>
      <c r="P875" s="3" t="str">
        <f t="shared" ca="1" si="82"/>
        <v>N/A</v>
      </c>
      <c r="Q875" s="1" t="str">
        <f>IF(K875=1,"Joined",IF(H875&gt;=70,"Dropped at Offer",IF(H875&gt;=50,"Dropped at Interview","Dropped at Screening")))</f>
        <v>Dropped at Screening</v>
      </c>
      <c r="R875" s="1" t="str">
        <f t="shared" ca="1" si="83"/>
        <v>Jan-2024</v>
      </c>
    </row>
    <row r="876" spans="1:18">
      <c r="A876">
        <v>32</v>
      </c>
      <c r="B876">
        <v>0</v>
      </c>
      <c r="C876">
        <v>2</v>
      </c>
      <c r="D876">
        <v>0</v>
      </c>
      <c r="E876">
        <v>2</v>
      </c>
      <c r="F876">
        <v>50.112803046830699</v>
      </c>
      <c r="G876">
        <v>78</v>
      </c>
      <c r="H876">
        <v>28</v>
      </c>
      <c r="I876">
        <v>58</v>
      </c>
      <c r="J876">
        <v>1</v>
      </c>
      <c r="K876">
        <v>0</v>
      </c>
      <c r="L876" s="2">
        <f t="shared" si="78"/>
        <v>45292</v>
      </c>
      <c r="M876" s="2">
        <f t="shared" ca="1" si="79"/>
        <v>45309</v>
      </c>
      <c r="N876" s="2" t="str">
        <f t="shared" ca="1" si="80"/>
        <v>N/A</v>
      </c>
      <c r="O876" s="3">
        <f t="shared" ca="1" si="81"/>
        <v>17</v>
      </c>
      <c r="P876" s="3" t="str">
        <f t="shared" ca="1" si="82"/>
        <v>N/A</v>
      </c>
      <c r="Q876" s="1" t="str">
        <f>IF(K876=1,"Joined",IF(H876&gt;=70,"Dropped at Offer",IF(H876&gt;=50,"Dropped at Interview","Dropped at Screening")))</f>
        <v>Dropped at Screening</v>
      </c>
      <c r="R876" s="1" t="str">
        <f t="shared" ca="1" si="83"/>
        <v>Jan-2024</v>
      </c>
    </row>
    <row r="877" spans="1:18">
      <c r="A877">
        <v>32</v>
      </c>
      <c r="B877">
        <v>0</v>
      </c>
      <c r="C877">
        <v>3</v>
      </c>
      <c r="D877">
        <v>14</v>
      </c>
      <c r="E877">
        <v>4</v>
      </c>
      <c r="F877">
        <v>20.1451507018622</v>
      </c>
      <c r="G877">
        <v>42</v>
      </c>
      <c r="H877">
        <v>25</v>
      </c>
      <c r="I877">
        <v>36</v>
      </c>
      <c r="J877">
        <v>2</v>
      </c>
      <c r="K877">
        <v>0</v>
      </c>
      <c r="L877" s="2">
        <f t="shared" si="78"/>
        <v>45292</v>
      </c>
      <c r="M877" s="2">
        <f t="shared" ca="1" si="79"/>
        <v>45321</v>
      </c>
      <c r="N877" s="2" t="str">
        <f t="shared" ca="1" si="80"/>
        <v>N/A</v>
      </c>
      <c r="O877" s="3">
        <f t="shared" ca="1" si="81"/>
        <v>29</v>
      </c>
      <c r="P877" s="3" t="str">
        <f t="shared" ca="1" si="82"/>
        <v>N/A</v>
      </c>
      <c r="Q877" s="1" t="str">
        <f>IF(K877=1,"Joined",IF(H877&gt;=70,"Dropped at Offer",IF(H877&gt;=50,"Dropped at Interview","Dropped at Screening")))</f>
        <v>Dropped at Screening</v>
      </c>
      <c r="R877" s="1" t="str">
        <f t="shared" ca="1" si="83"/>
        <v>Jan-2024</v>
      </c>
    </row>
    <row r="878" spans="1:18">
      <c r="A878">
        <v>37</v>
      </c>
      <c r="B878">
        <v>0</v>
      </c>
      <c r="C878">
        <v>2</v>
      </c>
      <c r="D878">
        <v>7</v>
      </c>
      <c r="E878">
        <v>3</v>
      </c>
      <c r="F878">
        <v>9.8942029367249802</v>
      </c>
      <c r="G878">
        <v>43</v>
      </c>
      <c r="H878">
        <v>82</v>
      </c>
      <c r="I878">
        <v>24</v>
      </c>
      <c r="J878">
        <v>2</v>
      </c>
      <c r="K878">
        <v>0</v>
      </c>
      <c r="L878" s="2">
        <f t="shared" si="78"/>
        <v>45292</v>
      </c>
      <c r="M878" s="2">
        <f t="shared" ca="1" si="79"/>
        <v>45316</v>
      </c>
      <c r="N878" s="2" t="str">
        <f t="shared" ca="1" si="80"/>
        <v>N/A</v>
      </c>
      <c r="O878" s="3">
        <f t="shared" ca="1" si="81"/>
        <v>24</v>
      </c>
      <c r="P878" s="3" t="str">
        <f t="shared" ca="1" si="82"/>
        <v>N/A</v>
      </c>
      <c r="Q878" s="1" t="str">
        <f>IF(K878=1,"Joined",IF(H878&gt;=70,"Dropped at Offer",IF(H878&gt;=50,"Dropped at Interview","Dropped at Screening")))</f>
        <v>Dropped at Offer</v>
      </c>
      <c r="R878" s="1" t="str">
        <f t="shared" ca="1" si="83"/>
        <v>Jan-2024</v>
      </c>
    </row>
    <row r="879" spans="1:18">
      <c r="A879">
        <v>47</v>
      </c>
      <c r="B879">
        <v>1</v>
      </c>
      <c r="C879">
        <v>1</v>
      </c>
      <c r="D879">
        <v>11</v>
      </c>
      <c r="E879">
        <v>3</v>
      </c>
      <c r="F879">
        <v>18.586005567282601</v>
      </c>
      <c r="G879">
        <v>67</v>
      </c>
      <c r="H879">
        <v>25</v>
      </c>
      <c r="I879">
        <v>15</v>
      </c>
      <c r="J879">
        <v>3</v>
      </c>
      <c r="K879">
        <v>0</v>
      </c>
      <c r="L879" s="2">
        <f t="shared" si="78"/>
        <v>45292</v>
      </c>
      <c r="M879" s="2">
        <f t="shared" ca="1" si="79"/>
        <v>45316</v>
      </c>
      <c r="N879" s="2" t="str">
        <f t="shared" ca="1" si="80"/>
        <v>N/A</v>
      </c>
      <c r="O879" s="3">
        <f t="shared" ca="1" si="81"/>
        <v>24</v>
      </c>
      <c r="P879" s="3" t="str">
        <f t="shared" ca="1" si="82"/>
        <v>N/A</v>
      </c>
      <c r="Q879" s="1" t="str">
        <f>IF(K879=1,"Joined",IF(H879&gt;=70,"Dropped at Offer",IF(H879&gt;=50,"Dropped at Interview","Dropped at Screening")))</f>
        <v>Dropped at Screening</v>
      </c>
      <c r="R879" s="1" t="str">
        <f t="shared" ca="1" si="83"/>
        <v>Jan-2024</v>
      </c>
    </row>
    <row r="880" spans="1:18">
      <c r="A880">
        <v>49</v>
      </c>
      <c r="B880">
        <v>1</v>
      </c>
      <c r="C880">
        <v>3</v>
      </c>
      <c r="D880">
        <v>5</v>
      </c>
      <c r="E880">
        <v>1</v>
      </c>
      <c r="F880">
        <v>23.0090164348596</v>
      </c>
      <c r="G880">
        <v>32</v>
      </c>
      <c r="H880">
        <v>36</v>
      </c>
      <c r="I880">
        <v>37</v>
      </c>
      <c r="J880">
        <v>2</v>
      </c>
      <c r="K880">
        <v>0</v>
      </c>
      <c r="L880" s="2">
        <f t="shared" si="78"/>
        <v>45292</v>
      </c>
      <c r="M880" s="2">
        <f t="shared" ca="1" si="79"/>
        <v>45314</v>
      </c>
      <c r="N880" s="2" t="str">
        <f t="shared" ca="1" si="80"/>
        <v>N/A</v>
      </c>
      <c r="O880" s="3">
        <f t="shared" ca="1" si="81"/>
        <v>22</v>
      </c>
      <c r="P880" s="3" t="str">
        <f t="shared" ca="1" si="82"/>
        <v>N/A</v>
      </c>
      <c r="Q880" s="1" t="str">
        <f>IF(K880=1,"Joined",IF(H880&gt;=70,"Dropped at Offer",IF(H880&gt;=50,"Dropped at Interview","Dropped at Screening")))</f>
        <v>Dropped at Screening</v>
      </c>
      <c r="R880" s="1" t="str">
        <f t="shared" ca="1" si="83"/>
        <v>Jan-2024</v>
      </c>
    </row>
    <row r="881" spans="1:18">
      <c r="A881">
        <v>45</v>
      </c>
      <c r="B881">
        <v>1</v>
      </c>
      <c r="C881">
        <v>2</v>
      </c>
      <c r="D881">
        <v>5</v>
      </c>
      <c r="E881">
        <v>5</v>
      </c>
      <c r="F881">
        <v>4.4653886519147399</v>
      </c>
      <c r="G881">
        <v>23</v>
      </c>
      <c r="H881">
        <v>90</v>
      </c>
      <c r="I881">
        <v>42</v>
      </c>
      <c r="J881">
        <v>1</v>
      </c>
      <c r="K881">
        <v>0</v>
      </c>
      <c r="L881" s="2">
        <f t="shared" si="78"/>
        <v>45292</v>
      </c>
      <c r="M881" s="2">
        <f t="shared" ca="1" si="79"/>
        <v>45323</v>
      </c>
      <c r="N881" s="2" t="str">
        <f t="shared" ca="1" si="80"/>
        <v>N/A</v>
      </c>
      <c r="O881" s="3">
        <f t="shared" ca="1" si="81"/>
        <v>31</v>
      </c>
      <c r="P881" s="3" t="str">
        <f t="shared" ca="1" si="82"/>
        <v>N/A</v>
      </c>
      <c r="Q881" s="1" t="str">
        <f>IF(K881=1,"Joined",IF(H881&gt;=70,"Dropped at Offer",IF(H881&gt;=50,"Dropped at Interview","Dropped at Screening")))</f>
        <v>Dropped at Offer</v>
      </c>
      <c r="R881" s="1" t="str">
        <f t="shared" ca="1" si="83"/>
        <v>Feb-2024</v>
      </c>
    </row>
    <row r="882" spans="1:18">
      <c r="A882">
        <v>39</v>
      </c>
      <c r="B882">
        <v>0</v>
      </c>
      <c r="C882">
        <v>3</v>
      </c>
      <c r="D882">
        <v>1</v>
      </c>
      <c r="E882">
        <v>5</v>
      </c>
      <c r="F882">
        <v>29.9109190611644</v>
      </c>
      <c r="G882">
        <v>35</v>
      </c>
      <c r="H882">
        <v>93</v>
      </c>
      <c r="I882">
        <v>86</v>
      </c>
      <c r="J882">
        <v>2</v>
      </c>
      <c r="K882">
        <v>0</v>
      </c>
      <c r="L882" s="2">
        <f t="shared" si="78"/>
        <v>45292</v>
      </c>
      <c r="M882" s="2">
        <f t="shared" ca="1" si="79"/>
        <v>45332</v>
      </c>
      <c r="N882" s="2" t="str">
        <f t="shared" ca="1" si="80"/>
        <v>N/A</v>
      </c>
      <c r="O882" s="3">
        <f t="shared" ca="1" si="81"/>
        <v>40</v>
      </c>
      <c r="P882" s="3" t="str">
        <f t="shared" ca="1" si="82"/>
        <v>N/A</v>
      </c>
      <c r="Q882" s="1" t="str">
        <f>IF(K882=1,"Joined",IF(H882&gt;=70,"Dropped at Offer",IF(H882&gt;=50,"Dropped at Interview","Dropped at Screening")))</f>
        <v>Dropped at Offer</v>
      </c>
      <c r="R882" s="1" t="str">
        <f t="shared" ca="1" si="83"/>
        <v>Feb-2024</v>
      </c>
    </row>
    <row r="883" spans="1:18">
      <c r="A883">
        <v>47</v>
      </c>
      <c r="B883">
        <v>1</v>
      </c>
      <c r="C883">
        <v>2</v>
      </c>
      <c r="D883">
        <v>14</v>
      </c>
      <c r="E883">
        <v>1</v>
      </c>
      <c r="F883">
        <v>30.881621993444998</v>
      </c>
      <c r="G883">
        <v>9</v>
      </c>
      <c r="H883">
        <v>52</v>
      </c>
      <c r="I883">
        <v>13</v>
      </c>
      <c r="J883">
        <v>2</v>
      </c>
      <c r="K883">
        <v>0</v>
      </c>
      <c r="L883" s="2">
        <f t="shared" si="78"/>
        <v>45292</v>
      </c>
      <c r="M883" s="2">
        <f t="shared" ca="1" si="79"/>
        <v>45308</v>
      </c>
      <c r="N883" s="2" t="str">
        <f t="shared" ca="1" si="80"/>
        <v>N/A</v>
      </c>
      <c r="O883" s="3">
        <f t="shared" ca="1" si="81"/>
        <v>16</v>
      </c>
      <c r="P883" s="3" t="str">
        <f t="shared" ca="1" si="82"/>
        <v>N/A</v>
      </c>
      <c r="Q883" s="1" t="str">
        <f>IF(K883=1,"Joined",IF(H883&gt;=70,"Dropped at Offer",IF(H883&gt;=50,"Dropped at Interview","Dropped at Screening")))</f>
        <v>Dropped at Interview</v>
      </c>
      <c r="R883" s="1" t="str">
        <f t="shared" ca="1" si="83"/>
        <v>Jan-2024</v>
      </c>
    </row>
    <row r="884" spans="1:18">
      <c r="A884">
        <v>27</v>
      </c>
      <c r="B884">
        <v>1</v>
      </c>
      <c r="C884">
        <v>2</v>
      </c>
      <c r="D884">
        <v>0</v>
      </c>
      <c r="E884">
        <v>5</v>
      </c>
      <c r="F884">
        <v>37.946522767473603</v>
      </c>
      <c r="G884">
        <v>99</v>
      </c>
      <c r="H884">
        <v>29</v>
      </c>
      <c r="I884">
        <v>5</v>
      </c>
      <c r="J884">
        <v>1</v>
      </c>
      <c r="K884">
        <v>0</v>
      </c>
      <c r="L884" s="2">
        <f t="shared" si="78"/>
        <v>45292</v>
      </c>
      <c r="M884" s="2">
        <f t="shared" ca="1" si="79"/>
        <v>45323</v>
      </c>
      <c r="N884" s="2" t="str">
        <f t="shared" ca="1" si="80"/>
        <v>N/A</v>
      </c>
      <c r="O884" s="3">
        <f t="shared" ca="1" si="81"/>
        <v>31</v>
      </c>
      <c r="P884" s="3" t="str">
        <f t="shared" ca="1" si="82"/>
        <v>N/A</v>
      </c>
      <c r="Q884" s="1" t="str">
        <f>IF(K884=1,"Joined",IF(H884&gt;=70,"Dropped at Offer",IF(H884&gt;=50,"Dropped at Interview","Dropped at Screening")))</f>
        <v>Dropped at Screening</v>
      </c>
      <c r="R884" s="1" t="str">
        <f t="shared" ca="1" si="83"/>
        <v>Feb-2024</v>
      </c>
    </row>
    <row r="885" spans="1:18">
      <c r="A885">
        <v>48</v>
      </c>
      <c r="B885">
        <v>1</v>
      </c>
      <c r="C885">
        <v>1</v>
      </c>
      <c r="D885">
        <v>12</v>
      </c>
      <c r="E885">
        <v>2</v>
      </c>
      <c r="F885">
        <v>2.4584946145371598</v>
      </c>
      <c r="G885">
        <v>19</v>
      </c>
      <c r="H885">
        <v>2</v>
      </c>
      <c r="I885">
        <v>88</v>
      </c>
      <c r="J885">
        <v>3</v>
      </c>
      <c r="K885">
        <v>0</v>
      </c>
      <c r="L885" s="2">
        <f t="shared" si="78"/>
        <v>45292</v>
      </c>
      <c r="M885" s="2">
        <f t="shared" ca="1" si="79"/>
        <v>45310</v>
      </c>
      <c r="N885" s="2" t="str">
        <f t="shared" ca="1" si="80"/>
        <v>N/A</v>
      </c>
      <c r="O885" s="3">
        <f t="shared" ca="1" si="81"/>
        <v>18</v>
      </c>
      <c r="P885" s="3" t="str">
        <f t="shared" ca="1" si="82"/>
        <v>N/A</v>
      </c>
      <c r="Q885" s="1" t="str">
        <f>IF(K885=1,"Joined",IF(H885&gt;=70,"Dropped at Offer",IF(H885&gt;=50,"Dropped at Interview","Dropped at Screening")))</f>
        <v>Dropped at Screening</v>
      </c>
      <c r="R885" s="1" t="str">
        <f t="shared" ca="1" si="83"/>
        <v>Jan-2024</v>
      </c>
    </row>
    <row r="886" spans="1:18">
      <c r="A886">
        <v>50</v>
      </c>
      <c r="B886">
        <v>0</v>
      </c>
      <c r="C886">
        <v>1</v>
      </c>
      <c r="D886">
        <v>13</v>
      </c>
      <c r="E886">
        <v>5</v>
      </c>
      <c r="F886">
        <v>28.0619107216915</v>
      </c>
      <c r="G886">
        <v>74</v>
      </c>
      <c r="H886">
        <v>42</v>
      </c>
      <c r="I886">
        <v>22</v>
      </c>
      <c r="J886">
        <v>2</v>
      </c>
      <c r="K886">
        <v>0</v>
      </c>
      <c r="L886" s="2">
        <f t="shared" si="78"/>
        <v>45292</v>
      </c>
      <c r="M886" s="2">
        <f t="shared" ca="1" si="79"/>
        <v>45330</v>
      </c>
      <c r="N886" s="2" t="str">
        <f t="shared" ca="1" si="80"/>
        <v>N/A</v>
      </c>
      <c r="O886" s="3">
        <f t="shared" ca="1" si="81"/>
        <v>38</v>
      </c>
      <c r="P886" s="3" t="str">
        <f t="shared" ca="1" si="82"/>
        <v>N/A</v>
      </c>
      <c r="Q886" s="1" t="str">
        <f>IF(K886=1,"Joined",IF(H886&gt;=70,"Dropped at Offer",IF(H886&gt;=50,"Dropped at Interview","Dropped at Screening")))</f>
        <v>Dropped at Screening</v>
      </c>
      <c r="R886" s="1" t="str">
        <f t="shared" ca="1" si="83"/>
        <v>Feb-2024</v>
      </c>
    </row>
    <row r="887" spans="1:18">
      <c r="A887">
        <v>28</v>
      </c>
      <c r="B887">
        <v>0</v>
      </c>
      <c r="C887">
        <v>4</v>
      </c>
      <c r="D887">
        <v>13</v>
      </c>
      <c r="E887">
        <v>5</v>
      </c>
      <c r="F887">
        <v>3.6453716635332101</v>
      </c>
      <c r="G887">
        <v>11</v>
      </c>
      <c r="H887">
        <v>6</v>
      </c>
      <c r="I887">
        <v>59</v>
      </c>
      <c r="J887">
        <v>3</v>
      </c>
      <c r="K887">
        <v>0</v>
      </c>
      <c r="L887" s="2">
        <f t="shared" si="78"/>
        <v>45292</v>
      </c>
      <c r="M887" s="2">
        <f t="shared" ca="1" si="79"/>
        <v>45321</v>
      </c>
      <c r="N887" s="2" t="str">
        <f t="shared" ca="1" si="80"/>
        <v>N/A</v>
      </c>
      <c r="O887" s="3">
        <f t="shared" ca="1" si="81"/>
        <v>29</v>
      </c>
      <c r="P887" s="3" t="str">
        <f t="shared" ca="1" si="82"/>
        <v>N/A</v>
      </c>
      <c r="Q887" s="1" t="str">
        <f>IF(K887=1,"Joined",IF(H887&gt;=70,"Dropped at Offer",IF(H887&gt;=50,"Dropped at Interview","Dropped at Screening")))</f>
        <v>Dropped at Screening</v>
      </c>
      <c r="R887" s="1" t="str">
        <f t="shared" ca="1" si="83"/>
        <v>Jan-2024</v>
      </c>
    </row>
    <row r="888" spans="1:18">
      <c r="A888">
        <v>26</v>
      </c>
      <c r="B888">
        <v>0</v>
      </c>
      <c r="C888">
        <v>2</v>
      </c>
      <c r="D888">
        <v>1</v>
      </c>
      <c r="E888">
        <v>1</v>
      </c>
      <c r="F888">
        <v>36.0572109983326</v>
      </c>
      <c r="G888">
        <v>61</v>
      </c>
      <c r="H888">
        <v>48</v>
      </c>
      <c r="I888">
        <v>11</v>
      </c>
      <c r="J888">
        <v>2</v>
      </c>
      <c r="K888">
        <v>0</v>
      </c>
      <c r="L888" s="2">
        <f t="shared" si="78"/>
        <v>45292</v>
      </c>
      <c r="M888" s="2">
        <f t="shared" ca="1" si="79"/>
        <v>45326</v>
      </c>
      <c r="N888" s="2" t="str">
        <f t="shared" ca="1" si="80"/>
        <v>N/A</v>
      </c>
      <c r="O888" s="3">
        <f t="shared" ca="1" si="81"/>
        <v>34</v>
      </c>
      <c r="P888" s="3" t="str">
        <f t="shared" ca="1" si="82"/>
        <v>N/A</v>
      </c>
      <c r="Q888" s="1" t="str">
        <f>IF(K888=1,"Joined",IF(H888&gt;=70,"Dropped at Offer",IF(H888&gt;=50,"Dropped at Interview","Dropped at Screening")))</f>
        <v>Dropped at Screening</v>
      </c>
      <c r="R888" s="1" t="str">
        <f t="shared" ca="1" si="83"/>
        <v>Feb-2024</v>
      </c>
    </row>
    <row r="889" spans="1:18">
      <c r="A889">
        <v>20</v>
      </c>
      <c r="B889">
        <v>0</v>
      </c>
      <c r="C889">
        <v>4</v>
      </c>
      <c r="D889">
        <v>3</v>
      </c>
      <c r="E889">
        <v>4</v>
      </c>
      <c r="F889">
        <v>3.7863992850492201</v>
      </c>
      <c r="G889">
        <v>17</v>
      </c>
      <c r="H889">
        <v>72</v>
      </c>
      <c r="I889">
        <v>12</v>
      </c>
      <c r="J889">
        <v>2</v>
      </c>
      <c r="K889">
        <v>0</v>
      </c>
      <c r="L889" s="2">
        <f t="shared" si="78"/>
        <v>45292</v>
      </c>
      <c r="M889" s="2">
        <f t="shared" ca="1" si="79"/>
        <v>45306</v>
      </c>
      <c r="N889" s="2" t="str">
        <f t="shared" ca="1" si="80"/>
        <v>N/A</v>
      </c>
      <c r="O889" s="3">
        <f t="shared" ca="1" si="81"/>
        <v>14</v>
      </c>
      <c r="P889" s="3" t="str">
        <f t="shared" ca="1" si="82"/>
        <v>N/A</v>
      </c>
      <c r="Q889" s="1" t="str">
        <f>IF(K889=1,"Joined",IF(H889&gt;=70,"Dropped at Offer",IF(H889&gt;=50,"Dropped at Interview","Dropped at Screening")))</f>
        <v>Dropped at Offer</v>
      </c>
      <c r="R889" s="1" t="str">
        <f t="shared" ca="1" si="83"/>
        <v>Jan-2024</v>
      </c>
    </row>
    <row r="890" spans="1:18">
      <c r="A890">
        <v>22</v>
      </c>
      <c r="B890">
        <v>1</v>
      </c>
      <c r="C890">
        <v>2</v>
      </c>
      <c r="D890">
        <v>1</v>
      </c>
      <c r="E890">
        <v>5</v>
      </c>
      <c r="F890">
        <v>46.586392417081598</v>
      </c>
      <c r="G890">
        <v>93</v>
      </c>
      <c r="H890">
        <v>40</v>
      </c>
      <c r="I890">
        <v>99</v>
      </c>
      <c r="J890">
        <v>2</v>
      </c>
      <c r="K890">
        <v>0</v>
      </c>
      <c r="L890" s="2">
        <f t="shared" si="78"/>
        <v>45292</v>
      </c>
      <c r="M890" s="2">
        <f t="shared" ca="1" si="79"/>
        <v>45337</v>
      </c>
      <c r="N890" s="2" t="str">
        <f t="shared" ca="1" si="80"/>
        <v>N/A</v>
      </c>
      <c r="O890" s="3">
        <f t="shared" ca="1" si="81"/>
        <v>45</v>
      </c>
      <c r="P890" s="3" t="str">
        <f t="shared" ca="1" si="82"/>
        <v>N/A</v>
      </c>
      <c r="Q890" s="1" t="str">
        <f>IF(K890=1,"Joined",IF(H890&gt;=70,"Dropped at Offer",IF(H890&gt;=50,"Dropped at Interview","Dropped at Screening")))</f>
        <v>Dropped at Screening</v>
      </c>
      <c r="R890" s="1" t="str">
        <f t="shared" ca="1" si="83"/>
        <v>Feb-2024</v>
      </c>
    </row>
    <row r="891" spans="1:18">
      <c r="A891">
        <v>32</v>
      </c>
      <c r="B891">
        <v>1</v>
      </c>
      <c r="C891">
        <v>1</v>
      </c>
      <c r="D891">
        <v>15</v>
      </c>
      <c r="E891">
        <v>5</v>
      </c>
      <c r="F891">
        <v>36.104128344224797</v>
      </c>
      <c r="G891">
        <v>100</v>
      </c>
      <c r="H891">
        <v>76</v>
      </c>
      <c r="I891">
        <v>97</v>
      </c>
      <c r="J891">
        <v>2</v>
      </c>
      <c r="K891">
        <v>1</v>
      </c>
      <c r="L891" s="2">
        <f t="shared" si="78"/>
        <v>45292</v>
      </c>
      <c r="M891" s="2">
        <f t="shared" ca="1" si="79"/>
        <v>45335</v>
      </c>
      <c r="N891" s="2">
        <f t="shared" ca="1" si="80"/>
        <v>45357</v>
      </c>
      <c r="O891" s="3">
        <f t="shared" ca="1" si="81"/>
        <v>43</v>
      </c>
      <c r="P891" s="3">
        <f t="shared" ca="1" si="82"/>
        <v>22</v>
      </c>
      <c r="Q891" s="1" t="str">
        <f>IF(K891=1,"Joined",IF(H891&gt;=70,"Dropped at Offer",IF(H891&gt;=50,"Dropped at Interview","Dropped at Screening")))</f>
        <v>Joined</v>
      </c>
      <c r="R891" s="1" t="str">
        <f t="shared" ca="1" si="83"/>
        <v>Feb-2024</v>
      </c>
    </row>
    <row r="892" spans="1:18">
      <c r="A892">
        <v>47</v>
      </c>
      <c r="B892">
        <v>1</v>
      </c>
      <c r="C892">
        <v>1</v>
      </c>
      <c r="D892">
        <v>0</v>
      </c>
      <c r="E892">
        <v>4</v>
      </c>
      <c r="F892">
        <v>26.369488254257799</v>
      </c>
      <c r="G892">
        <v>62</v>
      </c>
      <c r="H892">
        <v>78</v>
      </c>
      <c r="I892">
        <v>5</v>
      </c>
      <c r="J892">
        <v>2</v>
      </c>
      <c r="K892">
        <v>0</v>
      </c>
      <c r="L892" s="2">
        <f t="shared" si="78"/>
        <v>45292</v>
      </c>
      <c r="M892" s="2">
        <f t="shared" ca="1" si="79"/>
        <v>45318</v>
      </c>
      <c r="N892" s="2" t="str">
        <f t="shared" ca="1" si="80"/>
        <v>N/A</v>
      </c>
      <c r="O892" s="3">
        <f t="shared" ca="1" si="81"/>
        <v>26</v>
      </c>
      <c r="P892" s="3" t="str">
        <f t="shared" ca="1" si="82"/>
        <v>N/A</v>
      </c>
      <c r="Q892" s="1" t="str">
        <f>IF(K892=1,"Joined",IF(H892&gt;=70,"Dropped at Offer",IF(H892&gt;=50,"Dropped at Interview","Dropped at Screening")))</f>
        <v>Dropped at Offer</v>
      </c>
      <c r="R892" s="1" t="str">
        <f t="shared" ca="1" si="83"/>
        <v>Jan-2024</v>
      </c>
    </row>
    <row r="893" spans="1:18">
      <c r="A893">
        <v>49</v>
      </c>
      <c r="B893">
        <v>1</v>
      </c>
      <c r="C893">
        <v>2</v>
      </c>
      <c r="D893">
        <v>6</v>
      </c>
      <c r="E893">
        <v>1</v>
      </c>
      <c r="F893">
        <v>23.075196164058699</v>
      </c>
      <c r="G893">
        <v>83</v>
      </c>
      <c r="H893">
        <v>53</v>
      </c>
      <c r="I893">
        <v>62</v>
      </c>
      <c r="J893">
        <v>3</v>
      </c>
      <c r="K893">
        <v>1</v>
      </c>
      <c r="L893" s="2">
        <f t="shared" si="78"/>
        <v>45292</v>
      </c>
      <c r="M893" s="2">
        <f t="shared" ca="1" si="79"/>
        <v>45319</v>
      </c>
      <c r="N893" s="2">
        <f t="shared" ca="1" si="80"/>
        <v>45340</v>
      </c>
      <c r="O893" s="3">
        <f t="shared" ca="1" si="81"/>
        <v>27</v>
      </c>
      <c r="P893" s="3">
        <f t="shared" ca="1" si="82"/>
        <v>21</v>
      </c>
      <c r="Q893" s="1" t="str">
        <f>IF(K893=1,"Joined",IF(H893&gt;=70,"Dropped at Offer",IF(H893&gt;=50,"Dropped at Interview","Dropped at Screening")))</f>
        <v>Joined</v>
      </c>
      <c r="R893" s="1" t="str">
        <f t="shared" ca="1" si="83"/>
        <v>Jan-2024</v>
      </c>
    </row>
    <row r="894" spans="1:18">
      <c r="A894">
        <v>44</v>
      </c>
      <c r="B894">
        <v>0</v>
      </c>
      <c r="C894">
        <v>4</v>
      </c>
      <c r="D894">
        <v>10</v>
      </c>
      <c r="E894">
        <v>4</v>
      </c>
      <c r="F894">
        <v>7.5336315206631097</v>
      </c>
      <c r="G894">
        <v>24</v>
      </c>
      <c r="H894">
        <v>68</v>
      </c>
      <c r="I894">
        <v>37</v>
      </c>
      <c r="J894">
        <v>2</v>
      </c>
      <c r="K894">
        <v>0</v>
      </c>
      <c r="L894" s="2">
        <f t="shared" si="78"/>
        <v>45292</v>
      </c>
      <c r="M894" s="2">
        <f t="shared" ca="1" si="79"/>
        <v>45312</v>
      </c>
      <c r="N894" s="2" t="str">
        <f t="shared" ca="1" si="80"/>
        <v>N/A</v>
      </c>
      <c r="O894" s="3">
        <f t="shared" ca="1" si="81"/>
        <v>20</v>
      </c>
      <c r="P894" s="3" t="str">
        <f t="shared" ca="1" si="82"/>
        <v>N/A</v>
      </c>
      <c r="Q894" s="1" t="str">
        <f>IF(K894=1,"Joined",IF(H894&gt;=70,"Dropped at Offer",IF(H894&gt;=50,"Dropped at Interview","Dropped at Screening")))</f>
        <v>Dropped at Interview</v>
      </c>
      <c r="R894" s="1" t="str">
        <f t="shared" ca="1" si="83"/>
        <v>Jan-2024</v>
      </c>
    </row>
    <row r="895" spans="1:18">
      <c r="A895">
        <v>50</v>
      </c>
      <c r="B895">
        <v>0</v>
      </c>
      <c r="C895">
        <v>2</v>
      </c>
      <c r="D895">
        <v>10</v>
      </c>
      <c r="E895">
        <v>1</v>
      </c>
      <c r="F895">
        <v>15.5499694782331</v>
      </c>
      <c r="G895">
        <v>11</v>
      </c>
      <c r="H895">
        <v>92</v>
      </c>
      <c r="I895">
        <v>49</v>
      </c>
      <c r="J895">
        <v>3</v>
      </c>
      <c r="K895">
        <v>0</v>
      </c>
      <c r="L895" s="2">
        <f t="shared" si="78"/>
        <v>45292</v>
      </c>
      <c r="M895" s="2">
        <f t="shared" ca="1" si="79"/>
        <v>45308</v>
      </c>
      <c r="N895" s="2" t="str">
        <f t="shared" ca="1" si="80"/>
        <v>N/A</v>
      </c>
      <c r="O895" s="3">
        <f t="shared" ca="1" si="81"/>
        <v>16</v>
      </c>
      <c r="P895" s="3" t="str">
        <f t="shared" ca="1" si="82"/>
        <v>N/A</v>
      </c>
      <c r="Q895" s="1" t="str">
        <f>IF(K895=1,"Joined",IF(H895&gt;=70,"Dropped at Offer",IF(H895&gt;=50,"Dropped at Interview","Dropped at Screening")))</f>
        <v>Dropped at Offer</v>
      </c>
      <c r="R895" s="1" t="str">
        <f t="shared" ca="1" si="83"/>
        <v>Jan-2024</v>
      </c>
    </row>
    <row r="896" spans="1:18">
      <c r="A896">
        <v>47</v>
      </c>
      <c r="B896">
        <v>0</v>
      </c>
      <c r="C896">
        <v>2</v>
      </c>
      <c r="D896">
        <v>14</v>
      </c>
      <c r="E896">
        <v>2</v>
      </c>
      <c r="F896">
        <v>44.447955251044803</v>
      </c>
      <c r="G896">
        <v>20</v>
      </c>
      <c r="H896">
        <v>98</v>
      </c>
      <c r="I896">
        <v>51</v>
      </c>
      <c r="J896">
        <v>3</v>
      </c>
      <c r="K896">
        <v>0</v>
      </c>
      <c r="L896" s="2">
        <f t="shared" si="78"/>
        <v>45292</v>
      </c>
      <c r="M896" s="2">
        <f t="shared" ca="1" si="79"/>
        <v>45333</v>
      </c>
      <c r="N896" s="2" t="str">
        <f t="shared" ca="1" si="80"/>
        <v>N/A</v>
      </c>
      <c r="O896" s="3">
        <f t="shared" ca="1" si="81"/>
        <v>41</v>
      </c>
      <c r="P896" s="3" t="str">
        <f t="shared" ca="1" si="82"/>
        <v>N/A</v>
      </c>
      <c r="Q896" s="1" t="str">
        <f>IF(K896=1,"Joined",IF(H896&gt;=70,"Dropped at Offer",IF(H896&gt;=50,"Dropped at Interview","Dropped at Screening")))</f>
        <v>Dropped at Offer</v>
      </c>
      <c r="R896" s="1" t="str">
        <f t="shared" ca="1" si="83"/>
        <v>Feb-2024</v>
      </c>
    </row>
    <row r="897" spans="1:18">
      <c r="A897">
        <v>36</v>
      </c>
      <c r="B897">
        <v>1</v>
      </c>
      <c r="C897">
        <v>2</v>
      </c>
      <c r="D897">
        <v>11</v>
      </c>
      <c r="E897">
        <v>1</v>
      </c>
      <c r="F897">
        <v>46.222640578124697</v>
      </c>
      <c r="G897">
        <v>24</v>
      </c>
      <c r="H897">
        <v>90</v>
      </c>
      <c r="I897">
        <v>39</v>
      </c>
      <c r="J897">
        <v>3</v>
      </c>
      <c r="K897">
        <v>0</v>
      </c>
      <c r="L897" s="2">
        <f t="shared" si="78"/>
        <v>45292</v>
      </c>
      <c r="M897" s="2">
        <f t="shared" ca="1" si="79"/>
        <v>45317</v>
      </c>
      <c r="N897" s="2" t="str">
        <f t="shared" ca="1" si="80"/>
        <v>N/A</v>
      </c>
      <c r="O897" s="3">
        <f t="shared" ca="1" si="81"/>
        <v>25</v>
      </c>
      <c r="P897" s="3" t="str">
        <f t="shared" ca="1" si="82"/>
        <v>N/A</v>
      </c>
      <c r="Q897" s="1" t="str">
        <f>IF(K897=1,"Joined",IF(H897&gt;=70,"Dropped at Offer",IF(H897&gt;=50,"Dropped at Interview","Dropped at Screening")))</f>
        <v>Dropped at Offer</v>
      </c>
      <c r="R897" s="1" t="str">
        <f t="shared" ca="1" si="83"/>
        <v>Jan-2024</v>
      </c>
    </row>
    <row r="898" spans="1:18">
      <c r="A898">
        <v>44</v>
      </c>
      <c r="B898">
        <v>0</v>
      </c>
      <c r="C898">
        <v>1</v>
      </c>
      <c r="D898">
        <v>7</v>
      </c>
      <c r="E898">
        <v>2</v>
      </c>
      <c r="F898">
        <v>1.0373854185265501</v>
      </c>
      <c r="G898">
        <v>10</v>
      </c>
      <c r="H898">
        <v>26</v>
      </c>
      <c r="I898">
        <v>7</v>
      </c>
      <c r="J898">
        <v>2</v>
      </c>
      <c r="K898">
        <v>0</v>
      </c>
      <c r="L898" s="2">
        <f t="shared" ref="L898:L961" si="84">DATE(2024,1,1)</f>
        <v>45292</v>
      </c>
      <c r="M898" s="2">
        <f t="shared" ref="M898:M961" ca="1" si="85">L898+RANDBETWEEN(14,45)</f>
        <v>45320</v>
      </c>
      <c r="N898" s="2" t="str">
        <f t="shared" ref="N898:N961" ca="1" si="86">IF(K898=1, M898+RANDBETWEEN(7,30), "N/A")</f>
        <v>N/A</v>
      </c>
      <c r="O898" s="3">
        <f t="shared" ref="O898:O961" ca="1" si="87">IF(AND(M898&lt;&gt;"",L898&lt;&gt;""), M898-L898, "N/A")</f>
        <v>28</v>
      </c>
      <c r="P898" s="3" t="str">
        <f t="shared" ref="P898:Q961" ca="1" si="88">IF(AND(K898=1, N898&lt;&gt;"", M898&lt;&gt;""), N898 - M898, "N/A")</f>
        <v>N/A</v>
      </c>
      <c r="Q898" s="1" t="str">
        <f>IF(K898=1,"Joined",IF(H898&gt;=70,"Dropped at Offer",IF(H898&gt;=50,"Dropped at Interview","Dropped at Screening")))</f>
        <v>Dropped at Screening</v>
      </c>
      <c r="R898" s="1" t="str">
        <f t="shared" ref="R898:R961" ca="1" si="89">TEXT(M898,"MMM-YYYY")</f>
        <v>Jan-2024</v>
      </c>
    </row>
    <row r="899" spans="1:18">
      <c r="A899">
        <v>43</v>
      </c>
      <c r="B899">
        <v>0</v>
      </c>
      <c r="C899">
        <v>2</v>
      </c>
      <c r="D899">
        <v>5</v>
      </c>
      <c r="E899">
        <v>2</v>
      </c>
      <c r="F899">
        <v>30.7068195738775</v>
      </c>
      <c r="G899">
        <v>63</v>
      </c>
      <c r="H899">
        <v>7</v>
      </c>
      <c r="I899">
        <v>60</v>
      </c>
      <c r="J899">
        <v>2</v>
      </c>
      <c r="K899">
        <v>0</v>
      </c>
      <c r="L899" s="2">
        <f t="shared" si="84"/>
        <v>45292</v>
      </c>
      <c r="M899" s="2">
        <f t="shared" ca="1" si="85"/>
        <v>45325</v>
      </c>
      <c r="N899" s="2" t="str">
        <f t="shared" ca="1" si="86"/>
        <v>N/A</v>
      </c>
      <c r="O899" s="3">
        <f t="shared" ca="1" si="87"/>
        <v>33</v>
      </c>
      <c r="P899" s="3" t="str">
        <f t="shared" ca="1" si="88"/>
        <v>N/A</v>
      </c>
      <c r="Q899" s="1" t="str">
        <f>IF(K899=1,"Joined",IF(H899&gt;=70,"Dropped at Offer",IF(H899&gt;=50,"Dropped at Interview","Dropped at Screening")))</f>
        <v>Dropped at Screening</v>
      </c>
      <c r="R899" s="1" t="str">
        <f t="shared" ca="1" si="89"/>
        <v>Feb-2024</v>
      </c>
    </row>
    <row r="900" spans="1:18">
      <c r="A900">
        <v>20</v>
      </c>
      <c r="B900">
        <v>1</v>
      </c>
      <c r="C900">
        <v>1</v>
      </c>
      <c r="D900">
        <v>3</v>
      </c>
      <c r="E900">
        <v>1</v>
      </c>
      <c r="F900">
        <v>36.9650304512556</v>
      </c>
      <c r="G900">
        <v>72</v>
      </c>
      <c r="H900">
        <v>31</v>
      </c>
      <c r="I900">
        <v>7</v>
      </c>
      <c r="J900">
        <v>1</v>
      </c>
      <c r="K900">
        <v>0</v>
      </c>
      <c r="L900" s="2">
        <f t="shared" si="84"/>
        <v>45292</v>
      </c>
      <c r="M900" s="2">
        <f t="shared" ca="1" si="85"/>
        <v>45314</v>
      </c>
      <c r="N900" s="2" t="str">
        <f t="shared" ca="1" si="86"/>
        <v>N/A</v>
      </c>
      <c r="O900" s="3">
        <f t="shared" ca="1" si="87"/>
        <v>22</v>
      </c>
      <c r="P900" s="3" t="str">
        <f t="shared" ca="1" si="88"/>
        <v>N/A</v>
      </c>
      <c r="Q900" s="1" t="str">
        <f>IF(K900=1,"Joined",IF(H900&gt;=70,"Dropped at Offer",IF(H900&gt;=50,"Dropped at Interview","Dropped at Screening")))</f>
        <v>Dropped at Screening</v>
      </c>
      <c r="R900" s="1" t="str">
        <f t="shared" ca="1" si="89"/>
        <v>Jan-2024</v>
      </c>
    </row>
    <row r="901" spans="1:18">
      <c r="A901">
        <v>25</v>
      </c>
      <c r="B901">
        <v>1</v>
      </c>
      <c r="C901">
        <v>3</v>
      </c>
      <c r="D901">
        <v>13</v>
      </c>
      <c r="E901">
        <v>3</v>
      </c>
      <c r="F901">
        <v>31.937349122880299</v>
      </c>
      <c r="G901">
        <v>49</v>
      </c>
      <c r="H901">
        <v>83</v>
      </c>
      <c r="I901">
        <v>96</v>
      </c>
      <c r="J901">
        <v>2</v>
      </c>
      <c r="K901">
        <v>1</v>
      </c>
      <c r="L901" s="2">
        <f t="shared" si="84"/>
        <v>45292</v>
      </c>
      <c r="M901" s="2">
        <f t="shared" ca="1" si="85"/>
        <v>45309</v>
      </c>
      <c r="N901" s="2">
        <f t="shared" ca="1" si="86"/>
        <v>45339</v>
      </c>
      <c r="O901" s="3">
        <f t="shared" ca="1" si="87"/>
        <v>17</v>
      </c>
      <c r="P901" s="3">
        <f t="shared" ca="1" si="88"/>
        <v>30</v>
      </c>
      <c r="Q901" s="1" t="str">
        <f>IF(K901=1,"Joined",IF(H901&gt;=70,"Dropped at Offer",IF(H901&gt;=50,"Dropped at Interview","Dropped at Screening")))</f>
        <v>Joined</v>
      </c>
      <c r="R901" s="1" t="str">
        <f t="shared" ca="1" si="89"/>
        <v>Jan-2024</v>
      </c>
    </row>
    <row r="902" spans="1:18">
      <c r="A902">
        <v>40</v>
      </c>
      <c r="B902">
        <v>0</v>
      </c>
      <c r="C902">
        <v>2</v>
      </c>
      <c r="D902">
        <v>5</v>
      </c>
      <c r="E902">
        <v>1</v>
      </c>
      <c r="F902">
        <v>5.0839882433176902</v>
      </c>
      <c r="G902">
        <v>61</v>
      </c>
      <c r="H902">
        <v>63</v>
      </c>
      <c r="I902">
        <v>33</v>
      </c>
      <c r="J902">
        <v>1</v>
      </c>
      <c r="K902">
        <v>0</v>
      </c>
      <c r="L902" s="2">
        <f t="shared" si="84"/>
        <v>45292</v>
      </c>
      <c r="M902" s="2">
        <f t="shared" ca="1" si="85"/>
        <v>45324</v>
      </c>
      <c r="N902" s="2" t="str">
        <f t="shared" ca="1" si="86"/>
        <v>N/A</v>
      </c>
      <c r="O902" s="3">
        <f t="shared" ca="1" si="87"/>
        <v>32</v>
      </c>
      <c r="P902" s="3" t="str">
        <f t="shared" ca="1" si="88"/>
        <v>N/A</v>
      </c>
      <c r="Q902" s="1" t="str">
        <f>IF(K902=1,"Joined",IF(H902&gt;=70,"Dropped at Offer",IF(H902&gt;=50,"Dropped at Interview","Dropped at Screening")))</f>
        <v>Dropped at Interview</v>
      </c>
      <c r="R902" s="1" t="str">
        <f t="shared" ca="1" si="89"/>
        <v>Feb-2024</v>
      </c>
    </row>
    <row r="903" spans="1:18">
      <c r="A903">
        <v>25</v>
      </c>
      <c r="B903">
        <v>0</v>
      </c>
      <c r="C903">
        <v>2</v>
      </c>
      <c r="D903">
        <v>2</v>
      </c>
      <c r="E903">
        <v>5</v>
      </c>
      <c r="F903">
        <v>11.886244939945099</v>
      </c>
      <c r="G903">
        <v>88</v>
      </c>
      <c r="H903">
        <v>9</v>
      </c>
      <c r="I903">
        <v>78</v>
      </c>
      <c r="J903">
        <v>1</v>
      </c>
      <c r="K903">
        <v>1</v>
      </c>
      <c r="L903" s="2">
        <f t="shared" si="84"/>
        <v>45292</v>
      </c>
      <c r="M903" s="2">
        <f t="shared" ca="1" si="85"/>
        <v>45327</v>
      </c>
      <c r="N903" s="2">
        <f t="shared" ca="1" si="86"/>
        <v>45348</v>
      </c>
      <c r="O903" s="3">
        <f t="shared" ca="1" si="87"/>
        <v>35</v>
      </c>
      <c r="P903" s="3">
        <f t="shared" ca="1" si="88"/>
        <v>21</v>
      </c>
      <c r="Q903" s="1" t="str">
        <f>IF(K903=1,"Joined",IF(H903&gt;=70,"Dropped at Offer",IF(H903&gt;=50,"Dropped at Interview","Dropped at Screening")))</f>
        <v>Joined</v>
      </c>
      <c r="R903" s="1" t="str">
        <f t="shared" ca="1" si="89"/>
        <v>Feb-2024</v>
      </c>
    </row>
    <row r="904" spans="1:18">
      <c r="A904">
        <v>45</v>
      </c>
      <c r="B904">
        <v>0</v>
      </c>
      <c r="C904">
        <v>2</v>
      </c>
      <c r="D904">
        <v>11</v>
      </c>
      <c r="E904">
        <v>5</v>
      </c>
      <c r="F904">
        <v>13.5170133690693</v>
      </c>
      <c r="G904">
        <v>98</v>
      </c>
      <c r="H904">
        <v>12</v>
      </c>
      <c r="I904">
        <v>99</v>
      </c>
      <c r="J904">
        <v>1</v>
      </c>
      <c r="K904">
        <v>1</v>
      </c>
      <c r="L904" s="2">
        <f t="shared" si="84"/>
        <v>45292</v>
      </c>
      <c r="M904" s="2">
        <f t="shared" ca="1" si="85"/>
        <v>45328</v>
      </c>
      <c r="N904" s="2">
        <f t="shared" ca="1" si="86"/>
        <v>45357</v>
      </c>
      <c r="O904" s="3">
        <f t="shared" ca="1" si="87"/>
        <v>36</v>
      </c>
      <c r="P904" s="3">
        <f t="shared" ca="1" si="88"/>
        <v>29</v>
      </c>
      <c r="Q904" s="1" t="str">
        <f>IF(K904=1,"Joined",IF(H904&gt;=70,"Dropped at Offer",IF(H904&gt;=50,"Dropped at Interview","Dropped at Screening")))</f>
        <v>Joined</v>
      </c>
      <c r="R904" s="1" t="str">
        <f t="shared" ca="1" si="89"/>
        <v>Feb-2024</v>
      </c>
    </row>
    <row r="905" spans="1:18">
      <c r="A905">
        <v>31</v>
      </c>
      <c r="B905">
        <v>0</v>
      </c>
      <c r="C905">
        <v>2</v>
      </c>
      <c r="D905">
        <v>7</v>
      </c>
      <c r="E905">
        <v>3</v>
      </c>
      <c r="F905">
        <v>42.586231565254401</v>
      </c>
      <c r="G905">
        <v>95</v>
      </c>
      <c r="H905">
        <v>62</v>
      </c>
      <c r="I905">
        <v>59</v>
      </c>
      <c r="J905">
        <v>3</v>
      </c>
      <c r="K905">
        <v>0</v>
      </c>
      <c r="L905" s="2">
        <f t="shared" si="84"/>
        <v>45292</v>
      </c>
      <c r="M905" s="2">
        <f t="shared" ca="1" si="85"/>
        <v>45312</v>
      </c>
      <c r="N905" s="2" t="str">
        <f t="shared" ca="1" si="86"/>
        <v>N/A</v>
      </c>
      <c r="O905" s="3">
        <f t="shared" ca="1" si="87"/>
        <v>20</v>
      </c>
      <c r="P905" s="3" t="str">
        <f t="shared" ca="1" si="88"/>
        <v>N/A</v>
      </c>
      <c r="Q905" s="1" t="str">
        <f>IF(K905=1,"Joined",IF(H905&gt;=70,"Dropped at Offer",IF(H905&gt;=50,"Dropped at Interview","Dropped at Screening")))</f>
        <v>Dropped at Interview</v>
      </c>
      <c r="R905" s="1" t="str">
        <f t="shared" ca="1" si="89"/>
        <v>Jan-2024</v>
      </c>
    </row>
    <row r="906" spans="1:18">
      <c r="A906">
        <v>32</v>
      </c>
      <c r="B906">
        <v>0</v>
      </c>
      <c r="C906">
        <v>4</v>
      </c>
      <c r="D906">
        <v>9</v>
      </c>
      <c r="E906">
        <v>2</v>
      </c>
      <c r="F906">
        <v>24.159971815445999</v>
      </c>
      <c r="G906">
        <v>48</v>
      </c>
      <c r="H906">
        <v>92</v>
      </c>
      <c r="I906">
        <v>56</v>
      </c>
      <c r="J906">
        <v>3</v>
      </c>
      <c r="K906">
        <v>0</v>
      </c>
      <c r="L906" s="2">
        <f t="shared" si="84"/>
        <v>45292</v>
      </c>
      <c r="M906" s="2">
        <f t="shared" ca="1" si="85"/>
        <v>45337</v>
      </c>
      <c r="N906" s="2" t="str">
        <f t="shared" ca="1" si="86"/>
        <v>N/A</v>
      </c>
      <c r="O906" s="3">
        <f t="shared" ca="1" si="87"/>
        <v>45</v>
      </c>
      <c r="P906" s="3" t="str">
        <f t="shared" ca="1" si="88"/>
        <v>N/A</v>
      </c>
      <c r="Q906" s="1" t="str">
        <f>IF(K906=1,"Joined",IF(H906&gt;=70,"Dropped at Offer",IF(H906&gt;=50,"Dropped at Interview","Dropped at Screening")))</f>
        <v>Dropped at Offer</v>
      </c>
      <c r="R906" s="1" t="str">
        <f t="shared" ca="1" si="89"/>
        <v>Feb-2024</v>
      </c>
    </row>
    <row r="907" spans="1:18">
      <c r="A907">
        <v>32</v>
      </c>
      <c r="B907">
        <v>0</v>
      </c>
      <c r="C907">
        <v>2</v>
      </c>
      <c r="D907">
        <v>13</v>
      </c>
      <c r="E907">
        <v>3</v>
      </c>
      <c r="F907">
        <v>25.341410597061799</v>
      </c>
      <c r="G907">
        <v>13</v>
      </c>
      <c r="H907">
        <v>34</v>
      </c>
      <c r="I907">
        <v>98</v>
      </c>
      <c r="J907">
        <v>2</v>
      </c>
      <c r="K907">
        <v>0</v>
      </c>
      <c r="L907" s="2">
        <f t="shared" si="84"/>
        <v>45292</v>
      </c>
      <c r="M907" s="2">
        <f t="shared" ca="1" si="85"/>
        <v>45310</v>
      </c>
      <c r="N907" s="2" t="str">
        <f t="shared" ca="1" si="86"/>
        <v>N/A</v>
      </c>
      <c r="O907" s="3">
        <f t="shared" ca="1" si="87"/>
        <v>18</v>
      </c>
      <c r="P907" s="3" t="str">
        <f t="shared" ca="1" si="88"/>
        <v>N/A</v>
      </c>
      <c r="Q907" s="1" t="str">
        <f>IF(K907=1,"Joined",IF(H907&gt;=70,"Dropped at Offer",IF(H907&gt;=50,"Dropped at Interview","Dropped at Screening")))</f>
        <v>Dropped at Screening</v>
      </c>
      <c r="R907" s="1" t="str">
        <f t="shared" ca="1" si="89"/>
        <v>Jan-2024</v>
      </c>
    </row>
    <row r="908" spans="1:18">
      <c r="A908">
        <v>48</v>
      </c>
      <c r="B908">
        <v>1</v>
      </c>
      <c r="C908">
        <v>1</v>
      </c>
      <c r="D908">
        <v>12</v>
      </c>
      <c r="E908">
        <v>5</v>
      </c>
      <c r="F908">
        <v>47.744652327725397</v>
      </c>
      <c r="G908">
        <v>0</v>
      </c>
      <c r="H908">
        <v>60</v>
      </c>
      <c r="I908">
        <v>45</v>
      </c>
      <c r="J908">
        <v>2</v>
      </c>
      <c r="K908">
        <v>0</v>
      </c>
      <c r="L908" s="2">
        <f t="shared" si="84"/>
        <v>45292</v>
      </c>
      <c r="M908" s="2">
        <f t="shared" ca="1" si="85"/>
        <v>45322</v>
      </c>
      <c r="N908" s="2" t="str">
        <f t="shared" ca="1" si="86"/>
        <v>N/A</v>
      </c>
      <c r="O908" s="3">
        <f t="shared" ca="1" si="87"/>
        <v>30</v>
      </c>
      <c r="P908" s="3" t="str">
        <f t="shared" ca="1" si="88"/>
        <v>N/A</v>
      </c>
      <c r="Q908" s="1" t="str">
        <f>IF(K908=1,"Joined",IF(H908&gt;=70,"Dropped at Offer",IF(H908&gt;=50,"Dropped at Interview","Dropped at Screening")))</f>
        <v>Dropped at Interview</v>
      </c>
      <c r="R908" s="1" t="str">
        <f t="shared" ca="1" si="89"/>
        <v>Jan-2024</v>
      </c>
    </row>
    <row r="909" spans="1:18">
      <c r="A909">
        <v>34</v>
      </c>
      <c r="B909">
        <v>1</v>
      </c>
      <c r="C909">
        <v>2</v>
      </c>
      <c r="D909">
        <v>12</v>
      </c>
      <c r="E909">
        <v>3</v>
      </c>
      <c r="F909">
        <v>32.8542944427357</v>
      </c>
      <c r="G909">
        <v>80</v>
      </c>
      <c r="H909">
        <v>53</v>
      </c>
      <c r="I909">
        <v>21</v>
      </c>
      <c r="J909">
        <v>2</v>
      </c>
      <c r="K909">
        <v>0</v>
      </c>
      <c r="L909" s="2">
        <f t="shared" si="84"/>
        <v>45292</v>
      </c>
      <c r="M909" s="2">
        <f t="shared" ca="1" si="85"/>
        <v>45319</v>
      </c>
      <c r="N909" s="2" t="str">
        <f t="shared" ca="1" si="86"/>
        <v>N/A</v>
      </c>
      <c r="O909" s="3">
        <f t="shared" ca="1" si="87"/>
        <v>27</v>
      </c>
      <c r="P909" s="3" t="str">
        <f t="shared" ca="1" si="88"/>
        <v>N/A</v>
      </c>
      <c r="Q909" s="1" t="str">
        <f>IF(K909=1,"Joined",IF(H909&gt;=70,"Dropped at Offer",IF(H909&gt;=50,"Dropped at Interview","Dropped at Screening")))</f>
        <v>Dropped at Interview</v>
      </c>
      <c r="R909" s="1" t="str">
        <f t="shared" ca="1" si="89"/>
        <v>Jan-2024</v>
      </c>
    </row>
    <row r="910" spans="1:18">
      <c r="A910">
        <v>40</v>
      </c>
      <c r="B910">
        <v>1</v>
      </c>
      <c r="C910">
        <v>1</v>
      </c>
      <c r="D910">
        <v>1</v>
      </c>
      <c r="E910">
        <v>1</v>
      </c>
      <c r="F910">
        <v>45.933385077633098</v>
      </c>
      <c r="G910">
        <v>24</v>
      </c>
      <c r="H910">
        <v>7</v>
      </c>
      <c r="I910">
        <v>86</v>
      </c>
      <c r="J910">
        <v>2</v>
      </c>
      <c r="K910">
        <v>0</v>
      </c>
      <c r="L910" s="2">
        <f t="shared" si="84"/>
        <v>45292</v>
      </c>
      <c r="M910" s="2">
        <f t="shared" ca="1" si="85"/>
        <v>45315</v>
      </c>
      <c r="N910" s="2" t="str">
        <f t="shared" ca="1" si="86"/>
        <v>N/A</v>
      </c>
      <c r="O910" s="3">
        <f t="shared" ca="1" si="87"/>
        <v>23</v>
      </c>
      <c r="P910" s="3" t="str">
        <f t="shared" ca="1" si="88"/>
        <v>N/A</v>
      </c>
      <c r="Q910" s="1" t="str">
        <f>IF(K910=1,"Joined",IF(H910&gt;=70,"Dropped at Offer",IF(H910&gt;=50,"Dropped at Interview","Dropped at Screening")))</f>
        <v>Dropped at Screening</v>
      </c>
      <c r="R910" s="1" t="str">
        <f t="shared" ca="1" si="89"/>
        <v>Jan-2024</v>
      </c>
    </row>
    <row r="911" spans="1:18">
      <c r="A911">
        <v>35</v>
      </c>
      <c r="B911">
        <v>0</v>
      </c>
      <c r="C911">
        <v>1</v>
      </c>
      <c r="D911">
        <v>4</v>
      </c>
      <c r="E911">
        <v>3</v>
      </c>
      <c r="F911">
        <v>23.825442767076598</v>
      </c>
      <c r="G911">
        <v>58</v>
      </c>
      <c r="H911">
        <v>28</v>
      </c>
      <c r="I911">
        <v>39</v>
      </c>
      <c r="J911">
        <v>2</v>
      </c>
      <c r="K911">
        <v>0</v>
      </c>
      <c r="L911" s="2">
        <f t="shared" si="84"/>
        <v>45292</v>
      </c>
      <c r="M911" s="2">
        <f t="shared" ca="1" si="85"/>
        <v>45306</v>
      </c>
      <c r="N911" s="2" t="str">
        <f t="shared" ca="1" si="86"/>
        <v>N/A</v>
      </c>
      <c r="O911" s="3">
        <f t="shared" ca="1" si="87"/>
        <v>14</v>
      </c>
      <c r="P911" s="3" t="str">
        <f t="shared" ca="1" si="88"/>
        <v>N/A</v>
      </c>
      <c r="Q911" s="1" t="str">
        <f>IF(K911=1,"Joined",IF(H911&gt;=70,"Dropped at Offer",IF(H911&gt;=50,"Dropped at Interview","Dropped at Screening")))</f>
        <v>Dropped at Screening</v>
      </c>
      <c r="R911" s="1" t="str">
        <f t="shared" ca="1" si="89"/>
        <v>Jan-2024</v>
      </c>
    </row>
    <row r="912" spans="1:18">
      <c r="A912">
        <v>41</v>
      </c>
      <c r="B912">
        <v>1</v>
      </c>
      <c r="C912">
        <v>4</v>
      </c>
      <c r="D912">
        <v>0</v>
      </c>
      <c r="E912">
        <v>2</v>
      </c>
      <c r="F912">
        <v>8.4718129259147101</v>
      </c>
      <c r="G912">
        <v>71</v>
      </c>
      <c r="H912">
        <v>94</v>
      </c>
      <c r="I912">
        <v>44</v>
      </c>
      <c r="J912">
        <v>2</v>
      </c>
      <c r="K912">
        <v>0</v>
      </c>
      <c r="L912" s="2">
        <f t="shared" si="84"/>
        <v>45292</v>
      </c>
      <c r="M912" s="2">
        <f t="shared" ca="1" si="85"/>
        <v>45321</v>
      </c>
      <c r="N912" s="2" t="str">
        <f t="shared" ca="1" si="86"/>
        <v>N/A</v>
      </c>
      <c r="O912" s="3">
        <f t="shared" ca="1" si="87"/>
        <v>29</v>
      </c>
      <c r="P912" s="3" t="str">
        <f t="shared" ca="1" si="88"/>
        <v>N/A</v>
      </c>
      <c r="Q912" s="1" t="str">
        <f>IF(K912=1,"Joined",IF(H912&gt;=70,"Dropped at Offer",IF(H912&gt;=50,"Dropped at Interview","Dropped at Screening")))</f>
        <v>Dropped at Offer</v>
      </c>
      <c r="R912" s="1" t="str">
        <f t="shared" ca="1" si="89"/>
        <v>Jan-2024</v>
      </c>
    </row>
    <row r="913" spans="1:18">
      <c r="A913">
        <v>40</v>
      </c>
      <c r="B913">
        <v>0</v>
      </c>
      <c r="C913">
        <v>3</v>
      </c>
      <c r="D913">
        <v>5</v>
      </c>
      <c r="E913">
        <v>1</v>
      </c>
      <c r="F913">
        <v>47.496779703704199</v>
      </c>
      <c r="G913">
        <v>68</v>
      </c>
      <c r="H913">
        <v>40</v>
      </c>
      <c r="I913">
        <v>54</v>
      </c>
      <c r="J913">
        <v>2</v>
      </c>
      <c r="K913">
        <v>0</v>
      </c>
      <c r="L913" s="2">
        <f t="shared" si="84"/>
        <v>45292</v>
      </c>
      <c r="M913" s="2">
        <f t="shared" ca="1" si="85"/>
        <v>45327</v>
      </c>
      <c r="N913" s="2" t="str">
        <f t="shared" ca="1" si="86"/>
        <v>N/A</v>
      </c>
      <c r="O913" s="3">
        <f t="shared" ca="1" si="87"/>
        <v>35</v>
      </c>
      <c r="P913" s="3" t="str">
        <f t="shared" ca="1" si="88"/>
        <v>N/A</v>
      </c>
      <c r="Q913" s="1" t="str">
        <f>IF(K913=1,"Joined",IF(H913&gt;=70,"Dropped at Offer",IF(H913&gt;=50,"Dropped at Interview","Dropped at Screening")))</f>
        <v>Dropped at Screening</v>
      </c>
      <c r="R913" s="1" t="str">
        <f t="shared" ca="1" si="89"/>
        <v>Feb-2024</v>
      </c>
    </row>
    <row r="914" spans="1:18">
      <c r="A914">
        <v>30</v>
      </c>
      <c r="B914">
        <v>0</v>
      </c>
      <c r="C914">
        <v>4</v>
      </c>
      <c r="D914">
        <v>1</v>
      </c>
      <c r="E914">
        <v>4</v>
      </c>
      <c r="F914">
        <v>23.935255783376899</v>
      </c>
      <c r="G914">
        <v>4</v>
      </c>
      <c r="H914">
        <v>29</v>
      </c>
      <c r="I914">
        <v>50</v>
      </c>
      <c r="J914">
        <v>2</v>
      </c>
      <c r="K914">
        <v>0</v>
      </c>
      <c r="L914" s="2">
        <f t="shared" si="84"/>
        <v>45292</v>
      </c>
      <c r="M914" s="2">
        <f t="shared" ca="1" si="85"/>
        <v>45313</v>
      </c>
      <c r="N914" s="2" t="str">
        <f t="shared" ca="1" si="86"/>
        <v>N/A</v>
      </c>
      <c r="O914" s="3">
        <f t="shared" ca="1" si="87"/>
        <v>21</v>
      </c>
      <c r="P914" s="3" t="str">
        <f t="shared" ca="1" si="88"/>
        <v>N/A</v>
      </c>
      <c r="Q914" s="1" t="str">
        <f>IF(K914=1,"Joined",IF(H914&gt;=70,"Dropped at Offer",IF(H914&gt;=50,"Dropped at Interview","Dropped at Screening")))</f>
        <v>Dropped at Screening</v>
      </c>
      <c r="R914" s="1" t="str">
        <f t="shared" ca="1" si="89"/>
        <v>Jan-2024</v>
      </c>
    </row>
    <row r="915" spans="1:18">
      <c r="A915">
        <v>47</v>
      </c>
      <c r="B915">
        <v>1</v>
      </c>
      <c r="C915">
        <v>2</v>
      </c>
      <c r="D915">
        <v>3</v>
      </c>
      <c r="E915">
        <v>5</v>
      </c>
      <c r="F915">
        <v>10.081571093940999</v>
      </c>
      <c r="G915">
        <v>98</v>
      </c>
      <c r="H915">
        <v>85</v>
      </c>
      <c r="I915">
        <v>85</v>
      </c>
      <c r="J915">
        <v>2</v>
      </c>
      <c r="K915">
        <v>0</v>
      </c>
      <c r="L915" s="2">
        <f t="shared" si="84"/>
        <v>45292</v>
      </c>
      <c r="M915" s="2">
        <f t="shared" ca="1" si="85"/>
        <v>45330</v>
      </c>
      <c r="N915" s="2" t="str">
        <f t="shared" ca="1" si="86"/>
        <v>N/A</v>
      </c>
      <c r="O915" s="3">
        <f t="shared" ca="1" si="87"/>
        <v>38</v>
      </c>
      <c r="P915" s="3" t="str">
        <f t="shared" ca="1" si="88"/>
        <v>N/A</v>
      </c>
      <c r="Q915" s="1" t="str">
        <f>IF(K915=1,"Joined",IF(H915&gt;=70,"Dropped at Offer",IF(H915&gt;=50,"Dropped at Interview","Dropped at Screening")))</f>
        <v>Dropped at Offer</v>
      </c>
      <c r="R915" s="1" t="str">
        <f t="shared" ca="1" si="89"/>
        <v>Feb-2024</v>
      </c>
    </row>
    <row r="916" spans="1:18">
      <c r="A916">
        <v>24</v>
      </c>
      <c r="B916">
        <v>0</v>
      </c>
      <c r="C916">
        <v>2</v>
      </c>
      <c r="D916">
        <v>5</v>
      </c>
      <c r="E916">
        <v>5</v>
      </c>
      <c r="F916">
        <v>16.119787015196099</v>
      </c>
      <c r="G916">
        <v>18</v>
      </c>
      <c r="H916">
        <v>20</v>
      </c>
      <c r="I916">
        <v>4</v>
      </c>
      <c r="J916">
        <v>2</v>
      </c>
      <c r="K916">
        <v>0</v>
      </c>
      <c r="L916" s="2">
        <f t="shared" si="84"/>
        <v>45292</v>
      </c>
      <c r="M916" s="2">
        <f t="shared" ca="1" si="85"/>
        <v>45310</v>
      </c>
      <c r="N916" s="2" t="str">
        <f t="shared" ca="1" si="86"/>
        <v>N/A</v>
      </c>
      <c r="O916" s="3">
        <f t="shared" ca="1" si="87"/>
        <v>18</v>
      </c>
      <c r="P916" s="3" t="str">
        <f t="shared" ca="1" si="88"/>
        <v>N/A</v>
      </c>
      <c r="Q916" s="1" t="str">
        <f>IF(K916=1,"Joined",IF(H916&gt;=70,"Dropped at Offer",IF(H916&gt;=50,"Dropped at Interview","Dropped at Screening")))</f>
        <v>Dropped at Screening</v>
      </c>
      <c r="R916" s="1" t="str">
        <f t="shared" ca="1" si="89"/>
        <v>Jan-2024</v>
      </c>
    </row>
    <row r="917" spans="1:18">
      <c r="A917">
        <v>23</v>
      </c>
      <c r="B917">
        <v>0</v>
      </c>
      <c r="C917">
        <v>1</v>
      </c>
      <c r="D917">
        <v>9</v>
      </c>
      <c r="E917">
        <v>3</v>
      </c>
      <c r="F917">
        <v>3.5401294844471098</v>
      </c>
      <c r="G917">
        <v>22</v>
      </c>
      <c r="H917">
        <v>75</v>
      </c>
      <c r="I917">
        <v>94</v>
      </c>
      <c r="J917">
        <v>3</v>
      </c>
      <c r="K917">
        <v>0</v>
      </c>
      <c r="L917" s="2">
        <f t="shared" si="84"/>
        <v>45292</v>
      </c>
      <c r="M917" s="2">
        <f t="shared" ca="1" si="85"/>
        <v>45332</v>
      </c>
      <c r="N917" s="2" t="str">
        <f t="shared" ca="1" si="86"/>
        <v>N/A</v>
      </c>
      <c r="O917" s="3">
        <f t="shared" ca="1" si="87"/>
        <v>40</v>
      </c>
      <c r="P917" s="3" t="str">
        <f t="shared" ca="1" si="88"/>
        <v>N/A</v>
      </c>
      <c r="Q917" s="1" t="str">
        <f>IF(K917=1,"Joined",IF(H917&gt;=70,"Dropped at Offer",IF(H917&gt;=50,"Dropped at Interview","Dropped at Screening")))</f>
        <v>Dropped at Offer</v>
      </c>
      <c r="R917" s="1" t="str">
        <f t="shared" ca="1" si="89"/>
        <v>Feb-2024</v>
      </c>
    </row>
    <row r="918" spans="1:18">
      <c r="A918">
        <v>22</v>
      </c>
      <c r="B918">
        <v>1</v>
      </c>
      <c r="C918">
        <v>2</v>
      </c>
      <c r="D918">
        <v>10</v>
      </c>
      <c r="E918">
        <v>1</v>
      </c>
      <c r="F918">
        <v>24.415029572819201</v>
      </c>
      <c r="G918">
        <v>8</v>
      </c>
      <c r="H918">
        <v>10</v>
      </c>
      <c r="I918">
        <v>12</v>
      </c>
      <c r="J918">
        <v>1</v>
      </c>
      <c r="K918">
        <v>0</v>
      </c>
      <c r="L918" s="2">
        <f t="shared" si="84"/>
        <v>45292</v>
      </c>
      <c r="M918" s="2">
        <f t="shared" ca="1" si="85"/>
        <v>45312</v>
      </c>
      <c r="N918" s="2" t="str">
        <f t="shared" ca="1" si="86"/>
        <v>N/A</v>
      </c>
      <c r="O918" s="3">
        <f t="shared" ca="1" si="87"/>
        <v>20</v>
      </c>
      <c r="P918" s="3" t="str">
        <f t="shared" ca="1" si="88"/>
        <v>N/A</v>
      </c>
      <c r="Q918" s="1" t="str">
        <f>IF(K918=1,"Joined",IF(H918&gt;=70,"Dropped at Offer",IF(H918&gt;=50,"Dropped at Interview","Dropped at Screening")))</f>
        <v>Dropped at Screening</v>
      </c>
      <c r="R918" s="1" t="str">
        <f t="shared" ca="1" si="89"/>
        <v>Jan-2024</v>
      </c>
    </row>
    <row r="919" spans="1:18">
      <c r="A919">
        <v>38</v>
      </c>
      <c r="B919">
        <v>1</v>
      </c>
      <c r="C919">
        <v>3</v>
      </c>
      <c r="D919">
        <v>7</v>
      </c>
      <c r="E919">
        <v>4</v>
      </c>
      <c r="F919">
        <v>43.656408595511799</v>
      </c>
      <c r="G919">
        <v>93</v>
      </c>
      <c r="H919">
        <v>1</v>
      </c>
      <c r="I919">
        <v>27</v>
      </c>
      <c r="J919">
        <v>2</v>
      </c>
      <c r="K919">
        <v>0</v>
      </c>
      <c r="L919" s="2">
        <f t="shared" si="84"/>
        <v>45292</v>
      </c>
      <c r="M919" s="2">
        <f t="shared" ca="1" si="85"/>
        <v>45308</v>
      </c>
      <c r="N919" s="2" t="str">
        <f t="shared" ca="1" si="86"/>
        <v>N/A</v>
      </c>
      <c r="O919" s="3">
        <f t="shared" ca="1" si="87"/>
        <v>16</v>
      </c>
      <c r="P919" s="3" t="str">
        <f t="shared" ca="1" si="88"/>
        <v>N/A</v>
      </c>
      <c r="Q919" s="1" t="str">
        <f>IF(K919=1,"Joined",IF(H919&gt;=70,"Dropped at Offer",IF(H919&gt;=50,"Dropped at Interview","Dropped at Screening")))</f>
        <v>Dropped at Screening</v>
      </c>
      <c r="R919" s="1" t="str">
        <f t="shared" ca="1" si="89"/>
        <v>Jan-2024</v>
      </c>
    </row>
    <row r="920" spans="1:18">
      <c r="A920">
        <v>39</v>
      </c>
      <c r="B920">
        <v>1</v>
      </c>
      <c r="C920">
        <v>2</v>
      </c>
      <c r="D920">
        <v>11</v>
      </c>
      <c r="E920">
        <v>1</v>
      </c>
      <c r="F920">
        <v>47.679022800334401</v>
      </c>
      <c r="G920">
        <v>49</v>
      </c>
      <c r="H920">
        <v>49</v>
      </c>
      <c r="I920">
        <v>83</v>
      </c>
      <c r="J920">
        <v>2</v>
      </c>
      <c r="K920">
        <v>0</v>
      </c>
      <c r="L920" s="2">
        <f t="shared" si="84"/>
        <v>45292</v>
      </c>
      <c r="M920" s="2">
        <f t="shared" ca="1" si="85"/>
        <v>45309</v>
      </c>
      <c r="N920" s="2" t="str">
        <f t="shared" ca="1" si="86"/>
        <v>N/A</v>
      </c>
      <c r="O920" s="3">
        <f t="shared" ca="1" si="87"/>
        <v>17</v>
      </c>
      <c r="P920" s="3" t="str">
        <f t="shared" ca="1" si="88"/>
        <v>N/A</v>
      </c>
      <c r="Q920" s="1" t="str">
        <f>IF(K920=1,"Joined",IF(H920&gt;=70,"Dropped at Offer",IF(H920&gt;=50,"Dropped at Interview","Dropped at Screening")))</f>
        <v>Dropped at Screening</v>
      </c>
      <c r="R920" s="1" t="str">
        <f t="shared" ca="1" si="89"/>
        <v>Jan-2024</v>
      </c>
    </row>
    <row r="921" spans="1:18">
      <c r="A921">
        <v>44</v>
      </c>
      <c r="B921">
        <v>0</v>
      </c>
      <c r="C921">
        <v>3</v>
      </c>
      <c r="D921">
        <v>7</v>
      </c>
      <c r="E921">
        <v>5</v>
      </c>
      <c r="F921">
        <v>47.630110375182099</v>
      </c>
      <c r="G921">
        <v>15</v>
      </c>
      <c r="H921">
        <v>40</v>
      </c>
      <c r="I921">
        <v>96</v>
      </c>
      <c r="J921">
        <v>1</v>
      </c>
      <c r="K921">
        <v>1</v>
      </c>
      <c r="L921" s="2">
        <f t="shared" si="84"/>
        <v>45292</v>
      </c>
      <c r="M921" s="2">
        <f t="shared" ca="1" si="85"/>
        <v>45309</v>
      </c>
      <c r="N921" s="2">
        <f t="shared" ca="1" si="86"/>
        <v>45331</v>
      </c>
      <c r="O921" s="3">
        <f t="shared" ca="1" si="87"/>
        <v>17</v>
      </c>
      <c r="P921" s="3">
        <f t="shared" ca="1" si="88"/>
        <v>22</v>
      </c>
      <c r="Q921" s="1" t="str">
        <f>IF(K921=1,"Joined",IF(H921&gt;=70,"Dropped at Offer",IF(H921&gt;=50,"Dropped at Interview","Dropped at Screening")))</f>
        <v>Joined</v>
      </c>
      <c r="R921" s="1" t="str">
        <f t="shared" ca="1" si="89"/>
        <v>Jan-2024</v>
      </c>
    </row>
    <row r="922" spans="1:18">
      <c r="A922">
        <v>37</v>
      </c>
      <c r="B922">
        <v>1</v>
      </c>
      <c r="C922">
        <v>3</v>
      </c>
      <c r="D922">
        <v>10</v>
      </c>
      <c r="E922">
        <v>1</v>
      </c>
      <c r="F922">
        <v>7.2615012814373303</v>
      </c>
      <c r="G922">
        <v>32</v>
      </c>
      <c r="H922">
        <v>65</v>
      </c>
      <c r="I922">
        <v>79</v>
      </c>
      <c r="J922">
        <v>2</v>
      </c>
      <c r="K922">
        <v>1</v>
      </c>
      <c r="L922" s="2">
        <f t="shared" si="84"/>
        <v>45292</v>
      </c>
      <c r="M922" s="2">
        <f t="shared" ca="1" si="85"/>
        <v>45308</v>
      </c>
      <c r="N922" s="2">
        <f t="shared" ca="1" si="86"/>
        <v>45320</v>
      </c>
      <c r="O922" s="3">
        <f t="shared" ca="1" si="87"/>
        <v>16</v>
      </c>
      <c r="P922" s="3">
        <f t="shared" ca="1" si="88"/>
        <v>12</v>
      </c>
      <c r="Q922" s="1" t="str">
        <f>IF(K922=1,"Joined",IF(H922&gt;=70,"Dropped at Offer",IF(H922&gt;=50,"Dropped at Interview","Dropped at Screening")))</f>
        <v>Joined</v>
      </c>
      <c r="R922" s="1" t="str">
        <f t="shared" ca="1" si="89"/>
        <v>Jan-2024</v>
      </c>
    </row>
    <row r="923" spans="1:18">
      <c r="A923">
        <v>34</v>
      </c>
      <c r="B923">
        <v>1</v>
      </c>
      <c r="C923">
        <v>1</v>
      </c>
      <c r="D923">
        <v>5</v>
      </c>
      <c r="E923">
        <v>4</v>
      </c>
      <c r="F923">
        <v>20.102694125552802</v>
      </c>
      <c r="G923">
        <v>1</v>
      </c>
      <c r="H923">
        <v>97</v>
      </c>
      <c r="I923">
        <v>61</v>
      </c>
      <c r="J923">
        <v>1</v>
      </c>
      <c r="K923">
        <v>1</v>
      </c>
      <c r="L923" s="2">
        <f t="shared" si="84"/>
        <v>45292</v>
      </c>
      <c r="M923" s="2">
        <f t="shared" ca="1" si="85"/>
        <v>45322</v>
      </c>
      <c r="N923" s="2">
        <f t="shared" ca="1" si="86"/>
        <v>45332</v>
      </c>
      <c r="O923" s="3">
        <f t="shared" ca="1" si="87"/>
        <v>30</v>
      </c>
      <c r="P923" s="3">
        <f t="shared" ca="1" si="88"/>
        <v>10</v>
      </c>
      <c r="Q923" s="1" t="str">
        <f>IF(K923=1,"Joined",IF(H923&gt;=70,"Dropped at Offer",IF(H923&gt;=50,"Dropped at Interview","Dropped at Screening")))</f>
        <v>Joined</v>
      </c>
      <c r="R923" s="1" t="str">
        <f t="shared" ca="1" si="89"/>
        <v>Jan-2024</v>
      </c>
    </row>
    <row r="924" spans="1:18">
      <c r="A924">
        <v>28</v>
      </c>
      <c r="B924">
        <v>0</v>
      </c>
      <c r="C924">
        <v>2</v>
      </c>
      <c r="D924">
        <v>3</v>
      </c>
      <c r="E924">
        <v>3</v>
      </c>
      <c r="F924">
        <v>2.4114379825353098</v>
      </c>
      <c r="G924">
        <v>13</v>
      </c>
      <c r="H924">
        <v>2</v>
      </c>
      <c r="I924">
        <v>92</v>
      </c>
      <c r="J924">
        <v>2</v>
      </c>
      <c r="K924">
        <v>0</v>
      </c>
      <c r="L924" s="2">
        <f t="shared" si="84"/>
        <v>45292</v>
      </c>
      <c r="M924" s="2">
        <f t="shared" ca="1" si="85"/>
        <v>45329</v>
      </c>
      <c r="N924" s="2" t="str">
        <f t="shared" ca="1" si="86"/>
        <v>N/A</v>
      </c>
      <c r="O924" s="3">
        <f t="shared" ca="1" si="87"/>
        <v>37</v>
      </c>
      <c r="P924" s="3" t="str">
        <f t="shared" ca="1" si="88"/>
        <v>N/A</v>
      </c>
      <c r="Q924" s="1" t="str">
        <f>IF(K924=1,"Joined",IF(H924&gt;=70,"Dropped at Offer",IF(H924&gt;=50,"Dropped at Interview","Dropped at Screening")))</f>
        <v>Dropped at Screening</v>
      </c>
      <c r="R924" s="1" t="str">
        <f t="shared" ca="1" si="89"/>
        <v>Feb-2024</v>
      </c>
    </row>
    <row r="925" spans="1:18">
      <c r="A925">
        <v>36</v>
      </c>
      <c r="B925">
        <v>1</v>
      </c>
      <c r="C925">
        <v>2</v>
      </c>
      <c r="D925">
        <v>7</v>
      </c>
      <c r="E925">
        <v>2</v>
      </c>
      <c r="F925">
        <v>43.758267248573603</v>
      </c>
      <c r="G925">
        <v>0</v>
      </c>
      <c r="H925">
        <v>79</v>
      </c>
      <c r="I925">
        <v>86</v>
      </c>
      <c r="J925">
        <v>2</v>
      </c>
      <c r="K925">
        <v>0</v>
      </c>
      <c r="L925" s="2">
        <f t="shared" si="84"/>
        <v>45292</v>
      </c>
      <c r="M925" s="2">
        <f t="shared" ca="1" si="85"/>
        <v>45321</v>
      </c>
      <c r="N925" s="2" t="str">
        <f t="shared" ca="1" si="86"/>
        <v>N/A</v>
      </c>
      <c r="O925" s="3">
        <f t="shared" ca="1" si="87"/>
        <v>29</v>
      </c>
      <c r="P925" s="3" t="str">
        <f t="shared" ca="1" si="88"/>
        <v>N/A</v>
      </c>
      <c r="Q925" s="1" t="str">
        <f>IF(K925=1,"Joined",IF(H925&gt;=70,"Dropped at Offer",IF(H925&gt;=50,"Dropped at Interview","Dropped at Screening")))</f>
        <v>Dropped at Offer</v>
      </c>
      <c r="R925" s="1" t="str">
        <f t="shared" ca="1" si="89"/>
        <v>Jan-2024</v>
      </c>
    </row>
    <row r="926" spans="1:18">
      <c r="A926">
        <v>33</v>
      </c>
      <c r="B926">
        <v>1</v>
      </c>
      <c r="C926">
        <v>2</v>
      </c>
      <c r="D926">
        <v>12</v>
      </c>
      <c r="E926">
        <v>1</v>
      </c>
      <c r="F926">
        <v>18.9377881010636</v>
      </c>
      <c r="G926">
        <v>89</v>
      </c>
      <c r="H926">
        <v>50</v>
      </c>
      <c r="I926">
        <v>23</v>
      </c>
      <c r="J926">
        <v>2</v>
      </c>
      <c r="K926">
        <v>0</v>
      </c>
      <c r="L926" s="2">
        <f t="shared" si="84"/>
        <v>45292</v>
      </c>
      <c r="M926" s="2">
        <f t="shared" ca="1" si="85"/>
        <v>45315</v>
      </c>
      <c r="N926" s="2" t="str">
        <f t="shared" ca="1" si="86"/>
        <v>N/A</v>
      </c>
      <c r="O926" s="3">
        <f t="shared" ca="1" si="87"/>
        <v>23</v>
      </c>
      <c r="P926" s="3" t="str">
        <f t="shared" ca="1" si="88"/>
        <v>N/A</v>
      </c>
      <c r="Q926" s="1" t="str">
        <f>IF(K926=1,"Joined",IF(H926&gt;=70,"Dropped at Offer",IF(H926&gt;=50,"Dropped at Interview","Dropped at Screening")))</f>
        <v>Dropped at Interview</v>
      </c>
      <c r="R926" s="1" t="str">
        <f t="shared" ca="1" si="89"/>
        <v>Jan-2024</v>
      </c>
    </row>
    <row r="927" spans="1:18">
      <c r="A927">
        <v>34</v>
      </c>
      <c r="B927">
        <v>1</v>
      </c>
      <c r="C927">
        <v>3</v>
      </c>
      <c r="D927">
        <v>7</v>
      </c>
      <c r="E927">
        <v>2</v>
      </c>
      <c r="F927">
        <v>32.5558513946117</v>
      </c>
      <c r="G927">
        <v>57</v>
      </c>
      <c r="H927">
        <v>67</v>
      </c>
      <c r="I927">
        <v>97</v>
      </c>
      <c r="J927">
        <v>2</v>
      </c>
      <c r="K927">
        <v>1</v>
      </c>
      <c r="L927" s="2">
        <f t="shared" si="84"/>
        <v>45292</v>
      </c>
      <c r="M927" s="2">
        <f t="shared" ca="1" si="85"/>
        <v>45319</v>
      </c>
      <c r="N927" s="2">
        <f t="shared" ca="1" si="86"/>
        <v>45346</v>
      </c>
      <c r="O927" s="3">
        <f t="shared" ca="1" si="87"/>
        <v>27</v>
      </c>
      <c r="P927" s="3">
        <f t="shared" ca="1" si="88"/>
        <v>27</v>
      </c>
      <c r="Q927" s="1" t="str">
        <f>IF(K927=1,"Joined",IF(H927&gt;=70,"Dropped at Offer",IF(H927&gt;=50,"Dropped at Interview","Dropped at Screening")))</f>
        <v>Joined</v>
      </c>
      <c r="R927" s="1" t="str">
        <f t="shared" ca="1" si="89"/>
        <v>Jan-2024</v>
      </c>
    </row>
    <row r="928" spans="1:18">
      <c r="A928">
        <v>50</v>
      </c>
      <c r="B928">
        <v>0</v>
      </c>
      <c r="C928">
        <v>2</v>
      </c>
      <c r="D928">
        <v>9</v>
      </c>
      <c r="E928">
        <v>5</v>
      </c>
      <c r="F928">
        <v>36.744921903864402</v>
      </c>
      <c r="G928">
        <v>88</v>
      </c>
      <c r="H928">
        <v>86</v>
      </c>
      <c r="I928">
        <v>6</v>
      </c>
      <c r="J928">
        <v>1</v>
      </c>
      <c r="K928">
        <v>1</v>
      </c>
      <c r="L928" s="2">
        <f t="shared" si="84"/>
        <v>45292</v>
      </c>
      <c r="M928" s="2">
        <f t="shared" ca="1" si="85"/>
        <v>45311</v>
      </c>
      <c r="N928" s="2">
        <f t="shared" ca="1" si="86"/>
        <v>45341</v>
      </c>
      <c r="O928" s="3">
        <f t="shared" ca="1" si="87"/>
        <v>19</v>
      </c>
      <c r="P928" s="3">
        <f t="shared" ca="1" si="88"/>
        <v>30</v>
      </c>
      <c r="Q928" s="1" t="str">
        <f>IF(K928=1,"Joined",IF(H928&gt;=70,"Dropped at Offer",IF(H928&gt;=50,"Dropped at Interview","Dropped at Screening")))</f>
        <v>Joined</v>
      </c>
      <c r="R928" s="1" t="str">
        <f t="shared" ca="1" si="89"/>
        <v>Jan-2024</v>
      </c>
    </row>
    <row r="929" spans="1:18">
      <c r="A929">
        <v>20</v>
      </c>
      <c r="B929">
        <v>0</v>
      </c>
      <c r="C929">
        <v>1</v>
      </c>
      <c r="D929">
        <v>13</v>
      </c>
      <c r="E929">
        <v>3</v>
      </c>
      <c r="F929">
        <v>22.492233487157701</v>
      </c>
      <c r="G929">
        <v>15</v>
      </c>
      <c r="H929">
        <v>83</v>
      </c>
      <c r="I929">
        <v>37</v>
      </c>
      <c r="J929">
        <v>2</v>
      </c>
      <c r="K929">
        <v>0</v>
      </c>
      <c r="L929" s="2">
        <f t="shared" si="84"/>
        <v>45292</v>
      </c>
      <c r="M929" s="2">
        <f t="shared" ca="1" si="85"/>
        <v>45331</v>
      </c>
      <c r="N929" s="2" t="str">
        <f t="shared" ca="1" si="86"/>
        <v>N/A</v>
      </c>
      <c r="O929" s="3">
        <f t="shared" ca="1" si="87"/>
        <v>39</v>
      </c>
      <c r="P929" s="3" t="str">
        <f t="shared" ca="1" si="88"/>
        <v>N/A</v>
      </c>
      <c r="Q929" s="1" t="str">
        <f>IF(K929=1,"Joined",IF(H929&gt;=70,"Dropped at Offer",IF(H929&gt;=50,"Dropped at Interview","Dropped at Screening")))</f>
        <v>Dropped at Offer</v>
      </c>
      <c r="R929" s="1" t="str">
        <f t="shared" ca="1" si="89"/>
        <v>Feb-2024</v>
      </c>
    </row>
    <row r="930" spans="1:18">
      <c r="A930">
        <v>40</v>
      </c>
      <c r="B930">
        <v>0</v>
      </c>
      <c r="C930">
        <v>2</v>
      </c>
      <c r="D930">
        <v>0</v>
      </c>
      <c r="E930">
        <v>3</v>
      </c>
      <c r="F930">
        <v>16.322116827512101</v>
      </c>
      <c r="G930">
        <v>78</v>
      </c>
      <c r="H930">
        <v>24</v>
      </c>
      <c r="I930">
        <v>36</v>
      </c>
      <c r="J930">
        <v>1</v>
      </c>
      <c r="K930">
        <v>0</v>
      </c>
      <c r="L930" s="2">
        <f t="shared" si="84"/>
        <v>45292</v>
      </c>
      <c r="M930" s="2">
        <f t="shared" ca="1" si="85"/>
        <v>45337</v>
      </c>
      <c r="N930" s="2" t="str">
        <f t="shared" ca="1" si="86"/>
        <v>N/A</v>
      </c>
      <c r="O930" s="3">
        <f t="shared" ca="1" si="87"/>
        <v>45</v>
      </c>
      <c r="P930" s="3" t="str">
        <f t="shared" ca="1" si="88"/>
        <v>N/A</v>
      </c>
      <c r="Q930" s="1" t="str">
        <f>IF(K930=1,"Joined",IF(H930&gt;=70,"Dropped at Offer",IF(H930&gt;=50,"Dropped at Interview","Dropped at Screening")))</f>
        <v>Dropped at Screening</v>
      </c>
      <c r="R930" s="1" t="str">
        <f t="shared" ca="1" si="89"/>
        <v>Feb-2024</v>
      </c>
    </row>
    <row r="931" spans="1:18">
      <c r="A931">
        <v>41</v>
      </c>
      <c r="B931">
        <v>0</v>
      </c>
      <c r="C931">
        <v>4</v>
      </c>
      <c r="D931">
        <v>15</v>
      </c>
      <c r="E931">
        <v>1</v>
      </c>
      <c r="F931">
        <v>49.110645505797201</v>
      </c>
      <c r="G931">
        <v>89</v>
      </c>
      <c r="H931">
        <v>29</v>
      </c>
      <c r="I931">
        <v>67</v>
      </c>
      <c r="J931">
        <v>3</v>
      </c>
      <c r="K931">
        <v>1</v>
      </c>
      <c r="L931" s="2">
        <f t="shared" si="84"/>
        <v>45292</v>
      </c>
      <c r="M931" s="2">
        <f t="shared" ca="1" si="85"/>
        <v>45310</v>
      </c>
      <c r="N931" s="2">
        <f t="shared" ca="1" si="86"/>
        <v>45325</v>
      </c>
      <c r="O931" s="3">
        <f t="shared" ca="1" si="87"/>
        <v>18</v>
      </c>
      <c r="P931" s="3">
        <f t="shared" ca="1" si="88"/>
        <v>15</v>
      </c>
      <c r="Q931" s="1" t="str">
        <f>IF(K931=1,"Joined",IF(H931&gt;=70,"Dropped at Offer",IF(H931&gt;=50,"Dropped at Interview","Dropped at Screening")))</f>
        <v>Joined</v>
      </c>
      <c r="R931" s="1" t="str">
        <f t="shared" ca="1" si="89"/>
        <v>Jan-2024</v>
      </c>
    </row>
    <row r="932" spans="1:18">
      <c r="A932">
        <v>41</v>
      </c>
      <c r="B932">
        <v>1</v>
      </c>
      <c r="C932">
        <v>1</v>
      </c>
      <c r="D932">
        <v>3</v>
      </c>
      <c r="E932">
        <v>3</v>
      </c>
      <c r="F932">
        <v>49.224411251192699</v>
      </c>
      <c r="G932">
        <v>46</v>
      </c>
      <c r="H932">
        <v>81</v>
      </c>
      <c r="I932">
        <v>97</v>
      </c>
      <c r="J932">
        <v>3</v>
      </c>
      <c r="K932">
        <v>0</v>
      </c>
      <c r="L932" s="2">
        <f t="shared" si="84"/>
        <v>45292</v>
      </c>
      <c r="M932" s="2">
        <f t="shared" ca="1" si="85"/>
        <v>45308</v>
      </c>
      <c r="N932" s="2" t="str">
        <f t="shared" ca="1" si="86"/>
        <v>N/A</v>
      </c>
      <c r="O932" s="3">
        <f t="shared" ca="1" si="87"/>
        <v>16</v>
      </c>
      <c r="P932" s="3" t="str">
        <f t="shared" ca="1" si="88"/>
        <v>N/A</v>
      </c>
      <c r="Q932" s="1" t="str">
        <f>IF(K932=1,"Joined",IF(H932&gt;=70,"Dropped at Offer",IF(H932&gt;=50,"Dropped at Interview","Dropped at Screening")))</f>
        <v>Dropped at Offer</v>
      </c>
      <c r="R932" s="1" t="str">
        <f t="shared" ca="1" si="89"/>
        <v>Jan-2024</v>
      </c>
    </row>
    <row r="933" spans="1:18">
      <c r="A933">
        <v>22</v>
      </c>
      <c r="B933">
        <v>0</v>
      </c>
      <c r="C933">
        <v>3</v>
      </c>
      <c r="D933">
        <v>3</v>
      </c>
      <c r="E933">
        <v>1</v>
      </c>
      <c r="F933">
        <v>15.471818401501</v>
      </c>
      <c r="G933">
        <v>43</v>
      </c>
      <c r="H933">
        <v>10</v>
      </c>
      <c r="I933">
        <v>41</v>
      </c>
      <c r="J933">
        <v>2</v>
      </c>
      <c r="K933">
        <v>0</v>
      </c>
      <c r="L933" s="2">
        <f t="shared" si="84"/>
        <v>45292</v>
      </c>
      <c r="M933" s="2">
        <f t="shared" ca="1" si="85"/>
        <v>45317</v>
      </c>
      <c r="N933" s="2" t="str">
        <f t="shared" ca="1" si="86"/>
        <v>N/A</v>
      </c>
      <c r="O933" s="3">
        <f t="shared" ca="1" si="87"/>
        <v>25</v>
      </c>
      <c r="P933" s="3" t="str">
        <f t="shared" ca="1" si="88"/>
        <v>N/A</v>
      </c>
      <c r="Q933" s="1" t="str">
        <f>IF(K933=1,"Joined",IF(H933&gt;=70,"Dropped at Offer",IF(H933&gt;=50,"Dropped at Interview","Dropped at Screening")))</f>
        <v>Dropped at Screening</v>
      </c>
      <c r="R933" s="1" t="str">
        <f t="shared" ca="1" si="89"/>
        <v>Jan-2024</v>
      </c>
    </row>
    <row r="934" spans="1:18">
      <c r="A934">
        <v>35</v>
      </c>
      <c r="B934">
        <v>0</v>
      </c>
      <c r="C934">
        <v>2</v>
      </c>
      <c r="D934">
        <v>6</v>
      </c>
      <c r="E934">
        <v>1</v>
      </c>
      <c r="F934">
        <v>24.981254837222899</v>
      </c>
      <c r="G934">
        <v>79</v>
      </c>
      <c r="H934">
        <v>92</v>
      </c>
      <c r="I934">
        <v>85</v>
      </c>
      <c r="J934">
        <v>3</v>
      </c>
      <c r="K934">
        <v>1</v>
      </c>
      <c r="L934" s="2">
        <f t="shared" si="84"/>
        <v>45292</v>
      </c>
      <c r="M934" s="2">
        <f t="shared" ca="1" si="85"/>
        <v>45313</v>
      </c>
      <c r="N934" s="2">
        <f t="shared" ca="1" si="86"/>
        <v>45325</v>
      </c>
      <c r="O934" s="3">
        <f t="shared" ca="1" si="87"/>
        <v>21</v>
      </c>
      <c r="P934" s="3">
        <f t="shared" ca="1" si="88"/>
        <v>12</v>
      </c>
      <c r="Q934" s="1" t="str">
        <f>IF(K934=1,"Joined",IF(H934&gt;=70,"Dropped at Offer",IF(H934&gt;=50,"Dropped at Interview","Dropped at Screening")))</f>
        <v>Joined</v>
      </c>
      <c r="R934" s="1" t="str">
        <f t="shared" ca="1" si="89"/>
        <v>Jan-2024</v>
      </c>
    </row>
    <row r="935" spans="1:18">
      <c r="A935">
        <v>42</v>
      </c>
      <c r="B935">
        <v>1</v>
      </c>
      <c r="C935">
        <v>3</v>
      </c>
      <c r="D935">
        <v>15</v>
      </c>
      <c r="E935">
        <v>2</v>
      </c>
      <c r="F935">
        <v>49.642207933001103</v>
      </c>
      <c r="G935">
        <v>13</v>
      </c>
      <c r="H935">
        <v>16</v>
      </c>
      <c r="I935">
        <v>4</v>
      </c>
      <c r="J935">
        <v>2</v>
      </c>
      <c r="K935">
        <v>0</v>
      </c>
      <c r="L935" s="2">
        <f t="shared" si="84"/>
        <v>45292</v>
      </c>
      <c r="M935" s="2">
        <f t="shared" ca="1" si="85"/>
        <v>45308</v>
      </c>
      <c r="N935" s="2" t="str">
        <f t="shared" ca="1" si="86"/>
        <v>N/A</v>
      </c>
      <c r="O935" s="3">
        <f t="shared" ca="1" si="87"/>
        <v>16</v>
      </c>
      <c r="P935" s="3" t="str">
        <f t="shared" ca="1" si="88"/>
        <v>N/A</v>
      </c>
      <c r="Q935" s="1" t="str">
        <f>IF(K935=1,"Joined",IF(H935&gt;=70,"Dropped at Offer",IF(H935&gt;=50,"Dropped at Interview","Dropped at Screening")))</f>
        <v>Dropped at Screening</v>
      </c>
      <c r="R935" s="1" t="str">
        <f t="shared" ca="1" si="89"/>
        <v>Jan-2024</v>
      </c>
    </row>
    <row r="936" spans="1:18">
      <c r="A936">
        <v>44</v>
      </c>
      <c r="B936">
        <v>1</v>
      </c>
      <c r="C936">
        <v>3</v>
      </c>
      <c r="D936">
        <v>13</v>
      </c>
      <c r="E936">
        <v>3</v>
      </c>
      <c r="F936">
        <v>1.24342038277516</v>
      </c>
      <c r="G936">
        <v>92</v>
      </c>
      <c r="H936">
        <v>25</v>
      </c>
      <c r="I936">
        <v>63</v>
      </c>
      <c r="J936">
        <v>3</v>
      </c>
      <c r="K936">
        <v>1</v>
      </c>
      <c r="L936" s="2">
        <f t="shared" si="84"/>
        <v>45292</v>
      </c>
      <c r="M936" s="2">
        <f t="shared" ca="1" si="85"/>
        <v>45316</v>
      </c>
      <c r="N936" s="2">
        <f t="shared" ca="1" si="86"/>
        <v>45333</v>
      </c>
      <c r="O936" s="3">
        <f t="shared" ca="1" si="87"/>
        <v>24</v>
      </c>
      <c r="P936" s="3">
        <f t="shared" ca="1" si="88"/>
        <v>17</v>
      </c>
      <c r="Q936" s="1" t="str">
        <f>IF(K936=1,"Joined",IF(H936&gt;=70,"Dropped at Offer",IF(H936&gt;=50,"Dropped at Interview","Dropped at Screening")))</f>
        <v>Joined</v>
      </c>
      <c r="R936" s="1" t="str">
        <f t="shared" ca="1" si="89"/>
        <v>Jan-2024</v>
      </c>
    </row>
    <row r="937" spans="1:18">
      <c r="A937">
        <v>30</v>
      </c>
      <c r="B937">
        <v>1</v>
      </c>
      <c r="C937">
        <v>2</v>
      </c>
      <c r="D937">
        <v>13</v>
      </c>
      <c r="E937">
        <v>1</v>
      </c>
      <c r="F937">
        <v>21.633912418957401</v>
      </c>
      <c r="G937">
        <v>23</v>
      </c>
      <c r="H937">
        <v>22</v>
      </c>
      <c r="I937">
        <v>49</v>
      </c>
      <c r="J937">
        <v>2</v>
      </c>
      <c r="K937">
        <v>0</v>
      </c>
      <c r="L937" s="2">
        <f t="shared" si="84"/>
        <v>45292</v>
      </c>
      <c r="M937" s="2">
        <f t="shared" ca="1" si="85"/>
        <v>45315</v>
      </c>
      <c r="N937" s="2" t="str">
        <f t="shared" ca="1" si="86"/>
        <v>N/A</v>
      </c>
      <c r="O937" s="3">
        <f t="shared" ca="1" si="87"/>
        <v>23</v>
      </c>
      <c r="P937" s="3" t="str">
        <f t="shared" ca="1" si="88"/>
        <v>N/A</v>
      </c>
      <c r="Q937" s="1" t="str">
        <f>IF(K937=1,"Joined",IF(H937&gt;=70,"Dropped at Offer",IF(H937&gt;=50,"Dropped at Interview","Dropped at Screening")))</f>
        <v>Dropped at Screening</v>
      </c>
      <c r="R937" s="1" t="str">
        <f t="shared" ca="1" si="89"/>
        <v>Jan-2024</v>
      </c>
    </row>
    <row r="938" spans="1:18">
      <c r="A938">
        <v>31</v>
      </c>
      <c r="B938">
        <v>0</v>
      </c>
      <c r="C938">
        <v>2</v>
      </c>
      <c r="D938">
        <v>10</v>
      </c>
      <c r="E938">
        <v>2</v>
      </c>
      <c r="F938">
        <v>6.0228774840484203</v>
      </c>
      <c r="G938">
        <v>54</v>
      </c>
      <c r="H938">
        <v>55</v>
      </c>
      <c r="I938">
        <v>86</v>
      </c>
      <c r="J938">
        <v>1</v>
      </c>
      <c r="K938">
        <v>1</v>
      </c>
      <c r="L938" s="2">
        <f t="shared" si="84"/>
        <v>45292</v>
      </c>
      <c r="M938" s="2">
        <f t="shared" ca="1" si="85"/>
        <v>45311</v>
      </c>
      <c r="N938" s="2">
        <f t="shared" ca="1" si="86"/>
        <v>45338</v>
      </c>
      <c r="O938" s="3">
        <f t="shared" ca="1" si="87"/>
        <v>19</v>
      </c>
      <c r="P938" s="3">
        <f t="shared" ca="1" si="88"/>
        <v>27</v>
      </c>
      <c r="Q938" s="1" t="str">
        <f>IF(K938=1,"Joined",IF(H938&gt;=70,"Dropped at Offer",IF(H938&gt;=50,"Dropped at Interview","Dropped at Screening")))</f>
        <v>Joined</v>
      </c>
      <c r="R938" s="1" t="str">
        <f t="shared" ca="1" si="89"/>
        <v>Jan-2024</v>
      </c>
    </row>
    <row r="939" spans="1:18">
      <c r="A939">
        <v>29</v>
      </c>
      <c r="B939">
        <v>0</v>
      </c>
      <c r="C939">
        <v>3</v>
      </c>
      <c r="D939">
        <v>6</v>
      </c>
      <c r="E939">
        <v>4</v>
      </c>
      <c r="F939">
        <v>26.457898278130099</v>
      </c>
      <c r="G939">
        <v>14</v>
      </c>
      <c r="H939">
        <v>51</v>
      </c>
      <c r="I939">
        <v>14</v>
      </c>
      <c r="J939">
        <v>3</v>
      </c>
      <c r="K939">
        <v>0</v>
      </c>
      <c r="L939" s="2">
        <f t="shared" si="84"/>
        <v>45292</v>
      </c>
      <c r="M939" s="2">
        <f t="shared" ca="1" si="85"/>
        <v>45316</v>
      </c>
      <c r="N939" s="2" t="str">
        <f t="shared" ca="1" si="86"/>
        <v>N/A</v>
      </c>
      <c r="O939" s="3">
        <f t="shared" ca="1" si="87"/>
        <v>24</v>
      </c>
      <c r="P939" s="3" t="str">
        <f t="shared" ca="1" si="88"/>
        <v>N/A</v>
      </c>
      <c r="Q939" s="1" t="str">
        <f>IF(K939=1,"Joined",IF(H939&gt;=70,"Dropped at Offer",IF(H939&gt;=50,"Dropped at Interview","Dropped at Screening")))</f>
        <v>Dropped at Interview</v>
      </c>
      <c r="R939" s="1" t="str">
        <f t="shared" ca="1" si="89"/>
        <v>Jan-2024</v>
      </c>
    </row>
    <row r="940" spans="1:18">
      <c r="A940">
        <v>35</v>
      </c>
      <c r="B940">
        <v>0</v>
      </c>
      <c r="C940">
        <v>2</v>
      </c>
      <c r="D940">
        <v>15</v>
      </c>
      <c r="E940">
        <v>2</v>
      </c>
      <c r="F940">
        <v>2.2334977270243499</v>
      </c>
      <c r="G940">
        <v>82</v>
      </c>
      <c r="H940">
        <v>47</v>
      </c>
      <c r="I940">
        <v>94</v>
      </c>
      <c r="J940">
        <v>1</v>
      </c>
      <c r="K940">
        <v>1</v>
      </c>
      <c r="L940" s="2">
        <f t="shared" si="84"/>
        <v>45292</v>
      </c>
      <c r="M940" s="2">
        <f t="shared" ca="1" si="85"/>
        <v>45322</v>
      </c>
      <c r="N940" s="2">
        <f t="shared" ca="1" si="86"/>
        <v>45335</v>
      </c>
      <c r="O940" s="3">
        <f t="shared" ca="1" si="87"/>
        <v>30</v>
      </c>
      <c r="P940" s="3">
        <f t="shared" ca="1" si="88"/>
        <v>13</v>
      </c>
      <c r="Q940" s="1" t="str">
        <f>IF(K940=1,"Joined",IF(H940&gt;=70,"Dropped at Offer",IF(H940&gt;=50,"Dropped at Interview","Dropped at Screening")))</f>
        <v>Joined</v>
      </c>
      <c r="R940" s="1" t="str">
        <f t="shared" ca="1" si="89"/>
        <v>Jan-2024</v>
      </c>
    </row>
    <row r="941" spans="1:18">
      <c r="A941">
        <v>27</v>
      </c>
      <c r="B941">
        <v>1</v>
      </c>
      <c r="C941">
        <v>3</v>
      </c>
      <c r="D941">
        <v>12</v>
      </c>
      <c r="E941">
        <v>2</v>
      </c>
      <c r="F941">
        <v>21.344921569531301</v>
      </c>
      <c r="G941">
        <v>71</v>
      </c>
      <c r="H941">
        <v>19</v>
      </c>
      <c r="I941">
        <v>72</v>
      </c>
      <c r="J941">
        <v>1</v>
      </c>
      <c r="K941">
        <v>1</v>
      </c>
      <c r="L941" s="2">
        <f t="shared" si="84"/>
        <v>45292</v>
      </c>
      <c r="M941" s="2">
        <f t="shared" ca="1" si="85"/>
        <v>45316</v>
      </c>
      <c r="N941" s="2">
        <f t="shared" ca="1" si="86"/>
        <v>45344</v>
      </c>
      <c r="O941" s="3">
        <f t="shared" ca="1" si="87"/>
        <v>24</v>
      </c>
      <c r="P941" s="3">
        <f t="shared" ca="1" si="88"/>
        <v>28</v>
      </c>
      <c r="Q941" s="1" t="str">
        <f>IF(K941=1,"Joined",IF(H941&gt;=70,"Dropped at Offer",IF(H941&gt;=50,"Dropped at Interview","Dropped at Screening")))</f>
        <v>Joined</v>
      </c>
      <c r="R941" s="1" t="str">
        <f t="shared" ca="1" si="89"/>
        <v>Jan-2024</v>
      </c>
    </row>
    <row r="942" spans="1:18">
      <c r="A942">
        <v>25</v>
      </c>
      <c r="B942">
        <v>1</v>
      </c>
      <c r="C942">
        <v>1</v>
      </c>
      <c r="D942">
        <v>10</v>
      </c>
      <c r="E942">
        <v>1</v>
      </c>
      <c r="F942">
        <v>12.034953739266699</v>
      </c>
      <c r="G942">
        <v>33</v>
      </c>
      <c r="H942">
        <v>1</v>
      </c>
      <c r="I942">
        <v>52</v>
      </c>
      <c r="J942">
        <v>1</v>
      </c>
      <c r="K942">
        <v>0</v>
      </c>
      <c r="L942" s="2">
        <f t="shared" si="84"/>
        <v>45292</v>
      </c>
      <c r="M942" s="2">
        <f t="shared" ca="1" si="85"/>
        <v>45328</v>
      </c>
      <c r="N942" s="2" t="str">
        <f t="shared" ca="1" si="86"/>
        <v>N/A</v>
      </c>
      <c r="O942" s="3">
        <f t="shared" ca="1" si="87"/>
        <v>36</v>
      </c>
      <c r="P942" s="3" t="str">
        <f t="shared" ca="1" si="88"/>
        <v>N/A</v>
      </c>
      <c r="Q942" s="1" t="str">
        <f>IF(K942=1,"Joined",IF(H942&gt;=70,"Dropped at Offer",IF(H942&gt;=50,"Dropped at Interview","Dropped at Screening")))</f>
        <v>Dropped at Screening</v>
      </c>
      <c r="R942" s="1" t="str">
        <f t="shared" ca="1" si="89"/>
        <v>Feb-2024</v>
      </c>
    </row>
    <row r="943" spans="1:18">
      <c r="A943">
        <v>31</v>
      </c>
      <c r="B943">
        <v>0</v>
      </c>
      <c r="C943">
        <v>3</v>
      </c>
      <c r="D943">
        <v>14</v>
      </c>
      <c r="E943">
        <v>5</v>
      </c>
      <c r="F943">
        <v>27.665418122937002</v>
      </c>
      <c r="G943">
        <v>1</v>
      </c>
      <c r="H943">
        <v>87</v>
      </c>
      <c r="I943">
        <v>24</v>
      </c>
      <c r="J943">
        <v>2</v>
      </c>
      <c r="K943">
        <v>0</v>
      </c>
      <c r="L943" s="2">
        <f t="shared" si="84"/>
        <v>45292</v>
      </c>
      <c r="M943" s="2">
        <f t="shared" ca="1" si="85"/>
        <v>45330</v>
      </c>
      <c r="N943" s="2" t="str">
        <f t="shared" ca="1" si="86"/>
        <v>N/A</v>
      </c>
      <c r="O943" s="3">
        <f t="shared" ca="1" si="87"/>
        <v>38</v>
      </c>
      <c r="P943" s="3" t="str">
        <f t="shared" ca="1" si="88"/>
        <v>N/A</v>
      </c>
      <c r="Q943" s="1" t="str">
        <f>IF(K943=1,"Joined",IF(H943&gt;=70,"Dropped at Offer",IF(H943&gt;=50,"Dropped at Interview","Dropped at Screening")))</f>
        <v>Dropped at Offer</v>
      </c>
      <c r="R943" s="1" t="str">
        <f t="shared" ca="1" si="89"/>
        <v>Feb-2024</v>
      </c>
    </row>
    <row r="944" spans="1:18">
      <c r="A944">
        <v>43</v>
      </c>
      <c r="B944">
        <v>1</v>
      </c>
      <c r="C944">
        <v>3</v>
      </c>
      <c r="D944">
        <v>7</v>
      </c>
      <c r="E944">
        <v>5</v>
      </c>
      <c r="F944">
        <v>50.799682455034898</v>
      </c>
      <c r="G944">
        <v>26</v>
      </c>
      <c r="H944">
        <v>30</v>
      </c>
      <c r="I944">
        <v>88</v>
      </c>
      <c r="J944">
        <v>2</v>
      </c>
      <c r="K944">
        <v>0</v>
      </c>
      <c r="L944" s="2">
        <f t="shared" si="84"/>
        <v>45292</v>
      </c>
      <c r="M944" s="2">
        <f t="shared" ca="1" si="85"/>
        <v>45316</v>
      </c>
      <c r="N944" s="2" t="str">
        <f t="shared" ca="1" si="86"/>
        <v>N/A</v>
      </c>
      <c r="O944" s="3">
        <f t="shared" ca="1" si="87"/>
        <v>24</v>
      </c>
      <c r="P944" s="3" t="str">
        <f t="shared" ca="1" si="88"/>
        <v>N/A</v>
      </c>
      <c r="Q944" s="1" t="str">
        <f>IF(K944=1,"Joined",IF(H944&gt;=70,"Dropped at Offer",IF(H944&gt;=50,"Dropped at Interview","Dropped at Screening")))</f>
        <v>Dropped at Screening</v>
      </c>
      <c r="R944" s="1" t="str">
        <f t="shared" ca="1" si="89"/>
        <v>Jan-2024</v>
      </c>
    </row>
    <row r="945" spans="1:18">
      <c r="A945">
        <v>47</v>
      </c>
      <c r="B945">
        <v>1</v>
      </c>
      <c r="C945">
        <v>4</v>
      </c>
      <c r="D945">
        <v>15</v>
      </c>
      <c r="E945">
        <v>5</v>
      </c>
      <c r="F945">
        <v>41.026805256337298</v>
      </c>
      <c r="G945">
        <v>73</v>
      </c>
      <c r="H945">
        <v>26</v>
      </c>
      <c r="I945">
        <v>84</v>
      </c>
      <c r="J945">
        <v>2</v>
      </c>
      <c r="K945">
        <v>1</v>
      </c>
      <c r="L945" s="2">
        <f t="shared" si="84"/>
        <v>45292</v>
      </c>
      <c r="M945" s="2">
        <f t="shared" ca="1" si="85"/>
        <v>45325</v>
      </c>
      <c r="N945" s="2">
        <f t="shared" ca="1" si="86"/>
        <v>45349</v>
      </c>
      <c r="O945" s="3">
        <f t="shared" ca="1" si="87"/>
        <v>33</v>
      </c>
      <c r="P945" s="3">
        <f t="shared" ca="1" si="88"/>
        <v>24</v>
      </c>
      <c r="Q945" s="1" t="str">
        <f>IF(K945=1,"Joined",IF(H945&gt;=70,"Dropped at Offer",IF(H945&gt;=50,"Dropped at Interview","Dropped at Screening")))</f>
        <v>Joined</v>
      </c>
      <c r="R945" s="1" t="str">
        <f t="shared" ca="1" si="89"/>
        <v>Feb-2024</v>
      </c>
    </row>
    <row r="946" spans="1:18">
      <c r="A946">
        <v>40</v>
      </c>
      <c r="B946">
        <v>1</v>
      </c>
      <c r="C946">
        <v>1</v>
      </c>
      <c r="D946">
        <v>10</v>
      </c>
      <c r="E946">
        <v>2</v>
      </c>
      <c r="F946">
        <v>43.282104581220999</v>
      </c>
      <c r="G946">
        <v>98</v>
      </c>
      <c r="H946">
        <v>1</v>
      </c>
      <c r="I946">
        <v>8</v>
      </c>
      <c r="J946">
        <v>3</v>
      </c>
      <c r="K946">
        <v>0</v>
      </c>
      <c r="L946" s="2">
        <f t="shared" si="84"/>
        <v>45292</v>
      </c>
      <c r="M946" s="2">
        <f t="shared" ca="1" si="85"/>
        <v>45310</v>
      </c>
      <c r="N946" s="2" t="str">
        <f t="shared" ca="1" si="86"/>
        <v>N/A</v>
      </c>
      <c r="O946" s="3">
        <f t="shared" ca="1" si="87"/>
        <v>18</v>
      </c>
      <c r="P946" s="3" t="str">
        <f t="shared" ca="1" si="88"/>
        <v>N/A</v>
      </c>
      <c r="Q946" s="1" t="str">
        <f>IF(K946=1,"Joined",IF(H946&gt;=70,"Dropped at Offer",IF(H946&gt;=50,"Dropped at Interview","Dropped at Screening")))</f>
        <v>Dropped at Screening</v>
      </c>
      <c r="R946" s="1" t="str">
        <f t="shared" ca="1" si="89"/>
        <v>Jan-2024</v>
      </c>
    </row>
    <row r="947" spans="1:18">
      <c r="A947">
        <v>27</v>
      </c>
      <c r="B947">
        <v>0</v>
      </c>
      <c r="C947">
        <v>2</v>
      </c>
      <c r="D947">
        <v>4</v>
      </c>
      <c r="E947">
        <v>1</v>
      </c>
      <c r="F947">
        <v>32.763249367954003</v>
      </c>
      <c r="G947">
        <v>86</v>
      </c>
      <c r="H947">
        <v>77</v>
      </c>
      <c r="I947">
        <v>37</v>
      </c>
      <c r="J947">
        <v>1</v>
      </c>
      <c r="K947">
        <v>1</v>
      </c>
      <c r="L947" s="2">
        <f t="shared" si="84"/>
        <v>45292</v>
      </c>
      <c r="M947" s="2">
        <f t="shared" ca="1" si="85"/>
        <v>45315</v>
      </c>
      <c r="N947" s="2">
        <f t="shared" ca="1" si="86"/>
        <v>45337</v>
      </c>
      <c r="O947" s="3">
        <f t="shared" ca="1" si="87"/>
        <v>23</v>
      </c>
      <c r="P947" s="3">
        <f t="shared" ca="1" si="88"/>
        <v>22</v>
      </c>
      <c r="Q947" s="1" t="str">
        <f>IF(K947=1,"Joined",IF(H947&gt;=70,"Dropped at Offer",IF(H947&gt;=50,"Dropped at Interview","Dropped at Screening")))</f>
        <v>Joined</v>
      </c>
      <c r="R947" s="1" t="str">
        <f t="shared" ca="1" si="89"/>
        <v>Jan-2024</v>
      </c>
    </row>
    <row r="948" spans="1:18">
      <c r="A948">
        <v>45</v>
      </c>
      <c r="B948">
        <v>1</v>
      </c>
      <c r="C948">
        <v>2</v>
      </c>
      <c r="D948">
        <v>6</v>
      </c>
      <c r="E948">
        <v>3</v>
      </c>
      <c r="F948">
        <v>3.07799241361292</v>
      </c>
      <c r="G948">
        <v>71</v>
      </c>
      <c r="H948">
        <v>3</v>
      </c>
      <c r="I948">
        <v>21</v>
      </c>
      <c r="J948">
        <v>3</v>
      </c>
      <c r="K948">
        <v>0</v>
      </c>
      <c r="L948" s="2">
        <f t="shared" si="84"/>
        <v>45292</v>
      </c>
      <c r="M948" s="2">
        <f t="shared" ca="1" si="85"/>
        <v>45312</v>
      </c>
      <c r="N948" s="2" t="str">
        <f t="shared" ca="1" si="86"/>
        <v>N/A</v>
      </c>
      <c r="O948" s="3">
        <f t="shared" ca="1" si="87"/>
        <v>20</v>
      </c>
      <c r="P948" s="3" t="str">
        <f t="shared" ca="1" si="88"/>
        <v>N/A</v>
      </c>
      <c r="Q948" s="1" t="str">
        <f>IF(K948=1,"Joined",IF(H948&gt;=70,"Dropped at Offer",IF(H948&gt;=50,"Dropped at Interview","Dropped at Screening")))</f>
        <v>Dropped at Screening</v>
      </c>
      <c r="R948" s="1" t="str">
        <f t="shared" ca="1" si="89"/>
        <v>Jan-2024</v>
      </c>
    </row>
    <row r="949" spans="1:18">
      <c r="A949">
        <v>47</v>
      </c>
      <c r="B949">
        <v>1</v>
      </c>
      <c r="C949">
        <v>2</v>
      </c>
      <c r="D949">
        <v>7</v>
      </c>
      <c r="E949">
        <v>2</v>
      </c>
      <c r="F949">
        <v>11.339883802207201</v>
      </c>
      <c r="G949">
        <v>91</v>
      </c>
      <c r="H949">
        <v>12</v>
      </c>
      <c r="I949">
        <v>86</v>
      </c>
      <c r="J949">
        <v>3</v>
      </c>
      <c r="K949">
        <v>0</v>
      </c>
      <c r="L949" s="2">
        <f t="shared" si="84"/>
        <v>45292</v>
      </c>
      <c r="M949" s="2">
        <f t="shared" ca="1" si="85"/>
        <v>45322</v>
      </c>
      <c r="N949" s="2" t="str">
        <f t="shared" ca="1" si="86"/>
        <v>N/A</v>
      </c>
      <c r="O949" s="3">
        <f t="shared" ca="1" si="87"/>
        <v>30</v>
      </c>
      <c r="P949" s="3" t="str">
        <f t="shared" ca="1" si="88"/>
        <v>N/A</v>
      </c>
      <c r="Q949" s="1" t="str">
        <f>IF(K949=1,"Joined",IF(H949&gt;=70,"Dropped at Offer",IF(H949&gt;=50,"Dropped at Interview","Dropped at Screening")))</f>
        <v>Dropped at Screening</v>
      </c>
      <c r="R949" s="1" t="str">
        <f t="shared" ca="1" si="89"/>
        <v>Jan-2024</v>
      </c>
    </row>
    <row r="950" spans="1:18">
      <c r="A950">
        <v>23</v>
      </c>
      <c r="B950">
        <v>0</v>
      </c>
      <c r="C950">
        <v>2</v>
      </c>
      <c r="D950">
        <v>15</v>
      </c>
      <c r="E950">
        <v>2</v>
      </c>
      <c r="F950">
        <v>47.253227822352699</v>
      </c>
      <c r="G950">
        <v>22</v>
      </c>
      <c r="H950">
        <v>99</v>
      </c>
      <c r="I950">
        <v>48</v>
      </c>
      <c r="J950">
        <v>1</v>
      </c>
      <c r="K950">
        <v>1</v>
      </c>
      <c r="L950" s="2">
        <f t="shared" si="84"/>
        <v>45292</v>
      </c>
      <c r="M950" s="2">
        <f t="shared" ca="1" si="85"/>
        <v>45323</v>
      </c>
      <c r="N950" s="2">
        <f t="shared" ca="1" si="86"/>
        <v>45342</v>
      </c>
      <c r="O950" s="3">
        <f t="shared" ca="1" si="87"/>
        <v>31</v>
      </c>
      <c r="P950" s="3">
        <f t="shared" ca="1" si="88"/>
        <v>19</v>
      </c>
      <c r="Q950" s="1" t="str">
        <f>IF(K950=1,"Joined",IF(H950&gt;=70,"Dropped at Offer",IF(H950&gt;=50,"Dropped at Interview","Dropped at Screening")))</f>
        <v>Joined</v>
      </c>
      <c r="R950" s="1" t="str">
        <f t="shared" ca="1" si="89"/>
        <v>Feb-2024</v>
      </c>
    </row>
    <row r="951" spans="1:18">
      <c r="A951">
        <v>45</v>
      </c>
      <c r="B951">
        <v>0</v>
      </c>
      <c r="C951">
        <v>1</v>
      </c>
      <c r="D951">
        <v>14</v>
      </c>
      <c r="E951">
        <v>1</v>
      </c>
      <c r="F951">
        <v>19.3056558964375</v>
      </c>
      <c r="G951">
        <v>67</v>
      </c>
      <c r="H951">
        <v>34</v>
      </c>
      <c r="I951">
        <v>67</v>
      </c>
      <c r="J951">
        <v>2</v>
      </c>
      <c r="K951">
        <v>0</v>
      </c>
      <c r="L951" s="2">
        <f t="shared" si="84"/>
        <v>45292</v>
      </c>
      <c r="M951" s="2">
        <f t="shared" ca="1" si="85"/>
        <v>45322</v>
      </c>
      <c r="N951" s="2" t="str">
        <f t="shared" ca="1" si="86"/>
        <v>N/A</v>
      </c>
      <c r="O951" s="3">
        <f t="shared" ca="1" si="87"/>
        <v>30</v>
      </c>
      <c r="P951" s="3" t="str">
        <f t="shared" ca="1" si="88"/>
        <v>N/A</v>
      </c>
      <c r="Q951" s="1" t="str">
        <f>IF(K951=1,"Joined",IF(H951&gt;=70,"Dropped at Offer",IF(H951&gt;=50,"Dropped at Interview","Dropped at Screening")))</f>
        <v>Dropped at Screening</v>
      </c>
      <c r="R951" s="1" t="str">
        <f t="shared" ca="1" si="89"/>
        <v>Jan-2024</v>
      </c>
    </row>
    <row r="952" spans="1:18">
      <c r="A952">
        <v>27</v>
      </c>
      <c r="B952">
        <v>1</v>
      </c>
      <c r="C952">
        <v>3</v>
      </c>
      <c r="D952">
        <v>8</v>
      </c>
      <c r="E952">
        <v>4</v>
      </c>
      <c r="F952">
        <v>6.1818363240397698</v>
      </c>
      <c r="G952">
        <v>13</v>
      </c>
      <c r="H952">
        <v>71</v>
      </c>
      <c r="I952">
        <v>92</v>
      </c>
      <c r="J952">
        <v>3</v>
      </c>
      <c r="K952">
        <v>1</v>
      </c>
      <c r="L952" s="2">
        <f t="shared" si="84"/>
        <v>45292</v>
      </c>
      <c r="M952" s="2">
        <f t="shared" ca="1" si="85"/>
        <v>45309</v>
      </c>
      <c r="N952" s="2">
        <f t="shared" ca="1" si="86"/>
        <v>45317</v>
      </c>
      <c r="O952" s="3">
        <f t="shared" ca="1" si="87"/>
        <v>17</v>
      </c>
      <c r="P952" s="3">
        <f t="shared" ca="1" si="88"/>
        <v>8</v>
      </c>
      <c r="Q952" s="1" t="str">
        <f>IF(K952=1,"Joined",IF(H952&gt;=70,"Dropped at Offer",IF(H952&gt;=50,"Dropped at Interview","Dropped at Screening")))</f>
        <v>Joined</v>
      </c>
      <c r="R952" s="1" t="str">
        <f t="shared" ca="1" si="89"/>
        <v>Jan-2024</v>
      </c>
    </row>
    <row r="953" spans="1:18">
      <c r="A953">
        <v>45</v>
      </c>
      <c r="B953">
        <v>1</v>
      </c>
      <c r="C953">
        <v>2</v>
      </c>
      <c r="D953">
        <v>2</v>
      </c>
      <c r="E953">
        <v>2</v>
      </c>
      <c r="F953">
        <v>36.120268293310097</v>
      </c>
      <c r="G953">
        <v>62</v>
      </c>
      <c r="H953">
        <v>65</v>
      </c>
      <c r="I953">
        <v>14</v>
      </c>
      <c r="J953">
        <v>2</v>
      </c>
      <c r="K953">
        <v>0</v>
      </c>
      <c r="L953" s="2">
        <f t="shared" si="84"/>
        <v>45292</v>
      </c>
      <c r="M953" s="2">
        <f t="shared" ca="1" si="85"/>
        <v>45335</v>
      </c>
      <c r="N953" s="2" t="str">
        <f t="shared" ca="1" si="86"/>
        <v>N/A</v>
      </c>
      <c r="O953" s="3">
        <f t="shared" ca="1" si="87"/>
        <v>43</v>
      </c>
      <c r="P953" s="3" t="str">
        <f t="shared" ca="1" si="88"/>
        <v>N/A</v>
      </c>
      <c r="Q953" s="1" t="str">
        <f>IF(K953=1,"Joined",IF(H953&gt;=70,"Dropped at Offer",IF(H953&gt;=50,"Dropped at Interview","Dropped at Screening")))</f>
        <v>Dropped at Interview</v>
      </c>
      <c r="R953" s="1" t="str">
        <f t="shared" ca="1" si="89"/>
        <v>Feb-2024</v>
      </c>
    </row>
    <row r="954" spans="1:18">
      <c r="A954">
        <v>47</v>
      </c>
      <c r="B954">
        <v>0</v>
      </c>
      <c r="C954">
        <v>1</v>
      </c>
      <c r="D954">
        <v>2</v>
      </c>
      <c r="E954">
        <v>4</v>
      </c>
      <c r="F954">
        <v>15.9728861967127</v>
      </c>
      <c r="G954">
        <v>92</v>
      </c>
      <c r="H954">
        <v>5</v>
      </c>
      <c r="I954">
        <v>64</v>
      </c>
      <c r="J954">
        <v>2</v>
      </c>
      <c r="K954">
        <v>0</v>
      </c>
      <c r="L954" s="2">
        <f t="shared" si="84"/>
        <v>45292</v>
      </c>
      <c r="M954" s="2">
        <f t="shared" ca="1" si="85"/>
        <v>45327</v>
      </c>
      <c r="N954" s="2" t="str">
        <f t="shared" ca="1" si="86"/>
        <v>N/A</v>
      </c>
      <c r="O954" s="3">
        <f t="shared" ca="1" si="87"/>
        <v>35</v>
      </c>
      <c r="P954" s="3" t="str">
        <f t="shared" ca="1" si="88"/>
        <v>N/A</v>
      </c>
      <c r="Q954" s="1" t="str">
        <f>IF(K954=1,"Joined",IF(H954&gt;=70,"Dropped at Offer",IF(H954&gt;=50,"Dropped at Interview","Dropped at Screening")))</f>
        <v>Dropped at Screening</v>
      </c>
      <c r="R954" s="1" t="str">
        <f t="shared" ca="1" si="89"/>
        <v>Feb-2024</v>
      </c>
    </row>
    <row r="955" spans="1:18">
      <c r="A955">
        <v>37</v>
      </c>
      <c r="B955">
        <v>0</v>
      </c>
      <c r="C955">
        <v>2</v>
      </c>
      <c r="D955">
        <v>3</v>
      </c>
      <c r="E955">
        <v>4</v>
      </c>
      <c r="F955">
        <v>14.4428456452085</v>
      </c>
      <c r="G955">
        <v>64</v>
      </c>
      <c r="H955">
        <v>30</v>
      </c>
      <c r="I955">
        <v>53</v>
      </c>
      <c r="J955">
        <v>2</v>
      </c>
      <c r="K955">
        <v>0</v>
      </c>
      <c r="L955" s="2">
        <f t="shared" si="84"/>
        <v>45292</v>
      </c>
      <c r="M955" s="2">
        <f t="shared" ca="1" si="85"/>
        <v>45307</v>
      </c>
      <c r="N955" s="2" t="str">
        <f t="shared" ca="1" si="86"/>
        <v>N/A</v>
      </c>
      <c r="O955" s="3">
        <f t="shared" ca="1" si="87"/>
        <v>15</v>
      </c>
      <c r="P955" s="3" t="str">
        <f t="shared" ca="1" si="88"/>
        <v>N/A</v>
      </c>
      <c r="Q955" s="1" t="str">
        <f>IF(K955=1,"Joined",IF(H955&gt;=70,"Dropped at Offer",IF(H955&gt;=50,"Dropped at Interview","Dropped at Screening")))</f>
        <v>Dropped at Screening</v>
      </c>
      <c r="R955" s="1" t="str">
        <f t="shared" ca="1" si="89"/>
        <v>Jan-2024</v>
      </c>
    </row>
    <row r="956" spans="1:18">
      <c r="A956">
        <v>47</v>
      </c>
      <c r="B956">
        <v>1</v>
      </c>
      <c r="C956">
        <v>2</v>
      </c>
      <c r="D956">
        <v>4</v>
      </c>
      <c r="E956">
        <v>5</v>
      </c>
      <c r="F956">
        <v>50.898872777912999</v>
      </c>
      <c r="G956">
        <v>67</v>
      </c>
      <c r="H956">
        <v>9</v>
      </c>
      <c r="I956">
        <v>29</v>
      </c>
      <c r="J956">
        <v>2</v>
      </c>
      <c r="K956">
        <v>0</v>
      </c>
      <c r="L956" s="2">
        <f t="shared" si="84"/>
        <v>45292</v>
      </c>
      <c r="M956" s="2">
        <f t="shared" ca="1" si="85"/>
        <v>45312</v>
      </c>
      <c r="N956" s="2" t="str">
        <f t="shared" ca="1" si="86"/>
        <v>N/A</v>
      </c>
      <c r="O956" s="3">
        <f t="shared" ca="1" si="87"/>
        <v>20</v>
      </c>
      <c r="P956" s="3" t="str">
        <f t="shared" ca="1" si="88"/>
        <v>N/A</v>
      </c>
      <c r="Q956" s="1" t="str">
        <f>IF(K956=1,"Joined",IF(H956&gt;=70,"Dropped at Offer",IF(H956&gt;=50,"Dropped at Interview","Dropped at Screening")))</f>
        <v>Dropped at Screening</v>
      </c>
      <c r="R956" s="1" t="str">
        <f t="shared" ca="1" si="89"/>
        <v>Jan-2024</v>
      </c>
    </row>
    <row r="957" spans="1:18">
      <c r="A957">
        <v>47</v>
      </c>
      <c r="B957">
        <v>1</v>
      </c>
      <c r="C957">
        <v>1</v>
      </c>
      <c r="D957">
        <v>9</v>
      </c>
      <c r="E957">
        <v>1</v>
      </c>
      <c r="F957">
        <v>43.906946251332698</v>
      </c>
      <c r="G957">
        <v>62</v>
      </c>
      <c r="H957">
        <v>20</v>
      </c>
      <c r="I957">
        <v>92</v>
      </c>
      <c r="J957">
        <v>1</v>
      </c>
      <c r="K957">
        <v>1</v>
      </c>
      <c r="L957" s="2">
        <f t="shared" si="84"/>
        <v>45292</v>
      </c>
      <c r="M957" s="2">
        <f t="shared" ca="1" si="85"/>
        <v>45336</v>
      </c>
      <c r="N957" s="2">
        <f t="shared" ca="1" si="86"/>
        <v>45363</v>
      </c>
      <c r="O957" s="3">
        <f t="shared" ca="1" si="87"/>
        <v>44</v>
      </c>
      <c r="P957" s="3">
        <f t="shared" ca="1" si="88"/>
        <v>27</v>
      </c>
      <c r="Q957" s="1" t="str">
        <f>IF(K957=1,"Joined",IF(H957&gt;=70,"Dropped at Offer",IF(H957&gt;=50,"Dropped at Interview","Dropped at Screening")))</f>
        <v>Joined</v>
      </c>
      <c r="R957" s="1" t="str">
        <f t="shared" ca="1" si="89"/>
        <v>Feb-2024</v>
      </c>
    </row>
    <row r="958" spans="1:18">
      <c r="A958">
        <v>24</v>
      </c>
      <c r="B958">
        <v>1</v>
      </c>
      <c r="C958">
        <v>4</v>
      </c>
      <c r="D958">
        <v>0</v>
      </c>
      <c r="E958">
        <v>4</v>
      </c>
      <c r="F958">
        <v>21.396890918392</v>
      </c>
      <c r="G958">
        <v>95</v>
      </c>
      <c r="H958">
        <v>73</v>
      </c>
      <c r="I958">
        <v>19</v>
      </c>
      <c r="J958">
        <v>2</v>
      </c>
      <c r="K958">
        <v>0</v>
      </c>
      <c r="L958" s="2">
        <f t="shared" si="84"/>
        <v>45292</v>
      </c>
      <c r="M958" s="2">
        <f t="shared" ca="1" si="85"/>
        <v>45321</v>
      </c>
      <c r="N958" s="2" t="str">
        <f t="shared" ca="1" si="86"/>
        <v>N/A</v>
      </c>
      <c r="O958" s="3">
        <f t="shared" ca="1" si="87"/>
        <v>29</v>
      </c>
      <c r="P958" s="3" t="str">
        <f t="shared" ca="1" si="88"/>
        <v>N/A</v>
      </c>
      <c r="Q958" s="1" t="str">
        <f>IF(K958=1,"Joined",IF(H958&gt;=70,"Dropped at Offer",IF(H958&gt;=50,"Dropped at Interview","Dropped at Screening")))</f>
        <v>Dropped at Offer</v>
      </c>
      <c r="R958" s="1" t="str">
        <f t="shared" ca="1" si="89"/>
        <v>Jan-2024</v>
      </c>
    </row>
    <row r="959" spans="1:18">
      <c r="A959">
        <v>28</v>
      </c>
      <c r="B959">
        <v>1</v>
      </c>
      <c r="C959">
        <v>4</v>
      </c>
      <c r="D959">
        <v>14</v>
      </c>
      <c r="E959">
        <v>1</v>
      </c>
      <c r="F959">
        <v>50.013060390824897</v>
      </c>
      <c r="G959">
        <v>96</v>
      </c>
      <c r="H959">
        <v>22</v>
      </c>
      <c r="I959">
        <v>32</v>
      </c>
      <c r="J959">
        <v>1</v>
      </c>
      <c r="K959">
        <v>1</v>
      </c>
      <c r="L959" s="2">
        <f t="shared" si="84"/>
        <v>45292</v>
      </c>
      <c r="M959" s="2">
        <f t="shared" ca="1" si="85"/>
        <v>45334</v>
      </c>
      <c r="N959" s="2">
        <f t="shared" ca="1" si="86"/>
        <v>45357</v>
      </c>
      <c r="O959" s="3">
        <f t="shared" ca="1" si="87"/>
        <v>42</v>
      </c>
      <c r="P959" s="3">
        <f t="shared" ca="1" si="88"/>
        <v>23</v>
      </c>
      <c r="Q959" s="1" t="str">
        <f>IF(K959=1,"Joined",IF(H959&gt;=70,"Dropped at Offer",IF(H959&gt;=50,"Dropped at Interview","Dropped at Screening")))</f>
        <v>Joined</v>
      </c>
      <c r="R959" s="1" t="str">
        <f t="shared" ca="1" si="89"/>
        <v>Feb-2024</v>
      </c>
    </row>
    <row r="960" spans="1:18">
      <c r="A960">
        <v>23</v>
      </c>
      <c r="B960">
        <v>0</v>
      </c>
      <c r="C960">
        <v>2</v>
      </c>
      <c r="D960">
        <v>14</v>
      </c>
      <c r="E960">
        <v>5</v>
      </c>
      <c r="F960">
        <v>33.5056611709606</v>
      </c>
      <c r="G960">
        <v>89</v>
      </c>
      <c r="H960">
        <v>2</v>
      </c>
      <c r="I960">
        <v>99</v>
      </c>
      <c r="J960">
        <v>2</v>
      </c>
      <c r="K960">
        <v>0</v>
      </c>
      <c r="L960" s="2">
        <f t="shared" si="84"/>
        <v>45292</v>
      </c>
      <c r="M960" s="2">
        <f t="shared" ca="1" si="85"/>
        <v>45317</v>
      </c>
      <c r="N960" s="2" t="str">
        <f t="shared" ca="1" si="86"/>
        <v>N/A</v>
      </c>
      <c r="O960" s="3">
        <f t="shared" ca="1" si="87"/>
        <v>25</v>
      </c>
      <c r="P960" s="3" t="str">
        <f t="shared" ca="1" si="88"/>
        <v>N/A</v>
      </c>
      <c r="Q960" s="1" t="str">
        <f>IF(K960=1,"Joined",IF(H960&gt;=70,"Dropped at Offer",IF(H960&gt;=50,"Dropped at Interview","Dropped at Screening")))</f>
        <v>Dropped at Screening</v>
      </c>
      <c r="R960" s="1" t="str">
        <f t="shared" ca="1" si="89"/>
        <v>Jan-2024</v>
      </c>
    </row>
    <row r="961" spans="1:18">
      <c r="A961">
        <v>46</v>
      </c>
      <c r="B961">
        <v>1</v>
      </c>
      <c r="C961">
        <v>1</v>
      </c>
      <c r="D961">
        <v>6</v>
      </c>
      <c r="E961">
        <v>1</v>
      </c>
      <c r="F961">
        <v>38.101122593988002</v>
      </c>
      <c r="G961">
        <v>80</v>
      </c>
      <c r="H961">
        <v>31</v>
      </c>
      <c r="I961">
        <v>85</v>
      </c>
      <c r="J961">
        <v>3</v>
      </c>
      <c r="K961">
        <v>0</v>
      </c>
      <c r="L961" s="2">
        <f t="shared" si="84"/>
        <v>45292</v>
      </c>
      <c r="M961" s="2">
        <f t="shared" ca="1" si="85"/>
        <v>45324</v>
      </c>
      <c r="N961" s="2" t="str">
        <f t="shared" ca="1" si="86"/>
        <v>N/A</v>
      </c>
      <c r="O961" s="3">
        <f t="shared" ca="1" si="87"/>
        <v>32</v>
      </c>
      <c r="P961" s="3" t="str">
        <f t="shared" ca="1" si="88"/>
        <v>N/A</v>
      </c>
      <c r="Q961" s="1" t="str">
        <f>IF(K961=1,"Joined",IF(H961&gt;=70,"Dropped at Offer",IF(H961&gt;=50,"Dropped at Interview","Dropped at Screening")))</f>
        <v>Dropped at Screening</v>
      </c>
      <c r="R961" s="1" t="str">
        <f t="shared" ca="1" si="89"/>
        <v>Feb-2024</v>
      </c>
    </row>
    <row r="962" spans="1:18">
      <c r="A962">
        <v>41</v>
      </c>
      <c r="B962">
        <v>1</v>
      </c>
      <c r="C962">
        <v>3</v>
      </c>
      <c r="D962">
        <v>8</v>
      </c>
      <c r="E962">
        <v>2</v>
      </c>
      <c r="F962">
        <v>2.5756521541105699</v>
      </c>
      <c r="G962">
        <v>86</v>
      </c>
      <c r="H962">
        <v>19</v>
      </c>
      <c r="I962">
        <v>76</v>
      </c>
      <c r="J962">
        <v>2</v>
      </c>
      <c r="K962">
        <v>1</v>
      </c>
      <c r="L962" s="2">
        <f t="shared" ref="L962:L1025" si="90">DATE(2024,1,1)</f>
        <v>45292</v>
      </c>
      <c r="M962" s="2">
        <f t="shared" ref="M962:M1025" ca="1" si="91">L962+RANDBETWEEN(14,45)</f>
        <v>45306</v>
      </c>
      <c r="N962" s="2">
        <f t="shared" ref="N962:N1025" ca="1" si="92">IF(K962=1, M962+RANDBETWEEN(7,30), "N/A")</f>
        <v>45334</v>
      </c>
      <c r="O962" s="3">
        <f t="shared" ref="O962:O1025" ca="1" si="93">IF(AND(M962&lt;&gt;"",L962&lt;&gt;""), M962-L962, "N/A")</f>
        <v>14</v>
      </c>
      <c r="P962" s="3">
        <f t="shared" ref="P962:Q1025" ca="1" si="94">IF(AND(K962=1, N962&lt;&gt;"", M962&lt;&gt;""), N962 - M962, "N/A")</f>
        <v>28</v>
      </c>
      <c r="Q962" s="1" t="str">
        <f>IF(K962=1,"Joined",IF(H962&gt;=70,"Dropped at Offer",IF(H962&gt;=50,"Dropped at Interview","Dropped at Screening")))</f>
        <v>Joined</v>
      </c>
      <c r="R962" s="1" t="str">
        <f t="shared" ref="R962:R1025" ca="1" si="95">TEXT(M962,"MMM-YYYY")</f>
        <v>Jan-2024</v>
      </c>
    </row>
    <row r="963" spans="1:18">
      <c r="A963">
        <v>50</v>
      </c>
      <c r="B963">
        <v>0</v>
      </c>
      <c r="C963">
        <v>2</v>
      </c>
      <c r="D963">
        <v>7</v>
      </c>
      <c r="E963">
        <v>4</v>
      </c>
      <c r="F963">
        <v>7.0802629674028497</v>
      </c>
      <c r="G963">
        <v>63</v>
      </c>
      <c r="H963">
        <v>73</v>
      </c>
      <c r="I963">
        <v>6</v>
      </c>
      <c r="J963">
        <v>3</v>
      </c>
      <c r="K963">
        <v>0</v>
      </c>
      <c r="L963" s="2">
        <f t="shared" si="90"/>
        <v>45292</v>
      </c>
      <c r="M963" s="2">
        <f t="shared" ca="1" si="91"/>
        <v>45328</v>
      </c>
      <c r="N963" s="2" t="str">
        <f t="shared" ca="1" si="92"/>
        <v>N/A</v>
      </c>
      <c r="O963" s="3">
        <f t="shared" ca="1" si="93"/>
        <v>36</v>
      </c>
      <c r="P963" s="3" t="str">
        <f t="shared" ca="1" si="94"/>
        <v>N/A</v>
      </c>
      <c r="Q963" s="1" t="str">
        <f>IF(K963=1,"Joined",IF(H963&gt;=70,"Dropped at Offer",IF(H963&gt;=50,"Dropped at Interview","Dropped at Screening")))</f>
        <v>Dropped at Offer</v>
      </c>
      <c r="R963" s="1" t="str">
        <f t="shared" ca="1" si="95"/>
        <v>Feb-2024</v>
      </c>
    </row>
    <row r="964" spans="1:18">
      <c r="A964">
        <v>36</v>
      </c>
      <c r="B964">
        <v>1</v>
      </c>
      <c r="C964">
        <v>2</v>
      </c>
      <c r="D964">
        <v>14</v>
      </c>
      <c r="E964">
        <v>1</v>
      </c>
      <c r="F964">
        <v>32.654256324811897</v>
      </c>
      <c r="G964">
        <v>31</v>
      </c>
      <c r="H964">
        <v>28</v>
      </c>
      <c r="I964">
        <v>7</v>
      </c>
      <c r="J964">
        <v>2</v>
      </c>
      <c r="K964">
        <v>0</v>
      </c>
      <c r="L964" s="2">
        <f t="shared" si="90"/>
        <v>45292</v>
      </c>
      <c r="M964" s="2">
        <f t="shared" ca="1" si="91"/>
        <v>45312</v>
      </c>
      <c r="N964" s="2" t="str">
        <f t="shared" ca="1" si="92"/>
        <v>N/A</v>
      </c>
      <c r="O964" s="3">
        <f t="shared" ca="1" si="93"/>
        <v>20</v>
      </c>
      <c r="P964" s="3" t="str">
        <f t="shared" ca="1" si="94"/>
        <v>N/A</v>
      </c>
      <c r="Q964" s="1" t="str">
        <f>IF(K964=1,"Joined",IF(H964&gt;=70,"Dropped at Offer",IF(H964&gt;=50,"Dropped at Interview","Dropped at Screening")))</f>
        <v>Dropped at Screening</v>
      </c>
      <c r="R964" s="1" t="str">
        <f t="shared" ca="1" si="95"/>
        <v>Jan-2024</v>
      </c>
    </row>
    <row r="965" spans="1:18">
      <c r="A965">
        <v>28</v>
      </c>
      <c r="B965">
        <v>0</v>
      </c>
      <c r="C965">
        <v>2</v>
      </c>
      <c r="D965">
        <v>14</v>
      </c>
      <c r="E965">
        <v>3</v>
      </c>
      <c r="F965">
        <v>45.951199132474102</v>
      </c>
      <c r="G965">
        <v>78</v>
      </c>
      <c r="H965">
        <v>51</v>
      </c>
      <c r="I965">
        <v>27</v>
      </c>
      <c r="J965">
        <v>2</v>
      </c>
      <c r="K965">
        <v>0</v>
      </c>
      <c r="L965" s="2">
        <f t="shared" si="90"/>
        <v>45292</v>
      </c>
      <c r="M965" s="2">
        <f t="shared" ca="1" si="91"/>
        <v>45311</v>
      </c>
      <c r="N965" s="2" t="str">
        <f t="shared" ca="1" si="92"/>
        <v>N/A</v>
      </c>
      <c r="O965" s="3">
        <f t="shared" ca="1" si="93"/>
        <v>19</v>
      </c>
      <c r="P965" s="3" t="str">
        <f t="shared" ca="1" si="94"/>
        <v>N/A</v>
      </c>
      <c r="Q965" s="1" t="str">
        <f>IF(K965=1,"Joined",IF(H965&gt;=70,"Dropped at Offer",IF(H965&gt;=50,"Dropped at Interview","Dropped at Screening")))</f>
        <v>Dropped at Interview</v>
      </c>
      <c r="R965" s="1" t="str">
        <f t="shared" ca="1" si="95"/>
        <v>Jan-2024</v>
      </c>
    </row>
    <row r="966" spans="1:18">
      <c r="A966">
        <v>20</v>
      </c>
      <c r="B966">
        <v>1</v>
      </c>
      <c r="C966">
        <v>2</v>
      </c>
      <c r="D966">
        <v>4</v>
      </c>
      <c r="E966">
        <v>1</v>
      </c>
      <c r="F966">
        <v>32.187186304379701</v>
      </c>
      <c r="G966">
        <v>12</v>
      </c>
      <c r="H966">
        <v>45</v>
      </c>
      <c r="I966">
        <v>44</v>
      </c>
      <c r="J966">
        <v>2</v>
      </c>
      <c r="K966">
        <v>0</v>
      </c>
      <c r="L966" s="2">
        <f t="shared" si="90"/>
        <v>45292</v>
      </c>
      <c r="M966" s="2">
        <f t="shared" ca="1" si="91"/>
        <v>45323</v>
      </c>
      <c r="N966" s="2" t="str">
        <f t="shared" ca="1" si="92"/>
        <v>N/A</v>
      </c>
      <c r="O966" s="3">
        <f t="shared" ca="1" si="93"/>
        <v>31</v>
      </c>
      <c r="P966" s="3" t="str">
        <f t="shared" ca="1" si="94"/>
        <v>N/A</v>
      </c>
      <c r="Q966" s="1" t="str">
        <f>IF(K966=1,"Joined",IF(H966&gt;=70,"Dropped at Offer",IF(H966&gt;=50,"Dropped at Interview","Dropped at Screening")))</f>
        <v>Dropped at Screening</v>
      </c>
      <c r="R966" s="1" t="str">
        <f t="shared" ca="1" si="95"/>
        <v>Feb-2024</v>
      </c>
    </row>
    <row r="967" spans="1:18">
      <c r="A967">
        <v>40</v>
      </c>
      <c r="B967">
        <v>1</v>
      </c>
      <c r="C967">
        <v>2</v>
      </c>
      <c r="D967">
        <v>13</v>
      </c>
      <c r="E967">
        <v>4</v>
      </c>
      <c r="F967">
        <v>7.7012447159495796</v>
      </c>
      <c r="G967">
        <v>65</v>
      </c>
      <c r="H967">
        <v>33</v>
      </c>
      <c r="I967">
        <v>72</v>
      </c>
      <c r="J967">
        <v>3</v>
      </c>
      <c r="K967">
        <v>0</v>
      </c>
      <c r="L967" s="2">
        <f t="shared" si="90"/>
        <v>45292</v>
      </c>
      <c r="M967" s="2">
        <f t="shared" ca="1" si="91"/>
        <v>45313</v>
      </c>
      <c r="N967" s="2" t="str">
        <f t="shared" ca="1" si="92"/>
        <v>N/A</v>
      </c>
      <c r="O967" s="3">
        <f t="shared" ca="1" si="93"/>
        <v>21</v>
      </c>
      <c r="P967" s="3" t="str">
        <f t="shared" ca="1" si="94"/>
        <v>N/A</v>
      </c>
      <c r="Q967" s="1" t="str">
        <f>IF(K967=1,"Joined",IF(H967&gt;=70,"Dropped at Offer",IF(H967&gt;=50,"Dropped at Interview","Dropped at Screening")))</f>
        <v>Dropped at Screening</v>
      </c>
      <c r="R967" s="1" t="str">
        <f t="shared" ca="1" si="95"/>
        <v>Jan-2024</v>
      </c>
    </row>
    <row r="968" spans="1:18">
      <c r="A968">
        <v>39</v>
      </c>
      <c r="B968">
        <v>0</v>
      </c>
      <c r="C968">
        <v>2</v>
      </c>
      <c r="D968">
        <v>13</v>
      </c>
      <c r="E968">
        <v>5</v>
      </c>
      <c r="F968">
        <v>6.7880023123162303</v>
      </c>
      <c r="G968">
        <v>18</v>
      </c>
      <c r="H968">
        <v>100</v>
      </c>
      <c r="I968">
        <v>88</v>
      </c>
      <c r="J968">
        <v>2</v>
      </c>
      <c r="K968">
        <v>0</v>
      </c>
      <c r="L968" s="2">
        <f t="shared" si="90"/>
        <v>45292</v>
      </c>
      <c r="M968" s="2">
        <f t="shared" ca="1" si="91"/>
        <v>45334</v>
      </c>
      <c r="N968" s="2" t="str">
        <f t="shared" ca="1" si="92"/>
        <v>N/A</v>
      </c>
      <c r="O968" s="3">
        <f t="shared" ca="1" si="93"/>
        <v>42</v>
      </c>
      <c r="P968" s="3" t="str">
        <f t="shared" ca="1" si="94"/>
        <v>N/A</v>
      </c>
      <c r="Q968" s="1" t="str">
        <f>IF(K968=1,"Joined",IF(H968&gt;=70,"Dropped at Offer",IF(H968&gt;=50,"Dropped at Interview","Dropped at Screening")))</f>
        <v>Dropped at Offer</v>
      </c>
      <c r="R968" s="1" t="str">
        <f t="shared" ca="1" si="95"/>
        <v>Feb-2024</v>
      </c>
    </row>
    <row r="969" spans="1:18">
      <c r="A969">
        <v>32</v>
      </c>
      <c r="B969">
        <v>0</v>
      </c>
      <c r="C969">
        <v>2</v>
      </c>
      <c r="D969">
        <v>3</v>
      </c>
      <c r="E969">
        <v>5</v>
      </c>
      <c r="F969">
        <v>43.209294791204002</v>
      </c>
      <c r="G969">
        <v>23</v>
      </c>
      <c r="H969">
        <v>83</v>
      </c>
      <c r="I969">
        <v>79</v>
      </c>
      <c r="J969">
        <v>1</v>
      </c>
      <c r="K969">
        <v>1</v>
      </c>
      <c r="L969" s="2">
        <f t="shared" si="90"/>
        <v>45292</v>
      </c>
      <c r="M969" s="2">
        <f t="shared" ca="1" si="91"/>
        <v>45336</v>
      </c>
      <c r="N969" s="2">
        <f t="shared" ca="1" si="92"/>
        <v>45349</v>
      </c>
      <c r="O969" s="3">
        <f t="shared" ca="1" si="93"/>
        <v>44</v>
      </c>
      <c r="P969" s="3">
        <f t="shared" ca="1" si="94"/>
        <v>13</v>
      </c>
      <c r="Q969" s="1" t="str">
        <f>IF(K969=1,"Joined",IF(H969&gt;=70,"Dropped at Offer",IF(H969&gt;=50,"Dropped at Interview","Dropped at Screening")))</f>
        <v>Joined</v>
      </c>
      <c r="R969" s="1" t="str">
        <f t="shared" ca="1" si="95"/>
        <v>Feb-2024</v>
      </c>
    </row>
    <row r="970" spans="1:18">
      <c r="A970">
        <v>47</v>
      </c>
      <c r="B970">
        <v>1</v>
      </c>
      <c r="C970">
        <v>4</v>
      </c>
      <c r="D970">
        <v>11</v>
      </c>
      <c r="E970">
        <v>4</v>
      </c>
      <c r="F970">
        <v>7.9651169353957103</v>
      </c>
      <c r="G970">
        <v>87</v>
      </c>
      <c r="H970">
        <v>60</v>
      </c>
      <c r="I970">
        <v>73</v>
      </c>
      <c r="J970">
        <v>3</v>
      </c>
      <c r="K970">
        <v>1</v>
      </c>
      <c r="L970" s="2">
        <f t="shared" si="90"/>
        <v>45292</v>
      </c>
      <c r="M970" s="2">
        <f t="shared" ca="1" si="91"/>
        <v>45317</v>
      </c>
      <c r="N970" s="2">
        <f t="shared" ca="1" si="92"/>
        <v>45324</v>
      </c>
      <c r="O970" s="3">
        <f t="shared" ca="1" si="93"/>
        <v>25</v>
      </c>
      <c r="P970" s="3">
        <f t="shared" ca="1" si="94"/>
        <v>7</v>
      </c>
      <c r="Q970" s="1" t="str">
        <f>IF(K970=1,"Joined",IF(H970&gt;=70,"Dropped at Offer",IF(H970&gt;=50,"Dropped at Interview","Dropped at Screening")))</f>
        <v>Joined</v>
      </c>
      <c r="R970" s="1" t="str">
        <f t="shared" ca="1" si="95"/>
        <v>Jan-2024</v>
      </c>
    </row>
    <row r="971" spans="1:18">
      <c r="A971">
        <v>35</v>
      </c>
      <c r="B971">
        <v>1</v>
      </c>
      <c r="C971">
        <v>2</v>
      </c>
      <c r="D971">
        <v>6</v>
      </c>
      <c r="E971">
        <v>2</v>
      </c>
      <c r="F971">
        <v>27.011598025201199</v>
      </c>
      <c r="G971">
        <v>10</v>
      </c>
      <c r="H971">
        <v>71</v>
      </c>
      <c r="I971">
        <v>10</v>
      </c>
      <c r="J971">
        <v>2</v>
      </c>
      <c r="K971">
        <v>0</v>
      </c>
      <c r="L971" s="2">
        <f t="shared" si="90"/>
        <v>45292</v>
      </c>
      <c r="M971" s="2">
        <f t="shared" ca="1" si="91"/>
        <v>45324</v>
      </c>
      <c r="N971" s="2" t="str">
        <f t="shared" ca="1" si="92"/>
        <v>N/A</v>
      </c>
      <c r="O971" s="3">
        <f t="shared" ca="1" si="93"/>
        <v>32</v>
      </c>
      <c r="P971" s="3" t="str">
        <f t="shared" ca="1" si="94"/>
        <v>N/A</v>
      </c>
      <c r="Q971" s="1" t="str">
        <f>IF(K971=1,"Joined",IF(H971&gt;=70,"Dropped at Offer",IF(H971&gt;=50,"Dropped at Interview","Dropped at Screening")))</f>
        <v>Dropped at Offer</v>
      </c>
      <c r="R971" s="1" t="str">
        <f t="shared" ca="1" si="95"/>
        <v>Feb-2024</v>
      </c>
    </row>
    <row r="972" spans="1:18">
      <c r="A972">
        <v>48</v>
      </c>
      <c r="B972">
        <v>1</v>
      </c>
      <c r="C972">
        <v>3</v>
      </c>
      <c r="D972">
        <v>4</v>
      </c>
      <c r="E972">
        <v>2</v>
      </c>
      <c r="F972">
        <v>2.8556659981151098</v>
      </c>
      <c r="G972">
        <v>58</v>
      </c>
      <c r="H972">
        <v>70</v>
      </c>
      <c r="I972">
        <v>30</v>
      </c>
      <c r="J972">
        <v>1</v>
      </c>
      <c r="K972">
        <v>1</v>
      </c>
      <c r="L972" s="2">
        <f t="shared" si="90"/>
        <v>45292</v>
      </c>
      <c r="M972" s="2">
        <f t="shared" ca="1" si="91"/>
        <v>45311</v>
      </c>
      <c r="N972" s="2">
        <f t="shared" ca="1" si="92"/>
        <v>45329</v>
      </c>
      <c r="O972" s="3">
        <f t="shared" ca="1" si="93"/>
        <v>19</v>
      </c>
      <c r="P972" s="3">
        <f t="shared" ca="1" si="94"/>
        <v>18</v>
      </c>
      <c r="Q972" s="1" t="str">
        <f>IF(K972=1,"Joined",IF(H972&gt;=70,"Dropped at Offer",IF(H972&gt;=50,"Dropped at Interview","Dropped at Screening")))</f>
        <v>Joined</v>
      </c>
      <c r="R972" s="1" t="str">
        <f t="shared" ca="1" si="95"/>
        <v>Jan-2024</v>
      </c>
    </row>
    <row r="973" spans="1:18">
      <c r="A973">
        <v>32</v>
      </c>
      <c r="B973">
        <v>0</v>
      </c>
      <c r="C973">
        <v>3</v>
      </c>
      <c r="D973">
        <v>6</v>
      </c>
      <c r="E973">
        <v>5</v>
      </c>
      <c r="F973">
        <v>5.0334883695588601</v>
      </c>
      <c r="G973">
        <v>85</v>
      </c>
      <c r="H973">
        <v>69</v>
      </c>
      <c r="I973">
        <v>11</v>
      </c>
      <c r="J973">
        <v>2</v>
      </c>
      <c r="K973">
        <v>1</v>
      </c>
      <c r="L973" s="2">
        <f t="shared" si="90"/>
        <v>45292</v>
      </c>
      <c r="M973" s="2">
        <f t="shared" ca="1" si="91"/>
        <v>45314</v>
      </c>
      <c r="N973" s="2">
        <f t="shared" ca="1" si="92"/>
        <v>45343</v>
      </c>
      <c r="O973" s="3">
        <f t="shared" ca="1" si="93"/>
        <v>22</v>
      </c>
      <c r="P973" s="3">
        <f t="shared" ca="1" si="94"/>
        <v>29</v>
      </c>
      <c r="Q973" s="1" t="str">
        <f>IF(K973=1,"Joined",IF(H973&gt;=70,"Dropped at Offer",IF(H973&gt;=50,"Dropped at Interview","Dropped at Screening")))</f>
        <v>Joined</v>
      </c>
      <c r="R973" s="1" t="str">
        <f t="shared" ca="1" si="95"/>
        <v>Jan-2024</v>
      </c>
    </row>
    <row r="974" spans="1:18">
      <c r="A974">
        <v>33</v>
      </c>
      <c r="B974">
        <v>1</v>
      </c>
      <c r="C974">
        <v>2</v>
      </c>
      <c r="D974">
        <v>11</v>
      </c>
      <c r="E974">
        <v>5</v>
      </c>
      <c r="F974">
        <v>34.617413382143198</v>
      </c>
      <c r="G974">
        <v>14</v>
      </c>
      <c r="H974">
        <v>10</v>
      </c>
      <c r="I974">
        <v>94</v>
      </c>
      <c r="J974">
        <v>3</v>
      </c>
      <c r="K974">
        <v>0</v>
      </c>
      <c r="L974" s="2">
        <f t="shared" si="90"/>
        <v>45292</v>
      </c>
      <c r="M974" s="2">
        <f t="shared" ca="1" si="91"/>
        <v>45332</v>
      </c>
      <c r="N974" s="2" t="str">
        <f t="shared" ca="1" si="92"/>
        <v>N/A</v>
      </c>
      <c r="O974" s="3">
        <f t="shared" ca="1" si="93"/>
        <v>40</v>
      </c>
      <c r="P974" s="3" t="str">
        <f t="shared" ca="1" si="94"/>
        <v>N/A</v>
      </c>
      <c r="Q974" s="1" t="str">
        <f>IF(K974=1,"Joined",IF(H974&gt;=70,"Dropped at Offer",IF(H974&gt;=50,"Dropped at Interview","Dropped at Screening")))</f>
        <v>Dropped at Screening</v>
      </c>
      <c r="R974" s="1" t="str">
        <f t="shared" ca="1" si="95"/>
        <v>Feb-2024</v>
      </c>
    </row>
    <row r="975" spans="1:18">
      <c r="A975">
        <v>22</v>
      </c>
      <c r="B975">
        <v>0</v>
      </c>
      <c r="C975">
        <v>2</v>
      </c>
      <c r="D975">
        <v>0</v>
      </c>
      <c r="E975">
        <v>4</v>
      </c>
      <c r="F975">
        <v>35.4590705213758</v>
      </c>
      <c r="G975">
        <v>9</v>
      </c>
      <c r="H975">
        <v>81</v>
      </c>
      <c r="I975">
        <v>77</v>
      </c>
      <c r="J975">
        <v>2</v>
      </c>
      <c r="K975">
        <v>0</v>
      </c>
      <c r="L975" s="2">
        <f t="shared" si="90"/>
        <v>45292</v>
      </c>
      <c r="M975" s="2">
        <f t="shared" ca="1" si="91"/>
        <v>45311</v>
      </c>
      <c r="N975" s="2" t="str">
        <f t="shared" ca="1" si="92"/>
        <v>N/A</v>
      </c>
      <c r="O975" s="3">
        <f t="shared" ca="1" si="93"/>
        <v>19</v>
      </c>
      <c r="P975" s="3" t="str">
        <f t="shared" ca="1" si="94"/>
        <v>N/A</v>
      </c>
      <c r="Q975" s="1" t="str">
        <f>IF(K975=1,"Joined",IF(H975&gt;=70,"Dropped at Offer",IF(H975&gt;=50,"Dropped at Interview","Dropped at Screening")))</f>
        <v>Dropped at Offer</v>
      </c>
      <c r="R975" s="1" t="str">
        <f t="shared" ca="1" si="95"/>
        <v>Jan-2024</v>
      </c>
    </row>
    <row r="976" spans="1:18">
      <c r="A976">
        <v>48</v>
      </c>
      <c r="B976">
        <v>0</v>
      </c>
      <c r="C976">
        <v>2</v>
      </c>
      <c r="D976">
        <v>0</v>
      </c>
      <c r="E976">
        <v>2</v>
      </c>
      <c r="F976">
        <v>18.073470330422101</v>
      </c>
      <c r="G976">
        <v>40</v>
      </c>
      <c r="H976">
        <v>92</v>
      </c>
      <c r="I976">
        <v>50</v>
      </c>
      <c r="J976">
        <v>2</v>
      </c>
      <c r="K976">
        <v>0</v>
      </c>
      <c r="L976" s="2">
        <f t="shared" si="90"/>
        <v>45292</v>
      </c>
      <c r="M976" s="2">
        <f t="shared" ca="1" si="91"/>
        <v>45337</v>
      </c>
      <c r="N976" s="2" t="str">
        <f t="shared" ca="1" si="92"/>
        <v>N/A</v>
      </c>
      <c r="O976" s="3">
        <f t="shared" ca="1" si="93"/>
        <v>45</v>
      </c>
      <c r="P976" s="3" t="str">
        <f t="shared" ca="1" si="94"/>
        <v>N/A</v>
      </c>
      <c r="Q976" s="1" t="str">
        <f>IF(K976=1,"Joined",IF(H976&gt;=70,"Dropped at Offer",IF(H976&gt;=50,"Dropped at Interview","Dropped at Screening")))</f>
        <v>Dropped at Offer</v>
      </c>
      <c r="R976" s="1" t="str">
        <f t="shared" ca="1" si="95"/>
        <v>Feb-2024</v>
      </c>
    </row>
    <row r="977" spans="1:18">
      <c r="A977">
        <v>25</v>
      </c>
      <c r="B977">
        <v>1</v>
      </c>
      <c r="C977">
        <v>2</v>
      </c>
      <c r="D977">
        <v>15</v>
      </c>
      <c r="E977">
        <v>5</v>
      </c>
      <c r="F977">
        <v>11.7804882621522</v>
      </c>
      <c r="G977">
        <v>26</v>
      </c>
      <c r="H977">
        <v>88</v>
      </c>
      <c r="I977">
        <v>43</v>
      </c>
      <c r="J977">
        <v>3</v>
      </c>
      <c r="K977">
        <v>0</v>
      </c>
      <c r="L977" s="2">
        <f t="shared" si="90"/>
        <v>45292</v>
      </c>
      <c r="M977" s="2">
        <f t="shared" ca="1" si="91"/>
        <v>45320</v>
      </c>
      <c r="N977" s="2" t="str">
        <f t="shared" ca="1" si="92"/>
        <v>N/A</v>
      </c>
      <c r="O977" s="3">
        <f t="shared" ca="1" si="93"/>
        <v>28</v>
      </c>
      <c r="P977" s="3" t="str">
        <f t="shared" ca="1" si="94"/>
        <v>N/A</v>
      </c>
      <c r="Q977" s="1" t="str">
        <f>IF(K977=1,"Joined",IF(H977&gt;=70,"Dropped at Offer",IF(H977&gt;=50,"Dropped at Interview","Dropped at Screening")))</f>
        <v>Dropped at Offer</v>
      </c>
      <c r="R977" s="1" t="str">
        <f t="shared" ca="1" si="95"/>
        <v>Jan-2024</v>
      </c>
    </row>
    <row r="978" spans="1:18">
      <c r="A978">
        <v>37</v>
      </c>
      <c r="B978">
        <v>0</v>
      </c>
      <c r="C978">
        <v>3</v>
      </c>
      <c r="D978">
        <v>9</v>
      </c>
      <c r="E978">
        <v>2</v>
      </c>
      <c r="F978">
        <v>41.685513537865397</v>
      </c>
      <c r="G978">
        <v>59</v>
      </c>
      <c r="H978">
        <v>62</v>
      </c>
      <c r="I978">
        <v>95</v>
      </c>
      <c r="J978">
        <v>2</v>
      </c>
      <c r="K978">
        <v>1</v>
      </c>
      <c r="L978" s="2">
        <f t="shared" si="90"/>
        <v>45292</v>
      </c>
      <c r="M978" s="2">
        <f t="shared" ca="1" si="91"/>
        <v>45326</v>
      </c>
      <c r="N978" s="2">
        <f t="shared" ca="1" si="92"/>
        <v>45352</v>
      </c>
      <c r="O978" s="3">
        <f t="shared" ca="1" si="93"/>
        <v>34</v>
      </c>
      <c r="P978" s="3">
        <f t="shared" ca="1" si="94"/>
        <v>26</v>
      </c>
      <c r="Q978" s="1" t="str">
        <f>IF(K978=1,"Joined",IF(H978&gt;=70,"Dropped at Offer",IF(H978&gt;=50,"Dropped at Interview","Dropped at Screening")))</f>
        <v>Joined</v>
      </c>
      <c r="R978" s="1" t="str">
        <f t="shared" ca="1" si="95"/>
        <v>Feb-2024</v>
      </c>
    </row>
    <row r="979" spans="1:18">
      <c r="A979">
        <v>38</v>
      </c>
      <c r="B979">
        <v>1</v>
      </c>
      <c r="C979">
        <v>2</v>
      </c>
      <c r="D979">
        <v>13</v>
      </c>
      <c r="E979">
        <v>5</v>
      </c>
      <c r="F979">
        <v>11.855161473494499</v>
      </c>
      <c r="G979">
        <v>72</v>
      </c>
      <c r="H979">
        <v>20</v>
      </c>
      <c r="I979">
        <v>49</v>
      </c>
      <c r="J979">
        <v>2</v>
      </c>
      <c r="K979">
        <v>0</v>
      </c>
      <c r="L979" s="2">
        <f t="shared" si="90"/>
        <v>45292</v>
      </c>
      <c r="M979" s="2">
        <f t="shared" ca="1" si="91"/>
        <v>45316</v>
      </c>
      <c r="N979" s="2" t="str">
        <f t="shared" ca="1" si="92"/>
        <v>N/A</v>
      </c>
      <c r="O979" s="3">
        <f t="shared" ca="1" si="93"/>
        <v>24</v>
      </c>
      <c r="P979" s="3" t="str">
        <f t="shared" ca="1" si="94"/>
        <v>N/A</v>
      </c>
      <c r="Q979" s="1" t="str">
        <f>IF(K979=1,"Joined",IF(H979&gt;=70,"Dropped at Offer",IF(H979&gt;=50,"Dropped at Interview","Dropped at Screening")))</f>
        <v>Dropped at Screening</v>
      </c>
      <c r="R979" s="1" t="str">
        <f t="shared" ca="1" si="95"/>
        <v>Jan-2024</v>
      </c>
    </row>
    <row r="980" spans="1:18">
      <c r="A980">
        <v>24</v>
      </c>
      <c r="B980">
        <v>1</v>
      </c>
      <c r="C980">
        <v>4</v>
      </c>
      <c r="D980">
        <v>12</v>
      </c>
      <c r="E980">
        <v>1</v>
      </c>
      <c r="F980">
        <v>28.101353483318899</v>
      </c>
      <c r="G980">
        <v>51</v>
      </c>
      <c r="H980">
        <v>2</v>
      </c>
      <c r="I980">
        <v>16</v>
      </c>
      <c r="J980">
        <v>1</v>
      </c>
      <c r="K980">
        <v>1</v>
      </c>
      <c r="L980" s="2">
        <f t="shared" si="90"/>
        <v>45292</v>
      </c>
      <c r="M980" s="2">
        <f t="shared" ca="1" si="91"/>
        <v>45306</v>
      </c>
      <c r="N980" s="2">
        <f t="shared" ca="1" si="92"/>
        <v>45319</v>
      </c>
      <c r="O980" s="3">
        <f t="shared" ca="1" si="93"/>
        <v>14</v>
      </c>
      <c r="P980" s="3">
        <f t="shared" ca="1" si="94"/>
        <v>13</v>
      </c>
      <c r="Q980" s="1" t="str">
        <f>IF(K980=1,"Joined",IF(H980&gt;=70,"Dropped at Offer",IF(H980&gt;=50,"Dropped at Interview","Dropped at Screening")))</f>
        <v>Joined</v>
      </c>
      <c r="R980" s="1" t="str">
        <f t="shared" ca="1" si="95"/>
        <v>Jan-2024</v>
      </c>
    </row>
    <row r="981" spans="1:18">
      <c r="A981">
        <v>34</v>
      </c>
      <c r="B981">
        <v>1</v>
      </c>
      <c r="C981">
        <v>1</v>
      </c>
      <c r="D981">
        <v>2</v>
      </c>
      <c r="E981">
        <v>3</v>
      </c>
      <c r="F981">
        <v>49.410442043145203</v>
      </c>
      <c r="G981">
        <v>27</v>
      </c>
      <c r="H981">
        <v>81</v>
      </c>
      <c r="I981">
        <v>34</v>
      </c>
      <c r="J981">
        <v>1</v>
      </c>
      <c r="K981">
        <v>0</v>
      </c>
      <c r="L981" s="2">
        <f t="shared" si="90"/>
        <v>45292</v>
      </c>
      <c r="M981" s="2">
        <f t="shared" ca="1" si="91"/>
        <v>45320</v>
      </c>
      <c r="N981" s="2" t="str">
        <f t="shared" ca="1" si="92"/>
        <v>N/A</v>
      </c>
      <c r="O981" s="3">
        <f t="shared" ca="1" si="93"/>
        <v>28</v>
      </c>
      <c r="P981" s="3" t="str">
        <f t="shared" ca="1" si="94"/>
        <v>N/A</v>
      </c>
      <c r="Q981" s="1" t="str">
        <f>IF(K981=1,"Joined",IF(H981&gt;=70,"Dropped at Offer",IF(H981&gt;=50,"Dropped at Interview","Dropped at Screening")))</f>
        <v>Dropped at Offer</v>
      </c>
      <c r="R981" s="1" t="str">
        <f t="shared" ca="1" si="95"/>
        <v>Jan-2024</v>
      </c>
    </row>
    <row r="982" spans="1:18">
      <c r="A982">
        <v>44</v>
      </c>
      <c r="B982">
        <v>1</v>
      </c>
      <c r="C982">
        <v>1</v>
      </c>
      <c r="D982">
        <v>13</v>
      </c>
      <c r="E982">
        <v>1</v>
      </c>
      <c r="F982">
        <v>8.3926218931191894</v>
      </c>
      <c r="G982">
        <v>64</v>
      </c>
      <c r="H982">
        <v>87</v>
      </c>
      <c r="I982">
        <v>0</v>
      </c>
      <c r="J982">
        <v>2</v>
      </c>
      <c r="K982">
        <v>0</v>
      </c>
      <c r="L982" s="2">
        <f t="shared" si="90"/>
        <v>45292</v>
      </c>
      <c r="M982" s="2">
        <f t="shared" ca="1" si="91"/>
        <v>45325</v>
      </c>
      <c r="N982" s="2" t="str">
        <f t="shared" ca="1" si="92"/>
        <v>N/A</v>
      </c>
      <c r="O982" s="3">
        <f t="shared" ca="1" si="93"/>
        <v>33</v>
      </c>
      <c r="P982" s="3" t="str">
        <f t="shared" ca="1" si="94"/>
        <v>N/A</v>
      </c>
      <c r="Q982" s="1" t="str">
        <f>IF(K982=1,"Joined",IF(H982&gt;=70,"Dropped at Offer",IF(H982&gt;=50,"Dropped at Interview","Dropped at Screening")))</f>
        <v>Dropped at Offer</v>
      </c>
      <c r="R982" s="1" t="str">
        <f t="shared" ca="1" si="95"/>
        <v>Feb-2024</v>
      </c>
    </row>
    <row r="983" spans="1:18">
      <c r="A983">
        <v>21</v>
      </c>
      <c r="B983">
        <v>1</v>
      </c>
      <c r="C983">
        <v>2</v>
      </c>
      <c r="D983">
        <v>10</v>
      </c>
      <c r="E983">
        <v>5</v>
      </c>
      <c r="F983">
        <v>48.0438133747354</v>
      </c>
      <c r="G983">
        <v>16</v>
      </c>
      <c r="H983">
        <v>9</v>
      </c>
      <c r="I983">
        <v>28</v>
      </c>
      <c r="J983">
        <v>3</v>
      </c>
      <c r="K983">
        <v>0</v>
      </c>
      <c r="L983" s="2">
        <f t="shared" si="90"/>
        <v>45292</v>
      </c>
      <c r="M983" s="2">
        <f t="shared" ca="1" si="91"/>
        <v>45332</v>
      </c>
      <c r="N983" s="2" t="str">
        <f t="shared" ca="1" si="92"/>
        <v>N/A</v>
      </c>
      <c r="O983" s="3">
        <f t="shared" ca="1" si="93"/>
        <v>40</v>
      </c>
      <c r="P983" s="3" t="str">
        <f t="shared" ca="1" si="94"/>
        <v>N/A</v>
      </c>
      <c r="Q983" s="1" t="str">
        <f>IF(K983=1,"Joined",IF(H983&gt;=70,"Dropped at Offer",IF(H983&gt;=50,"Dropped at Interview","Dropped at Screening")))</f>
        <v>Dropped at Screening</v>
      </c>
      <c r="R983" s="1" t="str">
        <f t="shared" ca="1" si="95"/>
        <v>Feb-2024</v>
      </c>
    </row>
    <row r="984" spans="1:18">
      <c r="A984">
        <v>29</v>
      </c>
      <c r="B984">
        <v>0</v>
      </c>
      <c r="C984">
        <v>2</v>
      </c>
      <c r="D984">
        <v>1</v>
      </c>
      <c r="E984">
        <v>3</v>
      </c>
      <c r="F984">
        <v>10.144652653433401</v>
      </c>
      <c r="G984">
        <v>94</v>
      </c>
      <c r="H984">
        <v>26</v>
      </c>
      <c r="I984">
        <v>50</v>
      </c>
      <c r="J984">
        <v>1</v>
      </c>
      <c r="K984">
        <v>0</v>
      </c>
      <c r="L984" s="2">
        <f t="shared" si="90"/>
        <v>45292</v>
      </c>
      <c r="M984" s="2">
        <f t="shared" ca="1" si="91"/>
        <v>45310</v>
      </c>
      <c r="N984" s="2" t="str">
        <f t="shared" ca="1" si="92"/>
        <v>N/A</v>
      </c>
      <c r="O984" s="3">
        <f t="shared" ca="1" si="93"/>
        <v>18</v>
      </c>
      <c r="P984" s="3" t="str">
        <f t="shared" ca="1" si="94"/>
        <v>N/A</v>
      </c>
      <c r="Q984" s="1" t="str">
        <f>IF(K984=1,"Joined",IF(H984&gt;=70,"Dropped at Offer",IF(H984&gt;=50,"Dropped at Interview","Dropped at Screening")))</f>
        <v>Dropped at Screening</v>
      </c>
      <c r="R984" s="1" t="str">
        <f t="shared" ca="1" si="95"/>
        <v>Jan-2024</v>
      </c>
    </row>
    <row r="985" spans="1:18">
      <c r="A985">
        <v>43</v>
      </c>
      <c r="B985">
        <v>0</v>
      </c>
      <c r="C985">
        <v>2</v>
      </c>
      <c r="D985">
        <v>1</v>
      </c>
      <c r="E985">
        <v>3</v>
      </c>
      <c r="F985">
        <v>29.372160401161398</v>
      </c>
      <c r="G985">
        <v>43</v>
      </c>
      <c r="H985">
        <v>11</v>
      </c>
      <c r="I985">
        <v>63</v>
      </c>
      <c r="J985">
        <v>2</v>
      </c>
      <c r="K985">
        <v>0</v>
      </c>
      <c r="L985" s="2">
        <f t="shared" si="90"/>
        <v>45292</v>
      </c>
      <c r="M985" s="2">
        <f t="shared" ca="1" si="91"/>
        <v>45332</v>
      </c>
      <c r="N985" s="2" t="str">
        <f t="shared" ca="1" si="92"/>
        <v>N/A</v>
      </c>
      <c r="O985" s="3">
        <f t="shared" ca="1" si="93"/>
        <v>40</v>
      </c>
      <c r="P985" s="3" t="str">
        <f t="shared" ca="1" si="94"/>
        <v>N/A</v>
      </c>
      <c r="Q985" s="1" t="str">
        <f>IF(K985=1,"Joined",IF(H985&gt;=70,"Dropped at Offer",IF(H985&gt;=50,"Dropped at Interview","Dropped at Screening")))</f>
        <v>Dropped at Screening</v>
      </c>
      <c r="R985" s="1" t="str">
        <f t="shared" ca="1" si="95"/>
        <v>Feb-2024</v>
      </c>
    </row>
    <row r="986" spans="1:18">
      <c r="A986">
        <v>49</v>
      </c>
      <c r="B986">
        <v>1</v>
      </c>
      <c r="C986">
        <v>2</v>
      </c>
      <c r="D986">
        <v>6</v>
      </c>
      <c r="E986">
        <v>5</v>
      </c>
      <c r="F986">
        <v>19.850385597937201</v>
      </c>
      <c r="G986">
        <v>9</v>
      </c>
      <c r="H986">
        <v>6</v>
      </c>
      <c r="I986">
        <v>3</v>
      </c>
      <c r="J986">
        <v>1</v>
      </c>
      <c r="K986">
        <v>0</v>
      </c>
      <c r="L986" s="2">
        <f t="shared" si="90"/>
        <v>45292</v>
      </c>
      <c r="M986" s="2">
        <f t="shared" ca="1" si="91"/>
        <v>45329</v>
      </c>
      <c r="N986" s="2" t="str">
        <f t="shared" ca="1" si="92"/>
        <v>N/A</v>
      </c>
      <c r="O986" s="3">
        <f t="shared" ca="1" si="93"/>
        <v>37</v>
      </c>
      <c r="P986" s="3" t="str">
        <f t="shared" ca="1" si="94"/>
        <v>N/A</v>
      </c>
      <c r="Q986" s="1" t="str">
        <f>IF(K986=1,"Joined",IF(H986&gt;=70,"Dropped at Offer",IF(H986&gt;=50,"Dropped at Interview","Dropped at Screening")))</f>
        <v>Dropped at Screening</v>
      </c>
      <c r="R986" s="1" t="str">
        <f t="shared" ca="1" si="95"/>
        <v>Feb-2024</v>
      </c>
    </row>
    <row r="987" spans="1:18">
      <c r="A987">
        <v>37</v>
      </c>
      <c r="B987">
        <v>1</v>
      </c>
      <c r="C987">
        <v>2</v>
      </c>
      <c r="D987">
        <v>11</v>
      </c>
      <c r="E987">
        <v>5</v>
      </c>
      <c r="F987">
        <v>49.246430075091297</v>
      </c>
      <c r="G987">
        <v>62</v>
      </c>
      <c r="H987">
        <v>16</v>
      </c>
      <c r="I987">
        <v>86</v>
      </c>
      <c r="J987">
        <v>2</v>
      </c>
      <c r="K987">
        <v>0</v>
      </c>
      <c r="L987" s="2">
        <f t="shared" si="90"/>
        <v>45292</v>
      </c>
      <c r="M987" s="2">
        <f t="shared" ca="1" si="91"/>
        <v>45311</v>
      </c>
      <c r="N987" s="2" t="str">
        <f t="shared" ca="1" si="92"/>
        <v>N/A</v>
      </c>
      <c r="O987" s="3">
        <f t="shared" ca="1" si="93"/>
        <v>19</v>
      </c>
      <c r="P987" s="3" t="str">
        <f t="shared" ca="1" si="94"/>
        <v>N/A</v>
      </c>
      <c r="Q987" s="1" t="str">
        <f>IF(K987=1,"Joined",IF(H987&gt;=70,"Dropped at Offer",IF(H987&gt;=50,"Dropped at Interview","Dropped at Screening")))</f>
        <v>Dropped at Screening</v>
      </c>
      <c r="R987" s="1" t="str">
        <f t="shared" ca="1" si="95"/>
        <v>Jan-2024</v>
      </c>
    </row>
    <row r="988" spans="1:18">
      <c r="A988">
        <v>46</v>
      </c>
      <c r="B988">
        <v>0</v>
      </c>
      <c r="C988">
        <v>1</v>
      </c>
      <c r="D988">
        <v>9</v>
      </c>
      <c r="E988">
        <v>2</v>
      </c>
      <c r="F988">
        <v>14.677101450096799</v>
      </c>
      <c r="G988">
        <v>100</v>
      </c>
      <c r="H988">
        <v>64</v>
      </c>
      <c r="I988">
        <v>27</v>
      </c>
      <c r="J988">
        <v>1</v>
      </c>
      <c r="K988">
        <v>1</v>
      </c>
      <c r="L988" s="2">
        <f t="shared" si="90"/>
        <v>45292</v>
      </c>
      <c r="M988" s="2">
        <f t="shared" ca="1" si="91"/>
        <v>45334</v>
      </c>
      <c r="N988" s="2">
        <f t="shared" ca="1" si="92"/>
        <v>45355</v>
      </c>
      <c r="O988" s="3">
        <f t="shared" ca="1" si="93"/>
        <v>42</v>
      </c>
      <c r="P988" s="3">
        <f t="shared" ca="1" si="94"/>
        <v>21</v>
      </c>
      <c r="Q988" s="1" t="str">
        <f>IF(K988=1,"Joined",IF(H988&gt;=70,"Dropped at Offer",IF(H988&gt;=50,"Dropped at Interview","Dropped at Screening")))</f>
        <v>Joined</v>
      </c>
      <c r="R988" s="1" t="str">
        <f t="shared" ca="1" si="95"/>
        <v>Feb-2024</v>
      </c>
    </row>
    <row r="989" spans="1:18">
      <c r="A989">
        <v>32</v>
      </c>
      <c r="B989">
        <v>0</v>
      </c>
      <c r="C989">
        <v>4</v>
      </c>
      <c r="D989">
        <v>1</v>
      </c>
      <c r="E989">
        <v>5</v>
      </c>
      <c r="F989">
        <v>20.982900104287602</v>
      </c>
      <c r="G989">
        <v>92</v>
      </c>
      <c r="H989">
        <v>63</v>
      </c>
      <c r="I989">
        <v>15</v>
      </c>
      <c r="J989">
        <v>1</v>
      </c>
      <c r="K989">
        <v>1</v>
      </c>
      <c r="L989" s="2">
        <f t="shared" si="90"/>
        <v>45292</v>
      </c>
      <c r="M989" s="2">
        <f t="shared" ca="1" si="91"/>
        <v>45307</v>
      </c>
      <c r="N989" s="2">
        <f t="shared" ca="1" si="92"/>
        <v>45318</v>
      </c>
      <c r="O989" s="3">
        <f t="shared" ca="1" si="93"/>
        <v>15</v>
      </c>
      <c r="P989" s="3">
        <f t="shared" ca="1" si="94"/>
        <v>11</v>
      </c>
      <c r="Q989" s="1" t="str">
        <f>IF(K989=1,"Joined",IF(H989&gt;=70,"Dropped at Offer",IF(H989&gt;=50,"Dropped at Interview","Dropped at Screening")))</f>
        <v>Joined</v>
      </c>
      <c r="R989" s="1" t="str">
        <f t="shared" ca="1" si="95"/>
        <v>Jan-2024</v>
      </c>
    </row>
    <row r="990" spans="1:18">
      <c r="A990">
        <v>24</v>
      </c>
      <c r="B990">
        <v>0</v>
      </c>
      <c r="C990">
        <v>2</v>
      </c>
      <c r="D990">
        <v>10</v>
      </c>
      <c r="E990">
        <v>4</v>
      </c>
      <c r="F990">
        <v>50.143005892771001</v>
      </c>
      <c r="G990">
        <v>81</v>
      </c>
      <c r="H990">
        <v>25</v>
      </c>
      <c r="I990">
        <v>62</v>
      </c>
      <c r="J990">
        <v>1</v>
      </c>
      <c r="K990">
        <v>1</v>
      </c>
      <c r="L990" s="2">
        <f t="shared" si="90"/>
        <v>45292</v>
      </c>
      <c r="M990" s="2">
        <f t="shared" ca="1" si="91"/>
        <v>45318</v>
      </c>
      <c r="N990" s="2">
        <f t="shared" ca="1" si="92"/>
        <v>45334</v>
      </c>
      <c r="O990" s="3">
        <f t="shared" ca="1" si="93"/>
        <v>26</v>
      </c>
      <c r="P990" s="3">
        <f t="shared" ca="1" si="94"/>
        <v>16</v>
      </c>
      <c r="Q990" s="1" t="str">
        <f>IF(K990=1,"Joined",IF(H990&gt;=70,"Dropped at Offer",IF(H990&gt;=50,"Dropped at Interview","Dropped at Screening")))</f>
        <v>Joined</v>
      </c>
      <c r="R990" s="1" t="str">
        <f t="shared" ca="1" si="95"/>
        <v>Jan-2024</v>
      </c>
    </row>
    <row r="991" spans="1:18">
      <c r="A991">
        <v>42</v>
      </c>
      <c r="B991">
        <v>0</v>
      </c>
      <c r="C991">
        <v>3</v>
      </c>
      <c r="D991">
        <v>3</v>
      </c>
      <c r="E991">
        <v>5</v>
      </c>
      <c r="F991">
        <v>27.823519559423602</v>
      </c>
      <c r="G991">
        <v>46</v>
      </c>
      <c r="H991">
        <v>14</v>
      </c>
      <c r="I991">
        <v>75</v>
      </c>
      <c r="J991">
        <v>2</v>
      </c>
      <c r="K991">
        <v>0</v>
      </c>
      <c r="L991" s="2">
        <f t="shared" si="90"/>
        <v>45292</v>
      </c>
      <c r="M991" s="2">
        <f t="shared" ca="1" si="91"/>
        <v>45308</v>
      </c>
      <c r="N991" s="2" t="str">
        <f t="shared" ca="1" si="92"/>
        <v>N/A</v>
      </c>
      <c r="O991" s="3">
        <f t="shared" ca="1" si="93"/>
        <v>16</v>
      </c>
      <c r="P991" s="3" t="str">
        <f t="shared" ca="1" si="94"/>
        <v>N/A</v>
      </c>
      <c r="Q991" s="1" t="str">
        <f>IF(K991=1,"Joined",IF(H991&gt;=70,"Dropped at Offer",IF(H991&gt;=50,"Dropped at Interview","Dropped at Screening")))</f>
        <v>Dropped at Screening</v>
      </c>
      <c r="R991" s="1" t="str">
        <f t="shared" ca="1" si="95"/>
        <v>Jan-2024</v>
      </c>
    </row>
    <row r="992" spans="1:18">
      <c r="A992">
        <v>43</v>
      </c>
      <c r="B992">
        <v>1</v>
      </c>
      <c r="C992">
        <v>3</v>
      </c>
      <c r="D992">
        <v>1</v>
      </c>
      <c r="E992">
        <v>4</v>
      </c>
      <c r="F992">
        <v>26.1315057810626</v>
      </c>
      <c r="G992">
        <v>37</v>
      </c>
      <c r="H992">
        <v>32</v>
      </c>
      <c r="I992">
        <v>52</v>
      </c>
      <c r="J992">
        <v>2</v>
      </c>
      <c r="K992">
        <v>0</v>
      </c>
      <c r="L992" s="2">
        <f t="shared" si="90"/>
        <v>45292</v>
      </c>
      <c r="M992" s="2">
        <f t="shared" ca="1" si="91"/>
        <v>45319</v>
      </c>
      <c r="N992" s="2" t="str">
        <f t="shared" ca="1" si="92"/>
        <v>N/A</v>
      </c>
      <c r="O992" s="3">
        <f t="shared" ca="1" si="93"/>
        <v>27</v>
      </c>
      <c r="P992" s="3" t="str">
        <f t="shared" ca="1" si="94"/>
        <v>N/A</v>
      </c>
      <c r="Q992" s="1" t="str">
        <f>IF(K992=1,"Joined",IF(H992&gt;=70,"Dropped at Offer",IF(H992&gt;=50,"Dropped at Interview","Dropped at Screening")))</f>
        <v>Dropped at Screening</v>
      </c>
      <c r="R992" s="1" t="str">
        <f t="shared" ca="1" si="95"/>
        <v>Jan-2024</v>
      </c>
    </row>
    <row r="993" spans="1:18">
      <c r="A993">
        <v>20</v>
      </c>
      <c r="B993">
        <v>1</v>
      </c>
      <c r="C993">
        <v>4</v>
      </c>
      <c r="D993">
        <v>5</v>
      </c>
      <c r="E993">
        <v>5</v>
      </c>
      <c r="F993">
        <v>13.8889244101995</v>
      </c>
      <c r="G993">
        <v>69</v>
      </c>
      <c r="H993">
        <v>61</v>
      </c>
      <c r="I993">
        <v>84</v>
      </c>
      <c r="J993">
        <v>1</v>
      </c>
      <c r="K993">
        <v>1</v>
      </c>
      <c r="L993" s="2">
        <f t="shared" si="90"/>
        <v>45292</v>
      </c>
      <c r="M993" s="2">
        <f t="shared" ca="1" si="91"/>
        <v>45320</v>
      </c>
      <c r="N993" s="2">
        <f t="shared" ca="1" si="92"/>
        <v>45344</v>
      </c>
      <c r="O993" s="3">
        <f t="shared" ca="1" si="93"/>
        <v>28</v>
      </c>
      <c r="P993" s="3">
        <f t="shared" ca="1" si="94"/>
        <v>24</v>
      </c>
      <c r="Q993" s="1" t="str">
        <f>IF(K993=1,"Joined",IF(H993&gt;=70,"Dropped at Offer",IF(H993&gt;=50,"Dropped at Interview","Dropped at Screening")))</f>
        <v>Joined</v>
      </c>
      <c r="R993" s="1" t="str">
        <f t="shared" ca="1" si="95"/>
        <v>Jan-2024</v>
      </c>
    </row>
    <row r="994" spans="1:18">
      <c r="A994">
        <v>41</v>
      </c>
      <c r="B994">
        <v>0</v>
      </c>
      <c r="C994">
        <v>1</v>
      </c>
      <c r="D994">
        <v>7</v>
      </c>
      <c r="E994">
        <v>2</v>
      </c>
      <c r="F994">
        <v>36.068178015522001</v>
      </c>
      <c r="G994">
        <v>75</v>
      </c>
      <c r="H994">
        <v>100</v>
      </c>
      <c r="I994">
        <v>16</v>
      </c>
      <c r="J994">
        <v>3</v>
      </c>
      <c r="K994">
        <v>0</v>
      </c>
      <c r="L994" s="2">
        <f t="shared" si="90"/>
        <v>45292</v>
      </c>
      <c r="M994" s="2">
        <f t="shared" ca="1" si="91"/>
        <v>45308</v>
      </c>
      <c r="N994" s="2" t="str">
        <f t="shared" ca="1" si="92"/>
        <v>N/A</v>
      </c>
      <c r="O994" s="3">
        <f t="shared" ca="1" si="93"/>
        <v>16</v>
      </c>
      <c r="P994" s="3" t="str">
        <f t="shared" ca="1" si="94"/>
        <v>N/A</v>
      </c>
      <c r="Q994" s="1" t="str">
        <f>IF(K994=1,"Joined",IF(H994&gt;=70,"Dropped at Offer",IF(H994&gt;=50,"Dropped at Interview","Dropped at Screening")))</f>
        <v>Dropped at Offer</v>
      </c>
      <c r="R994" s="1" t="str">
        <f t="shared" ca="1" si="95"/>
        <v>Jan-2024</v>
      </c>
    </row>
    <row r="995" spans="1:18">
      <c r="A995">
        <v>20</v>
      </c>
      <c r="B995">
        <v>1</v>
      </c>
      <c r="C995">
        <v>3</v>
      </c>
      <c r="D995">
        <v>9</v>
      </c>
      <c r="E995">
        <v>4</v>
      </c>
      <c r="F995">
        <v>1.7186475888888799</v>
      </c>
      <c r="G995">
        <v>52</v>
      </c>
      <c r="H995">
        <v>46</v>
      </c>
      <c r="I995">
        <v>39</v>
      </c>
      <c r="J995">
        <v>1</v>
      </c>
      <c r="K995">
        <v>1</v>
      </c>
      <c r="L995" s="2">
        <f t="shared" si="90"/>
        <v>45292</v>
      </c>
      <c r="M995" s="2">
        <f t="shared" ca="1" si="91"/>
        <v>45334</v>
      </c>
      <c r="N995" s="2">
        <f t="shared" ca="1" si="92"/>
        <v>45351</v>
      </c>
      <c r="O995" s="3">
        <f t="shared" ca="1" si="93"/>
        <v>42</v>
      </c>
      <c r="P995" s="3">
        <f t="shared" ca="1" si="94"/>
        <v>17</v>
      </c>
      <c r="Q995" s="1" t="str">
        <f>IF(K995=1,"Joined",IF(H995&gt;=70,"Dropped at Offer",IF(H995&gt;=50,"Dropped at Interview","Dropped at Screening")))</f>
        <v>Joined</v>
      </c>
      <c r="R995" s="1" t="str">
        <f t="shared" ca="1" si="95"/>
        <v>Feb-2024</v>
      </c>
    </row>
    <row r="996" spans="1:18">
      <c r="A996">
        <v>37</v>
      </c>
      <c r="B996">
        <v>0</v>
      </c>
      <c r="C996">
        <v>2</v>
      </c>
      <c r="D996">
        <v>15</v>
      </c>
      <c r="E996">
        <v>1</v>
      </c>
      <c r="F996">
        <v>3.4756314851146701</v>
      </c>
      <c r="G996">
        <v>77</v>
      </c>
      <c r="H996">
        <v>94</v>
      </c>
      <c r="I996">
        <v>12</v>
      </c>
      <c r="J996">
        <v>2</v>
      </c>
      <c r="K996">
        <v>0</v>
      </c>
      <c r="L996" s="2">
        <f t="shared" si="90"/>
        <v>45292</v>
      </c>
      <c r="M996" s="2">
        <f t="shared" ca="1" si="91"/>
        <v>45313</v>
      </c>
      <c r="N996" s="2" t="str">
        <f t="shared" ca="1" si="92"/>
        <v>N/A</v>
      </c>
      <c r="O996" s="3">
        <f t="shared" ca="1" si="93"/>
        <v>21</v>
      </c>
      <c r="P996" s="3" t="str">
        <f t="shared" ca="1" si="94"/>
        <v>N/A</v>
      </c>
      <c r="Q996" s="1" t="str">
        <f>IF(K996=1,"Joined",IF(H996&gt;=70,"Dropped at Offer",IF(H996&gt;=50,"Dropped at Interview","Dropped at Screening")))</f>
        <v>Dropped at Offer</v>
      </c>
      <c r="R996" s="1" t="str">
        <f t="shared" ca="1" si="95"/>
        <v>Jan-2024</v>
      </c>
    </row>
    <row r="997" spans="1:18">
      <c r="A997">
        <v>34</v>
      </c>
      <c r="B997">
        <v>1</v>
      </c>
      <c r="C997">
        <v>2</v>
      </c>
      <c r="D997">
        <v>3</v>
      </c>
      <c r="E997">
        <v>4</v>
      </c>
      <c r="F997">
        <v>30.967929356790101</v>
      </c>
      <c r="G997">
        <v>43</v>
      </c>
      <c r="H997">
        <v>34</v>
      </c>
      <c r="I997">
        <v>51</v>
      </c>
      <c r="J997">
        <v>3</v>
      </c>
      <c r="K997">
        <v>0</v>
      </c>
      <c r="L997" s="2">
        <f t="shared" si="90"/>
        <v>45292</v>
      </c>
      <c r="M997" s="2">
        <f t="shared" ca="1" si="91"/>
        <v>45331</v>
      </c>
      <c r="N997" s="2" t="str">
        <f t="shared" ca="1" si="92"/>
        <v>N/A</v>
      </c>
      <c r="O997" s="3">
        <f t="shared" ca="1" si="93"/>
        <v>39</v>
      </c>
      <c r="P997" s="3" t="str">
        <f t="shared" ca="1" si="94"/>
        <v>N/A</v>
      </c>
      <c r="Q997" s="1" t="str">
        <f>IF(K997=1,"Joined",IF(H997&gt;=70,"Dropped at Offer",IF(H997&gt;=50,"Dropped at Interview","Dropped at Screening")))</f>
        <v>Dropped at Screening</v>
      </c>
      <c r="R997" s="1" t="str">
        <f t="shared" ca="1" si="95"/>
        <v>Feb-2024</v>
      </c>
    </row>
    <row r="998" spans="1:18">
      <c r="A998">
        <v>36</v>
      </c>
      <c r="B998">
        <v>0</v>
      </c>
      <c r="C998">
        <v>2</v>
      </c>
      <c r="D998">
        <v>14</v>
      </c>
      <c r="E998">
        <v>2</v>
      </c>
      <c r="F998">
        <v>18.083728690922701</v>
      </c>
      <c r="G998">
        <v>73</v>
      </c>
      <c r="H998">
        <v>64</v>
      </c>
      <c r="I998">
        <v>57</v>
      </c>
      <c r="J998">
        <v>2</v>
      </c>
      <c r="K998">
        <v>0</v>
      </c>
      <c r="L998" s="2">
        <f t="shared" si="90"/>
        <v>45292</v>
      </c>
      <c r="M998" s="2">
        <f t="shared" ca="1" si="91"/>
        <v>45317</v>
      </c>
      <c r="N998" s="2" t="str">
        <f t="shared" ca="1" si="92"/>
        <v>N/A</v>
      </c>
      <c r="O998" s="3">
        <f t="shared" ca="1" si="93"/>
        <v>25</v>
      </c>
      <c r="P998" s="3" t="str">
        <f t="shared" ca="1" si="94"/>
        <v>N/A</v>
      </c>
      <c r="Q998" s="1" t="str">
        <f>IF(K998=1,"Joined",IF(H998&gt;=70,"Dropped at Offer",IF(H998&gt;=50,"Dropped at Interview","Dropped at Screening")))</f>
        <v>Dropped at Interview</v>
      </c>
      <c r="R998" s="1" t="str">
        <f t="shared" ca="1" si="95"/>
        <v>Jan-2024</v>
      </c>
    </row>
    <row r="999" spans="1:18">
      <c r="A999">
        <v>30</v>
      </c>
      <c r="B999">
        <v>1</v>
      </c>
      <c r="C999">
        <v>3</v>
      </c>
      <c r="D999">
        <v>4</v>
      </c>
      <c r="E999">
        <v>4</v>
      </c>
      <c r="F999">
        <v>48.665818610047999</v>
      </c>
      <c r="G999">
        <v>53</v>
      </c>
      <c r="H999">
        <v>71</v>
      </c>
      <c r="I999">
        <v>95</v>
      </c>
      <c r="J999">
        <v>2</v>
      </c>
      <c r="K999">
        <v>0</v>
      </c>
      <c r="L999" s="2">
        <f t="shared" si="90"/>
        <v>45292</v>
      </c>
      <c r="M999" s="2">
        <f t="shared" ca="1" si="91"/>
        <v>45314</v>
      </c>
      <c r="N999" s="2" t="str">
        <f t="shared" ca="1" si="92"/>
        <v>N/A</v>
      </c>
      <c r="O999" s="3">
        <f t="shared" ca="1" si="93"/>
        <v>22</v>
      </c>
      <c r="P999" s="3" t="str">
        <f t="shared" ca="1" si="94"/>
        <v>N/A</v>
      </c>
      <c r="Q999" s="1" t="str">
        <f>IF(K999=1,"Joined",IF(H999&gt;=70,"Dropped at Offer",IF(H999&gt;=50,"Dropped at Interview","Dropped at Screening")))</f>
        <v>Dropped at Offer</v>
      </c>
      <c r="R999" s="1" t="str">
        <f t="shared" ca="1" si="95"/>
        <v>Jan-2024</v>
      </c>
    </row>
    <row r="1000" spans="1:18">
      <c r="A1000">
        <v>40</v>
      </c>
      <c r="B1000">
        <v>0</v>
      </c>
      <c r="C1000">
        <v>2</v>
      </c>
      <c r="D1000">
        <v>3</v>
      </c>
      <c r="E1000">
        <v>5</v>
      </c>
      <c r="F1000">
        <v>46.159534536139198</v>
      </c>
      <c r="G1000">
        <v>19</v>
      </c>
      <c r="H1000">
        <v>75</v>
      </c>
      <c r="I1000">
        <v>36</v>
      </c>
      <c r="J1000">
        <v>1</v>
      </c>
      <c r="K1000">
        <v>0</v>
      </c>
      <c r="L1000" s="2">
        <f t="shared" si="90"/>
        <v>45292</v>
      </c>
      <c r="M1000" s="2">
        <f t="shared" ca="1" si="91"/>
        <v>45325</v>
      </c>
      <c r="N1000" s="2" t="str">
        <f t="shared" ca="1" si="92"/>
        <v>N/A</v>
      </c>
      <c r="O1000" s="3">
        <f t="shared" ca="1" si="93"/>
        <v>33</v>
      </c>
      <c r="P1000" s="3" t="str">
        <f t="shared" ca="1" si="94"/>
        <v>N/A</v>
      </c>
      <c r="Q1000" s="1" t="str">
        <f>IF(K1000=1,"Joined",IF(H1000&gt;=70,"Dropped at Offer",IF(H1000&gt;=50,"Dropped at Interview","Dropped at Screening")))</f>
        <v>Dropped at Offer</v>
      </c>
      <c r="R1000" s="1" t="str">
        <f t="shared" ca="1" si="95"/>
        <v>Feb-2024</v>
      </c>
    </row>
    <row r="1001" spans="1:18">
      <c r="A1001">
        <v>45</v>
      </c>
      <c r="B1001">
        <v>0</v>
      </c>
      <c r="C1001">
        <v>3</v>
      </c>
      <c r="D1001">
        <v>2</v>
      </c>
      <c r="E1001">
        <v>5</v>
      </c>
      <c r="F1001">
        <v>36.685312933835299</v>
      </c>
      <c r="G1001">
        <v>78</v>
      </c>
      <c r="H1001">
        <v>82</v>
      </c>
      <c r="I1001">
        <v>78</v>
      </c>
      <c r="J1001">
        <v>2</v>
      </c>
      <c r="K1001">
        <v>1</v>
      </c>
      <c r="L1001" s="2">
        <f t="shared" si="90"/>
        <v>45292</v>
      </c>
      <c r="M1001" s="2">
        <f t="shared" ca="1" si="91"/>
        <v>45313</v>
      </c>
      <c r="N1001" s="2">
        <f t="shared" ca="1" si="92"/>
        <v>45335</v>
      </c>
      <c r="O1001" s="3">
        <f t="shared" ca="1" si="93"/>
        <v>21</v>
      </c>
      <c r="P1001" s="3">
        <f t="shared" ca="1" si="94"/>
        <v>22</v>
      </c>
      <c r="Q1001" s="1" t="str">
        <f>IF(K1001=1,"Joined",IF(H1001&gt;=70,"Dropped at Offer",IF(H1001&gt;=50,"Dropped at Interview","Dropped at Screening")))</f>
        <v>Joined</v>
      </c>
      <c r="R1001" s="1" t="str">
        <f t="shared" ca="1" si="95"/>
        <v>Jan-2024</v>
      </c>
    </row>
    <row r="1002" spans="1:18">
      <c r="A1002">
        <v>50</v>
      </c>
      <c r="B1002">
        <v>1</v>
      </c>
      <c r="C1002">
        <v>2</v>
      </c>
      <c r="D1002">
        <v>4</v>
      </c>
      <c r="E1002">
        <v>2</v>
      </c>
      <c r="F1002">
        <v>41.907279056390003</v>
      </c>
      <c r="G1002">
        <v>30</v>
      </c>
      <c r="H1002">
        <v>24</v>
      </c>
      <c r="I1002">
        <v>75</v>
      </c>
      <c r="J1002">
        <v>2</v>
      </c>
      <c r="K1002">
        <v>0</v>
      </c>
      <c r="L1002" s="2">
        <f t="shared" si="90"/>
        <v>45292</v>
      </c>
      <c r="M1002" s="2">
        <f t="shared" ca="1" si="91"/>
        <v>45332</v>
      </c>
      <c r="N1002" s="2" t="str">
        <f t="shared" ca="1" si="92"/>
        <v>N/A</v>
      </c>
      <c r="O1002" s="3">
        <f t="shared" ca="1" si="93"/>
        <v>40</v>
      </c>
      <c r="P1002" s="3" t="str">
        <f t="shared" ca="1" si="94"/>
        <v>N/A</v>
      </c>
      <c r="Q1002" s="1" t="str">
        <f>IF(K1002=1,"Joined",IF(H1002&gt;=70,"Dropped at Offer",IF(H1002&gt;=50,"Dropped at Interview","Dropped at Screening")))</f>
        <v>Dropped at Screening</v>
      </c>
      <c r="R1002" s="1" t="str">
        <f t="shared" ca="1" si="95"/>
        <v>Feb-2024</v>
      </c>
    </row>
    <row r="1003" spans="1:18">
      <c r="A1003">
        <v>44</v>
      </c>
      <c r="B1003">
        <v>0</v>
      </c>
      <c r="C1003">
        <v>3</v>
      </c>
      <c r="D1003">
        <v>13</v>
      </c>
      <c r="E1003">
        <v>3</v>
      </c>
      <c r="F1003">
        <v>34.366592483384601</v>
      </c>
      <c r="G1003">
        <v>6</v>
      </c>
      <c r="H1003">
        <v>56</v>
      </c>
      <c r="I1003">
        <v>60</v>
      </c>
      <c r="J1003">
        <v>3</v>
      </c>
      <c r="K1003">
        <v>0</v>
      </c>
      <c r="L1003" s="2">
        <f t="shared" si="90"/>
        <v>45292</v>
      </c>
      <c r="M1003" s="2">
        <f t="shared" ca="1" si="91"/>
        <v>45319</v>
      </c>
      <c r="N1003" s="2" t="str">
        <f t="shared" ca="1" si="92"/>
        <v>N/A</v>
      </c>
      <c r="O1003" s="3">
        <f t="shared" ca="1" si="93"/>
        <v>27</v>
      </c>
      <c r="P1003" s="3" t="str">
        <f t="shared" ca="1" si="94"/>
        <v>N/A</v>
      </c>
      <c r="Q1003" s="1" t="str">
        <f>IF(K1003=1,"Joined",IF(H1003&gt;=70,"Dropped at Offer",IF(H1003&gt;=50,"Dropped at Interview","Dropped at Screening")))</f>
        <v>Dropped at Interview</v>
      </c>
      <c r="R1003" s="1" t="str">
        <f t="shared" ca="1" si="95"/>
        <v>Jan-2024</v>
      </c>
    </row>
    <row r="1004" spans="1:18">
      <c r="A1004">
        <v>41</v>
      </c>
      <c r="B1004">
        <v>1</v>
      </c>
      <c r="C1004">
        <v>4</v>
      </c>
      <c r="D1004">
        <v>8</v>
      </c>
      <c r="E1004">
        <v>5</v>
      </c>
      <c r="F1004">
        <v>7.2791051355080301</v>
      </c>
      <c r="G1004">
        <v>57</v>
      </c>
      <c r="H1004">
        <v>31</v>
      </c>
      <c r="I1004">
        <v>78</v>
      </c>
      <c r="J1004">
        <v>1</v>
      </c>
      <c r="K1004">
        <v>1</v>
      </c>
      <c r="L1004" s="2">
        <f t="shared" si="90"/>
        <v>45292</v>
      </c>
      <c r="M1004" s="2">
        <f t="shared" ca="1" si="91"/>
        <v>45316</v>
      </c>
      <c r="N1004" s="2">
        <f t="shared" ca="1" si="92"/>
        <v>45338</v>
      </c>
      <c r="O1004" s="3">
        <f t="shared" ca="1" si="93"/>
        <v>24</v>
      </c>
      <c r="P1004" s="3">
        <f t="shared" ca="1" si="94"/>
        <v>22</v>
      </c>
      <c r="Q1004" s="1" t="str">
        <f>IF(K1004=1,"Joined",IF(H1004&gt;=70,"Dropped at Offer",IF(H1004&gt;=50,"Dropped at Interview","Dropped at Screening")))</f>
        <v>Joined</v>
      </c>
      <c r="R1004" s="1" t="str">
        <f t="shared" ca="1" si="95"/>
        <v>Jan-2024</v>
      </c>
    </row>
    <row r="1005" spans="1:18">
      <c r="A1005">
        <v>46</v>
      </c>
      <c r="B1005">
        <v>1</v>
      </c>
      <c r="C1005">
        <v>2</v>
      </c>
      <c r="D1005">
        <v>7</v>
      </c>
      <c r="E1005">
        <v>1</v>
      </c>
      <c r="F1005">
        <v>39.277168484460098</v>
      </c>
      <c r="G1005">
        <v>9</v>
      </c>
      <c r="H1005">
        <v>62</v>
      </c>
      <c r="I1005">
        <v>33</v>
      </c>
      <c r="J1005">
        <v>2</v>
      </c>
      <c r="K1005">
        <v>0</v>
      </c>
      <c r="L1005" s="2">
        <f t="shared" si="90"/>
        <v>45292</v>
      </c>
      <c r="M1005" s="2">
        <f t="shared" ca="1" si="91"/>
        <v>45313</v>
      </c>
      <c r="N1005" s="2" t="str">
        <f t="shared" ca="1" si="92"/>
        <v>N/A</v>
      </c>
      <c r="O1005" s="3">
        <f t="shared" ca="1" si="93"/>
        <v>21</v>
      </c>
      <c r="P1005" s="3" t="str">
        <f t="shared" ca="1" si="94"/>
        <v>N/A</v>
      </c>
      <c r="Q1005" s="1" t="str">
        <f>IF(K1005=1,"Joined",IF(H1005&gt;=70,"Dropped at Offer",IF(H1005&gt;=50,"Dropped at Interview","Dropped at Screening")))</f>
        <v>Dropped at Interview</v>
      </c>
      <c r="R1005" s="1" t="str">
        <f t="shared" ca="1" si="95"/>
        <v>Jan-2024</v>
      </c>
    </row>
    <row r="1006" spans="1:18">
      <c r="A1006">
        <v>46</v>
      </c>
      <c r="B1006">
        <v>0</v>
      </c>
      <c r="C1006">
        <v>4</v>
      </c>
      <c r="D1006">
        <v>7</v>
      </c>
      <c r="E1006">
        <v>2</v>
      </c>
      <c r="F1006">
        <v>11.5095984359423</v>
      </c>
      <c r="G1006">
        <v>9</v>
      </c>
      <c r="H1006">
        <v>11</v>
      </c>
      <c r="I1006">
        <v>69</v>
      </c>
      <c r="J1006">
        <v>2</v>
      </c>
      <c r="K1006">
        <v>0</v>
      </c>
      <c r="L1006" s="2">
        <f t="shared" si="90"/>
        <v>45292</v>
      </c>
      <c r="M1006" s="2">
        <f t="shared" ca="1" si="91"/>
        <v>45314</v>
      </c>
      <c r="N1006" s="2" t="str">
        <f t="shared" ca="1" si="92"/>
        <v>N/A</v>
      </c>
      <c r="O1006" s="3">
        <f t="shared" ca="1" si="93"/>
        <v>22</v>
      </c>
      <c r="P1006" s="3" t="str">
        <f t="shared" ca="1" si="94"/>
        <v>N/A</v>
      </c>
      <c r="Q1006" s="1" t="str">
        <f>IF(K1006=1,"Joined",IF(H1006&gt;=70,"Dropped at Offer",IF(H1006&gt;=50,"Dropped at Interview","Dropped at Screening")))</f>
        <v>Dropped at Screening</v>
      </c>
      <c r="R1006" s="1" t="str">
        <f t="shared" ca="1" si="95"/>
        <v>Jan-2024</v>
      </c>
    </row>
    <row r="1007" spans="1:18">
      <c r="A1007">
        <v>36</v>
      </c>
      <c r="B1007">
        <v>1</v>
      </c>
      <c r="C1007">
        <v>1</v>
      </c>
      <c r="D1007">
        <v>7</v>
      </c>
      <c r="E1007">
        <v>4</v>
      </c>
      <c r="F1007">
        <v>17.172142755009801</v>
      </c>
      <c r="G1007">
        <v>38</v>
      </c>
      <c r="H1007">
        <v>62</v>
      </c>
      <c r="I1007">
        <v>16</v>
      </c>
      <c r="J1007">
        <v>3</v>
      </c>
      <c r="K1007">
        <v>0</v>
      </c>
      <c r="L1007" s="2">
        <f t="shared" si="90"/>
        <v>45292</v>
      </c>
      <c r="M1007" s="2">
        <f t="shared" ca="1" si="91"/>
        <v>45333</v>
      </c>
      <c r="N1007" s="2" t="str">
        <f t="shared" ca="1" si="92"/>
        <v>N/A</v>
      </c>
      <c r="O1007" s="3">
        <f t="shared" ca="1" si="93"/>
        <v>41</v>
      </c>
      <c r="P1007" s="3" t="str">
        <f t="shared" ca="1" si="94"/>
        <v>N/A</v>
      </c>
      <c r="Q1007" s="1" t="str">
        <f>IF(K1007=1,"Joined",IF(H1007&gt;=70,"Dropped at Offer",IF(H1007&gt;=50,"Dropped at Interview","Dropped at Screening")))</f>
        <v>Dropped at Interview</v>
      </c>
      <c r="R1007" s="1" t="str">
        <f t="shared" ca="1" si="95"/>
        <v>Feb-2024</v>
      </c>
    </row>
    <row r="1008" spans="1:18">
      <c r="A1008">
        <v>32</v>
      </c>
      <c r="B1008">
        <v>1</v>
      </c>
      <c r="C1008">
        <v>1</v>
      </c>
      <c r="D1008">
        <v>11</v>
      </c>
      <c r="E1008">
        <v>4</v>
      </c>
      <c r="F1008">
        <v>41.961710605120999</v>
      </c>
      <c r="G1008">
        <v>27</v>
      </c>
      <c r="H1008">
        <v>76</v>
      </c>
      <c r="I1008">
        <v>19</v>
      </c>
      <c r="J1008">
        <v>1</v>
      </c>
      <c r="K1008">
        <v>1</v>
      </c>
      <c r="L1008" s="2">
        <f t="shared" si="90"/>
        <v>45292</v>
      </c>
      <c r="M1008" s="2">
        <f t="shared" ca="1" si="91"/>
        <v>45335</v>
      </c>
      <c r="N1008" s="2">
        <f t="shared" ca="1" si="92"/>
        <v>45352</v>
      </c>
      <c r="O1008" s="3">
        <f t="shared" ca="1" si="93"/>
        <v>43</v>
      </c>
      <c r="P1008" s="3">
        <f t="shared" ca="1" si="94"/>
        <v>17</v>
      </c>
      <c r="Q1008" s="1" t="str">
        <f>IF(K1008=1,"Joined",IF(H1008&gt;=70,"Dropped at Offer",IF(H1008&gt;=50,"Dropped at Interview","Dropped at Screening")))</f>
        <v>Joined</v>
      </c>
      <c r="R1008" s="1" t="str">
        <f t="shared" ca="1" si="95"/>
        <v>Feb-2024</v>
      </c>
    </row>
    <row r="1009" spans="1:18">
      <c r="A1009">
        <v>20</v>
      </c>
      <c r="B1009">
        <v>1</v>
      </c>
      <c r="C1009">
        <v>1</v>
      </c>
      <c r="D1009">
        <v>7</v>
      </c>
      <c r="E1009">
        <v>1</v>
      </c>
      <c r="F1009">
        <v>27.826280419672401</v>
      </c>
      <c r="G1009">
        <v>29</v>
      </c>
      <c r="H1009">
        <v>91</v>
      </c>
      <c r="I1009">
        <v>72</v>
      </c>
      <c r="J1009">
        <v>3</v>
      </c>
      <c r="K1009">
        <v>0</v>
      </c>
      <c r="L1009" s="2">
        <f t="shared" si="90"/>
        <v>45292</v>
      </c>
      <c r="M1009" s="2">
        <f t="shared" ca="1" si="91"/>
        <v>45307</v>
      </c>
      <c r="N1009" s="2" t="str">
        <f t="shared" ca="1" si="92"/>
        <v>N/A</v>
      </c>
      <c r="O1009" s="3">
        <f t="shared" ca="1" si="93"/>
        <v>15</v>
      </c>
      <c r="P1009" s="3" t="str">
        <f t="shared" ca="1" si="94"/>
        <v>N/A</v>
      </c>
      <c r="Q1009" s="1" t="str">
        <f>IF(K1009=1,"Joined",IF(H1009&gt;=70,"Dropped at Offer",IF(H1009&gt;=50,"Dropped at Interview","Dropped at Screening")))</f>
        <v>Dropped at Offer</v>
      </c>
      <c r="R1009" s="1" t="str">
        <f t="shared" ca="1" si="95"/>
        <v>Jan-2024</v>
      </c>
    </row>
    <row r="1010" spans="1:18">
      <c r="A1010">
        <v>21</v>
      </c>
      <c r="B1010">
        <v>1</v>
      </c>
      <c r="C1010">
        <v>2</v>
      </c>
      <c r="D1010">
        <v>6</v>
      </c>
      <c r="E1010">
        <v>5</v>
      </c>
      <c r="F1010">
        <v>43.997035709170397</v>
      </c>
      <c r="G1010">
        <v>36</v>
      </c>
      <c r="H1010">
        <v>0</v>
      </c>
      <c r="I1010">
        <v>58</v>
      </c>
      <c r="J1010">
        <v>2</v>
      </c>
      <c r="K1010">
        <v>0</v>
      </c>
      <c r="L1010" s="2">
        <f t="shared" si="90"/>
        <v>45292</v>
      </c>
      <c r="M1010" s="2">
        <f t="shared" ca="1" si="91"/>
        <v>45313</v>
      </c>
      <c r="N1010" s="2" t="str">
        <f t="shared" ca="1" si="92"/>
        <v>N/A</v>
      </c>
      <c r="O1010" s="3">
        <f t="shared" ca="1" si="93"/>
        <v>21</v>
      </c>
      <c r="P1010" s="3" t="str">
        <f t="shared" ca="1" si="94"/>
        <v>N/A</v>
      </c>
      <c r="Q1010" s="1" t="str">
        <f>IF(K1010=1,"Joined",IF(H1010&gt;=70,"Dropped at Offer",IF(H1010&gt;=50,"Dropped at Interview","Dropped at Screening")))</f>
        <v>Dropped at Screening</v>
      </c>
      <c r="R1010" s="1" t="str">
        <f t="shared" ca="1" si="95"/>
        <v>Jan-2024</v>
      </c>
    </row>
    <row r="1011" spans="1:18">
      <c r="A1011">
        <v>28</v>
      </c>
      <c r="B1011">
        <v>1</v>
      </c>
      <c r="C1011">
        <v>2</v>
      </c>
      <c r="D1011">
        <v>7</v>
      </c>
      <c r="E1011">
        <v>2</v>
      </c>
      <c r="F1011">
        <v>11.651765992163201</v>
      </c>
      <c r="G1011">
        <v>66</v>
      </c>
      <c r="H1011">
        <v>50</v>
      </c>
      <c r="I1011">
        <v>68</v>
      </c>
      <c r="J1011">
        <v>2</v>
      </c>
      <c r="K1011">
        <v>0</v>
      </c>
      <c r="L1011" s="2">
        <f t="shared" si="90"/>
        <v>45292</v>
      </c>
      <c r="M1011" s="2">
        <f t="shared" ca="1" si="91"/>
        <v>45329</v>
      </c>
      <c r="N1011" s="2" t="str">
        <f t="shared" ca="1" si="92"/>
        <v>N/A</v>
      </c>
      <c r="O1011" s="3">
        <f t="shared" ca="1" si="93"/>
        <v>37</v>
      </c>
      <c r="P1011" s="3" t="str">
        <f t="shared" ca="1" si="94"/>
        <v>N/A</v>
      </c>
      <c r="Q1011" s="1" t="str">
        <f>IF(K1011=1,"Joined",IF(H1011&gt;=70,"Dropped at Offer",IF(H1011&gt;=50,"Dropped at Interview","Dropped at Screening")))</f>
        <v>Dropped at Interview</v>
      </c>
      <c r="R1011" s="1" t="str">
        <f t="shared" ca="1" si="95"/>
        <v>Feb-2024</v>
      </c>
    </row>
    <row r="1012" spans="1:18">
      <c r="A1012">
        <v>22</v>
      </c>
      <c r="B1012">
        <v>0</v>
      </c>
      <c r="C1012">
        <v>1</v>
      </c>
      <c r="D1012">
        <v>10</v>
      </c>
      <c r="E1012">
        <v>1</v>
      </c>
      <c r="F1012">
        <v>31.388921930344299</v>
      </c>
      <c r="G1012">
        <v>42</v>
      </c>
      <c r="H1012">
        <v>69</v>
      </c>
      <c r="I1012">
        <v>86</v>
      </c>
      <c r="J1012">
        <v>1</v>
      </c>
      <c r="K1012">
        <v>1</v>
      </c>
      <c r="L1012" s="2">
        <f t="shared" si="90"/>
        <v>45292</v>
      </c>
      <c r="M1012" s="2">
        <f t="shared" ca="1" si="91"/>
        <v>45330</v>
      </c>
      <c r="N1012" s="2">
        <f t="shared" ca="1" si="92"/>
        <v>45347</v>
      </c>
      <c r="O1012" s="3">
        <f t="shared" ca="1" si="93"/>
        <v>38</v>
      </c>
      <c r="P1012" s="3">
        <f t="shared" ca="1" si="94"/>
        <v>17</v>
      </c>
      <c r="Q1012" s="1" t="str">
        <f>IF(K1012=1,"Joined",IF(H1012&gt;=70,"Dropped at Offer",IF(H1012&gt;=50,"Dropped at Interview","Dropped at Screening")))</f>
        <v>Joined</v>
      </c>
      <c r="R1012" s="1" t="str">
        <f t="shared" ca="1" si="95"/>
        <v>Feb-2024</v>
      </c>
    </row>
    <row r="1013" spans="1:18">
      <c r="A1013">
        <v>50</v>
      </c>
      <c r="B1013">
        <v>1</v>
      </c>
      <c r="C1013">
        <v>1</v>
      </c>
      <c r="D1013">
        <v>13</v>
      </c>
      <c r="E1013">
        <v>5</v>
      </c>
      <c r="F1013">
        <v>5.18954862741308</v>
      </c>
      <c r="G1013">
        <v>78</v>
      </c>
      <c r="H1013">
        <v>7</v>
      </c>
      <c r="I1013">
        <v>32</v>
      </c>
      <c r="J1013">
        <v>2</v>
      </c>
      <c r="K1013">
        <v>0</v>
      </c>
      <c r="L1013" s="2">
        <f t="shared" si="90"/>
        <v>45292</v>
      </c>
      <c r="M1013" s="2">
        <f t="shared" ca="1" si="91"/>
        <v>45310</v>
      </c>
      <c r="N1013" s="2" t="str">
        <f t="shared" ca="1" si="92"/>
        <v>N/A</v>
      </c>
      <c r="O1013" s="3">
        <f t="shared" ca="1" si="93"/>
        <v>18</v>
      </c>
      <c r="P1013" s="3" t="str">
        <f t="shared" ca="1" si="94"/>
        <v>N/A</v>
      </c>
      <c r="Q1013" s="1" t="str">
        <f>IF(K1013=1,"Joined",IF(H1013&gt;=70,"Dropped at Offer",IF(H1013&gt;=50,"Dropped at Interview","Dropped at Screening")))</f>
        <v>Dropped at Screening</v>
      </c>
      <c r="R1013" s="1" t="str">
        <f t="shared" ca="1" si="95"/>
        <v>Jan-2024</v>
      </c>
    </row>
    <row r="1014" spans="1:18">
      <c r="A1014">
        <v>20</v>
      </c>
      <c r="B1014">
        <v>1</v>
      </c>
      <c r="C1014">
        <v>4</v>
      </c>
      <c r="D1014">
        <v>15</v>
      </c>
      <c r="E1014">
        <v>2</v>
      </c>
      <c r="F1014">
        <v>33.153049677001398</v>
      </c>
      <c r="G1014">
        <v>84</v>
      </c>
      <c r="H1014">
        <v>67</v>
      </c>
      <c r="I1014">
        <v>77</v>
      </c>
      <c r="J1014">
        <v>2</v>
      </c>
      <c r="K1014">
        <v>1</v>
      </c>
      <c r="L1014" s="2">
        <f t="shared" si="90"/>
        <v>45292</v>
      </c>
      <c r="M1014" s="2">
        <f t="shared" ca="1" si="91"/>
        <v>45323</v>
      </c>
      <c r="N1014" s="2">
        <f t="shared" ca="1" si="92"/>
        <v>45335</v>
      </c>
      <c r="O1014" s="3">
        <f t="shared" ca="1" si="93"/>
        <v>31</v>
      </c>
      <c r="P1014" s="3">
        <f t="shared" ca="1" si="94"/>
        <v>12</v>
      </c>
      <c r="Q1014" s="1" t="str">
        <f>IF(K1014=1,"Joined",IF(H1014&gt;=70,"Dropped at Offer",IF(H1014&gt;=50,"Dropped at Interview","Dropped at Screening")))</f>
        <v>Joined</v>
      </c>
      <c r="R1014" s="1" t="str">
        <f t="shared" ca="1" si="95"/>
        <v>Feb-2024</v>
      </c>
    </row>
    <row r="1015" spans="1:18">
      <c r="A1015">
        <v>40</v>
      </c>
      <c r="B1015">
        <v>1</v>
      </c>
      <c r="C1015">
        <v>3</v>
      </c>
      <c r="D1015">
        <v>7</v>
      </c>
      <c r="E1015">
        <v>4</v>
      </c>
      <c r="F1015">
        <v>39.126701888776701</v>
      </c>
      <c r="G1015">
        <v>51</v>
      </c>
      <c r="H1015">
        <v>4</v>
      </c>
      <c r="I1015">
        <v>16</v>
      </c>
      <c r="J1015">
        <v>2</v>
      </c>
      <c r="K1015">
        <v>0</v>
      </c>
      <c r="L1015" s="2">
        <f t="shared" si="90"/>
        <v>45292</v>
      </c>
      <c r="M1015" s="2">
        <f t="shared" ca="1" si="91"/>
        <v>45313</v>
      </c>
      <c r="N1015" s="2" t="str">
        <f t="shared" ca="1" si="92"/>
        <v>N/A</v>
      </c>
      <c r="O1015" s="3">
        <f t="shared" ca="1" si="93"/>
        <v>21</v>
      </c>
      <c r="P1015" s="3" t="str">
        <f t="shared" ca="1" si="94"/>
        <v>N/A</v>
      </c>
      <c r="Q1015" s="1" t="str">
        <f>IF(K1015=1,"Joined",IF(H1015&gt;=70,"Dropped at Offer",IF(H1015&gt;=50,"Dropped at Interview","Dropped at Screening")))</f>
        <v>Dropped at Screening</v>
      </c>
      <c r="R1015" s="1" t="str">
        <f t="shared" ca="1" si="95"/>
        <v>Jan-2024</v>
      </c>
    </row>
    <row r="1016" spans="1:18">
      <c r="A1016">
        <v>35</v>
      </c>
      <c r="B1016">
        <v>1</v>
      </c>
      <c r="C1016">
        <v>3</v>
      </c>
      <c r="D1016">
        <v>12</v>
      </c>
      <c r="E1016">
        <v>2</v>
      </c>
      <c r="F1016">
        <v>30.246544698935999</v>
      </c>
      <c r="G1016">
        <v>100</v>
      </c>
      <c r="H1016">
        <v>88</v>
      </c>
      <c r="I1016">
        <v>56</v>
      </c>
      <c r="J1016">
        <v>1</v>
      </c>
      <c r="K1016">
        <v>1</v>
      </c>
      <c r="L1016" s="2">
        <f t="shared" si="90"/>
        <v>45292</v>
      </c>
      <c r="M1016" s="2">
        <f t="shared" ca="1" si="91"/>
        <v>45332</v>
      </c>
      <c r="N1016" s="2">
        <f t="shared" ca="1" si="92"/>
        <v>45352</v>
      </c>
      <c r="O1016" s="3">
        <f t="shared" ca="1" si="93"/>
        <v>40</v>
      </c>
      <c r="P1016" s="3">
        <f t="shared" ca="1" si="94"/>
        <v>20</v>
      </c>
      <c r="Q1016" s="1" t="str">
        <f>IF(K1016=1,"Joined",IF(H1016&gt;=70,"Dropped at Offer",IF(H1016&gt;=50,"Dropped at Interview","Dropped at Screening")))</f>
        <v>Joined</v>
      </c>
      <c r="R1016" s="1" t="str">
        <f t="shared" ca="1" si="95"/>
        <v>Feb-2024</v>
      </c>
    </row>
    <row r="1017" spans="1:18">
      <c r="A1017">
        <v>42</v>
      </c>
      <c r="B1017">
        <v>1</v>
      </c>
      <c r="C1017">
        <v>3</v>
      </c>
      <c r="D1017">
        <v>13</v>
      </c>
      <c r="E1017">
        <v>3</v>
      </c>
      <c r="F1017">
        <v>14.3115750749405</v>
      </c>
      <c r="G1017">
        <v>55</v>
      </c>
      <c r="H1017">
        <v>85</v>
      </c>
      <c r="I1017">
        <v>82</v>
      </c>
      <c r="J1017">
        <v>1</v>
      </c>
      <c r="K1017">
        <v>1</v>
      </c>
      <c r="L1017" s="2">
        <f t="shared" si="90"/>
        <v>45292</v>
      </c>
      <c r="M1017" s="2">
        <f t="shared" ca="1" si="91"/>
        <v>45323</v>
      </c>
      <c r="N1017" s="2">
        <f t="shared" ca="1" si="92"/>
        <v>45350</v>
      </c>
      <c r="O1017" s="3">
        <f t="shared" ca="1" si="93"/>
        <v>31</v>
      </c>
      <c r="P1017" s="3">
        <f t="shared" ca="1" si="94"/>
        <v>27</v>
      </c>
      <c r="Q1017" s="1" t="str">
        <f>IF(K1017=1,"Joined",IF(H1017&gt;=70,"Dropped at Offer",IF(H1017&gt;=50,"Dropped at Interview","Dropped at Screening")))</f>
        <v>Joined</v>
      </c>
      <c r="R1017" s="1" t="str">
        <f t="shared" ca="1" si="95"/>
        <v>Feb-2024</v>
      </c>
    </row>
    <row r="1018" spans="1:18">
      <c r="A1018">
        <v>25</v>
      </c>
      <c r="B1018">
        <v>0</v>
      </c>
      <c r="C1018">
        <v>3</v>
      </c>
      <c r="D1018">
        <v>7</v>
      </c>
      <c r="E1018">
        <v>2</v>
      </c>
      <c r="F1018">
        <v>2.5671334429433301</v>
      </c>
      <c r="G1018">
        <v>75</v>
      </c>
      <c r="H1018">
        <v>91</v>
      </c>
      <c r="I1018">
        <v>96</v>
      </c>
      <c r="J1018">
        <v>3</v>
      </c>
      <c r="K1018">
        <v>1</v>
      </c>
      <c r="L1018" s="2">
        <f t="shared" si="90"/>
        <v>45292</v>
      </c>
      <c r="M1018" s="2">
        <f t="shared" ca="1" si="91"/>
        <v>45335</v>
      </c>
      <c r="N1018" s="2">
        <f t="shared" ca="1" si="92"/>
        <v>45348</v>
      </c>
      <c r="O1018" s="3">
        <f t="shared" ca="1" si="93"/>
        <v>43</v>
      </c>
      <c r="P1018" s="3">
        <f t="shared" ca="1" si="94"/>
        <v>13</v>
      </c>
      <c r="Q1018" s="1" t="str">
        <f>IF(K1018=1,"Joined",IF(H1018&gt;=70,"Dropped at Offer",IF(H1018&gt;=50,"Dropped at Interview","Dropped at Screening")))</f>
        <v>Joined</v>
      </c>
      <c r="R1018" s="1" t="str">
        <f t="shared" ca="1" si="95"/>
        <v>Feb-2024</v>
      </c>
    </row>
    <row r="1019" spans="1:18">
      <c r="A1019">
        <v>47</v>
      </c>
      <c r="B1019">
        <v>1</v>
      </c>
      <c r="C1019">
        <v>1</v>
      </c>
      <c r="D1019">
        <v>11</v>
      </c>
      <c r="E1019">
        <v>3</v>
      </c>
      <c r="F1019">
        <v>6.97244419821428</v>
      </c>
      <c r="G1019">
        <v>67</v>
      </c>
      <c r="H1019">
        <v>38</v>
      </c>
      <c r="I1019">
        <v>0</v>
      </c>
      <c r="J1019">
        <v>3</v>
      </c>
      <c r="K1019">
        <v>0</v>
      </c>
      <c r="L1019" s="2">
        <f t="shared" si="90"/>
        <v>45292</v>
      </c>
      <c r="M1019" s="2">
        <f t="shared" ca="1" si="91"/>
        <v>45331</v>
      </c>
      <c r="N1019" s="2" t="str">
        <f t="shared" ca="1" si="92"/>
        <v>N/A</v>
      </c>
      <c r="O1019" s="3">
        <f t="shared" ca="1" si="93"/>
        <v>39</v>
      </c>
      <c r="P1019" s="3" t="str">
        <f t="shared" ca="1" si="94"/>
        <v>N/A</v>
      </c>
      <c r="Q1019" s="1" t="str">
        <f>IF(K1019=1,"Joined",IF(H1019&gt;=70,"Dropped at Offer",IF(H1019&gt;=50,"Dropped at Interview","Dropped at Screening")))</f>
        <v>Dropped at Screening</v>
      </c>
      <c r="R1019" s="1" t="str">
        <f t="shared" ca="1" si="95"/>
        <v>Feb-2024</v>
      </c>
    </row>
    <row r="1020" spans="1:18">
      <c r="A1020">
        <v>36</v>
      </c>
      <c r="B1020">
        <v>0</v>
      </c>
      <c r="C1020">
        <v>2</v>
      </c>
      <c r="D1020">
        <v>9</v>
      </c>
      <c r="E1020">
        <v>2</v>
      </c>
      <c r="F1020">
        <v>32.115148953701301</v>
      </c>
      <c r="G1020">
        <v>8</v>
      </c>
      <c r="H1020">
        <v>22</v>
      </c>
      <c r="I1020">
        <v>12</v>
      </c>
      <c r="J1020">
        <v>2</v>
      </c>
      <c r="K1020">
        <v>0</v>
      </c>
      <c r="L1020" s="2">
        <f t="shared" si="90"/>
        <v>45292</v>
      </c>
      <c r="M1020" s="2">
        <f t="shared" ca="1" si="91"/>
        <v>45333</v>
      </c>
      <c r="N1020" s="2" t="str">
        <f t="shared" ca="1" si="92"/>
        <v>N/A</v>
      </c>
      <c r="O1020" s="3">
        <f t="shared" ca="1" si="93"/>
        <v>41</v>
      </c>
      <c r="P1020" s="3" t="str">
        <f t="shared" ca="1" si="94"/>
        <v>N/A</v>
      </c>
      <c r="Q1020" s="1" t="str">
        <f>IF(K1020=1,"Joined",IF(H1020&gt;=70,"Dropped at Offer",IF(H1020&gt;=50,"Dropped at Interview","Dropped at Screening")))</f>
        <v>Dropped at Screening</v>
      </c>
      <c r="R1020" s="1" t="str">
        <f t="shared" ca="1" si="95"/>
        <v>Feb-2024</v>
      </c>
    </row>
    <row r="1021" spans="1:18">
      <c r="A1021">
        <v>24</v>
      </c>
      <c r="B1021">
        <v>0</v>
      </c>
      <c r="C1021">
        <v>3</v>
      </c>
      <c r="D1021">
        <v>6</v>
      </c>
      <c r="E1021">
        <v>3</v>
      </c>
      <c r="F1021">
        <v>47.721010842125601</v>
      </c>
      <c r="G1021">
        <v>91</v>
      </c>
      <c r="H1021">
        <v>67</v>
      </c>
      <c r="I1021">
        <v>26</v>
      </c>
      <c r="J1021">
        <v>1</v>
      </c>
      <c r="K1021">
        <v>1</v>
      </c>
      <c r="L1021" s="2">
        <f t="shared" si="90"/>
        <v>45292</v>
      </c>
      <c r="M1021" s="2">
        <f t="shared" ca="1" si="91"/>
        <v>45334</v>
      </c>
      <c r="N1021" s="2">
        <f t="shared" ca="1" si="92"/>
        <v>45342</v>
      </c>
      <c r="O1021" s="3">
        <f t="shared" ca="1" si="93"/>
        <v>42</v>
      </c>
      <c r="P1021" s="3">
        <f t="shared" ca="1" si="94"/>
        <v>8</v>
      </c>
      <c r="Q1021" s="1" t="str">
        <f>IF(K1021=1,"Joined",IF(H1021&gt;=70,"Dropped at Offer",IF(H1021&gt;=50,"Dropped at Interview","Dropped at Screening")))</f>
        <v>Joined</v>
      </c>
      <c r="R1021" s="1" t="str">
        <f t="shared" ca="1" si="95"/>
        <v>Feb-2024</v>
      </c>
    </row>
    <row r="1022" spans="1:18">
      <c r="A1022">
        <v>50</v>
      </c>
      <c r="B1022">
        <v>0</v>
      </c>
      <c r="C1022">
        <v>2</v>
      </c>
      <c r="D1022">
        <v>11</v>
      </c>
      <c r="E1022">
        <v>4</v>
      </c>
      <c r="F1022">
        <v>11.326720198600301</v>
      </c>
      <c r="G1022">
        <v>22</v>
      </c>
      <c r="H1022">
        <v>51</v>
      </c>
      <c r="I1022">
        <v>69</v>
      </c>
      <c r="J1022">
        <v>2</v>
      </c>
      <c r="K1022">
        <v>0</v>
      </c>
      <c r="L1022" s="2">
        <f t="shared" si="90"/>
        <v>45292</v>
      </c>
      <c r="M1022" s="2">
        <f t="shared" ca="1" si="91"/>
        <v>45312</v>
      </c>
      <c r="N1022" s="2" t="str">
        <f t="shared" ca="1" si="92"/>
        <v>N/A</v>
      </c>
      <c r="O1022" s="3">
        <f t="shared" ca="1" si="93"/>
        <v>20</v>
      </c>
      <c r="P1022" s="3" t="str">
        <f t="shared" ca="1" si="94"/>
        <v>N/A</v>
      </c>
      <c r="Q1022" s="1" t="str">
        <f>IF(K1022=1,"Joined",IF(H1022&gt;=70,"Dropped at Offer",IF(H1022&gt;=50,"Dropped at Interview","Dropped at Screening")))</f>
        <v>Dropped at Interview</v>
      </c>
      <c r="R1022" s="1" t="str">
        <f t="shared" ca="1" si="95"/>
        <v>Jan-2024</v>
      </c>
    </row>
    <row r="1023" spans="1:18">
      <c r="A1023">
        <v>24</v>
      </c>
      <c r="B1023">
        <v>0</v>
      </c>
      <c r="C1023">
        <v>2</v>
      </c>
      <c r="D1023">
        <v>0</v>
      </c>
      <c r="E1023">
        <v>5</v>
      </c>
      <c r="F1023">
        <v>37.751307455254903</v>
      </c>
      <c r="G1023">
        <v>62</v>
      </c>
      <c r="H1023">
        <v>3</v>
      </c>
      <c r="I1023">
        <v>58</v>
      </c>
      <c r="J1023">
        <v>2</v>
      </c>
      <c r="K1023">
        <v>0</v>
      </c>
      <c r="L1023" s="2">
        <f t="shared" si="90"/>
        <v>45292</v>
      </c>
      <c r="M1023" s="2">
        <f t="shared" ca="1" si="91"/>
        <v>45307</v>
      </c>
      <c r="N1023" s="2" t="str">
        <f t="shared" ca="1" si="92"/>
        <v>N/A</v>
      </c>
      <c r="O1023" s="3">
        <f t="shared" ca="1" si="93"/>
        <v>15</v>
      </c>
      <c r="P1023" s="3" t="str">
        <f t="shared" ca="1" si="94"/>
        <v>N/A</v>
      </c>
      <c r="Q1023" s="1" t="str">
        <f>IF(K1023=1,"Joined",IF(H1023&gt;=70,"Dropped at Offer",IF(H1023&gt;=50,"Dropped at Interview","Dropped at Screening")))</f>
        <v>Dropped at Screening</v>
      </c>
      <c r="R1023" s="1" t="str">
        <f t="shared" ca="1" si="95"/>
        <v>Jan-2024</v>
      </c>
    </row>
    <row r="1024" spans="1:18">
      <c r="A1024">
        <v>25</v>
      </c>
      <c r="B1024">
        <v>1</v>
      </c>
      <c r="C1024">
        <v>1</v>
      </c>
      <c r="D1024">
        <v>3</v>
      </c>
      <c r="E1024">
        <v>3</v>
      </c>
      <c r="F1024">
        <v>44.322553162452003</v>
      </c>
      <c r="G1024">
        <v>60</v>
      </c>
      <c r="H1024">
        <v>46</v>
      </c>
      <c r="I1024">
        <v>5</v>
      </c>
      <c r="J1024">
        <v>3</v>
      </c>
      <c r="K1024">
        <v>0</v>
      </c>
      <c r="L1024" s="2">
        <f t="shared" si="90"/>
        <v>45292</v>
      </c>
      <c r="M1024" s="2">
        <f t="shared" ca="1" si="91"/>
        <v>45316</v>
      </c>
      <c r="N1024" s="2" t="str">
        <f t="shared" ca="1" si="92"/>
        <v>N/A</v>
      </c>
      <c r="O1024" s="3">
        <f t="shared" ca="1" si="93"/>
        <v>24</v>
      </c>
      <c r="P1024" s="3" t="str">
        <f t="shared" ca="1" si="94"/>
        <v>N/A</v>
      </c>
      <c r="Q1024" s="1" t="str">
        <f>IF(K1024=1,"Joined",IF(H1024&gt;=70,"Dropped at Offer",IF(H1024&gt;=50,"Dropped at Interview","Dropped at Screening")))</f>
        <v>Dropped at Screening</v>
      </c>
      <c r="R1024" s="1" t="str">
        <f t="shared" ca="1" si="95"/>
        <v>Jan-2024</v>
      </c>
    </row>
    <row r="1025" spans="1:18">
      <c r="A1025">
        <v>22</v>
      </c>
      <c r="B1025">
        <v>0</v>
      </c>
      <c r="C1025">
        <v>2</v>
      </c>
      <c r="D1025">
        <v>12</v>
      </c>
      <c r="E1025">
        <v>3</v>
      </c>
      <c r="F1025">
        <v>27.0441089223755</v>
      </c>
      <c r="G1025">
        <v>39</v>
      </c>
      <c r="H1025">
        <v>20</v>
      </c>
      <c r="I1025">
        <v>96</v>
      </c>
      <c r="J1025">
        <v>2</v>
      </c>
      <c r="K1025">
        <v>0</v>
      </c>
      <c r="L1025" s="2">
        <f t="shared" si="90"/>
        <v>45292</v>
      </c>
      <c r="M1025" s="2">
        <f t="shared" ca="1" si="91"/>
        <v>45337</v>
      </c>
      <c r="N1025" s="2" t="str">
        <f t="shared" ca="1" si="92"/>
        <v>N/A</v>
      </c>
      <c r="O1025" s="3">
        <f t="shared" ca="1" si="93"/>
        <v>45</v>
      </c>
      <c r="P1025" s="3" t="str">
        <f t="shared" ca="1" si="94"/>
        <v>N/A</v>
      </c>
      <c r="Q1025" s="1" t="str">
        <f>IF(K1025=1,"Joined",IF(H1025&gt;=70,"Dropped at Offer",IF(H1025&gt;=50,"Dropped at Interview","Dropped at Screening")))</f>
        <v>Dropped at Screening</v>
      </c>
      <c r="R1025" s="1" t="str">
        <f t="shared" ca="1" si="95"/>
        <v>Feb-2024</v>
      </c>
    </row>
    <row r="1026" spans="1:18">
      <c r="A1026">
        <v>40</v>
      </c>
      <c r="B1026">
        <v>0</v>
      </c>
      <c r="C1026">
        <v>2</v>
      </c>
      <c r="D1026">
        <v>12</v>
      </c>
      <c r="E1026">
        <v>4</v>
      </c>
      <c r="F1026">
        <v>34.463289792182799</v>
      </c>
      <c r="G1026">
        <v>43</v>
      </c>
      <c r="H1026">
        <v>100</v>
      </c>
      <c r="I1026">
        <v>93</v>
      </c>
      <c r="J1026">
        <v>3</v>
      </c>
      <c r="K1026">
        <v>0</v>
      </c>
      <c r="L1026" s="2">
        <f t="shared" ref="L1026:L1089" si="96">DATE(2024,1,1)</f>
        <v>45292</v>
      </c>
      <c r="M1026" s="2">
        <f t="shared" ref="M1026:M1089" ca="1" si="97">L1026+RANDBETWEEN(14,45)</f>
        <v>45332</v>
      </c>
      <c r="N1026" s="2" t="str">
        <f t="shared" ref="N1026:N1089" ca="1" si="98">IF(K1026=1, M1026+RANDBETWEEN(7,30), "N/A")</f>
        <v>N/A</v>
      </c>
      <c r="O1026" s="3">
        <f t="shared" ref="O1026:O1089" ca="1" si="99">IF(AND(M1026&lt;&gt;"",L1026&lt;&gt;""), M1026-L1026, "N/A")</f>
        <v>40</v>
      </c>
      <c r="P1026" s="3" t="str">
        <f t="shared" ref="P1026:Q1089" ca="1" si="100">IF(AND(K1026=1, N1026&lt;&gt;"", M1026&lt;&gt;""), N1026 - M1026, "N/A")</f>
        <v>N/A</v>
      </c>
      <c r="Q1026" s="1" t="str">
        <f>IF(K1026=1,"Joined",IF(H1026&gt;=70,"Dropped at Offer",IF(H1026&gt;=50,"Dropped at Interview","Dropped at Screening")))</f>
        <v>Dropped at Offer</v>
      </c>
      <c r="R1026" s="1" t="str">
        <f t="shared" ref="R1026:R1089" ca="1" si="101">TEXT(M1026,"MMM-YYYY")</f>
        <v>Feb-2024</v>
      </c>
    </row>
    <row r="1027" spans="1:18">
      <c r="A1027">
        <v>42</v>
      </c>
      <c r="B1027">
        <v>1</v>
      </c>
      <c r="C1027">
        <v>2</v>
      </c>
      <c r="D1027">
        <v>15</v>
      </c>
      <c r="E1027">
        <v>3</v>
      </c>
      <c r="F1027">
        <v>41.750765833807399</v>
      </c>
      <c r="G1027">
        <v>85</v>
      </c>
      <c r="H1027">
        <v>55</v>
      </c>
      <c r="I1027">
        <v>98</v>
      </c>
      <c r="J1027">
        <v>3</v>
      </c>
      <c r="K1027">
        <v>1</v>
      </c>
      <c r="L1027" s="2">
        <f t="shared" si="96"/>
        <v>45292</v>
      </c>
      <c r="M1027" s="2">
        <f t="shared" ca="1" si="97"/>
        <v>45316</v>
      </c>
      <c r="N1027" s="2">
        <f t="shared" ca="1" si="98"/>
        <v>45325</v>
      </c>
      <c r="O1027" s="3">
        <f t="shared" ca="1" si="99"/>
        <v>24</v>
      </c>
      <c r="P1027" s="3">
        <f t="shared" ca="1" si="100"/>
        <v>9</v>
      </c>
      <c r="Q1027" s="1" t="str">
        <f>IF(K1027=1,"Joined",IF(H1027&gt;=70,"Dropped at Offer",IF(H1027&gt;=50,"Dropped at Interview","Dropped at Screening")))</f>
        <v>Joined</v>
      </c>
      <c r="R1027" s="1" t="str">
        <f t="shared" ca="1" si="101"/>
        <v>Jan-2024</v>
      </c>
    </row>
    <row r="1028" spans="1:18">
      <c r="A1028">
        <v>24</v>
      </c>
      <c r="B1028">
        <v>1</v>
      </c>
      <c r="C1028">
        <v>2</v>
      </c>
      <c r="D1028">
        <v>3</v>
      </c>
      <c r="E1028">
        <v>1</v>
      </c>
      <c r="F1028">
        <v>14.0337578870296</v>
      </c>
      <c r="G1028">
        <v>23</v>
      </c>
      <c r="H1028">
        <v>65</v>
      </c>
      <c r="I1028">
        <v>22</v>
      </c>
      <c r="J1028">
        <v>3</v>
      </c>
      <c r="K1028">
        <v>0</v>
      </c>
      <c r="L1028" s="2">
        <f t="shared" si="96"/>
        <v>45292</v>
      </c>
      <c r="M1028" s="2">
        <f t="shared" ca="1" si="97"/>
        <v>45325</v>
      </c>
      <c r="N1028" s="2" t="str">
        <f t="shared" ca="1" si="98"/>
        <v>N/A</v>
      </c>
      <c r="O1028" s="3">
        <f t="shared" ca="1" si="99"/>
        <v>33</v>
      </c>
      <c r="P1028" s="3" t="str">
        <f t="shared" ca="1" si="100"/>
        <v>N/A</v>
      </c>
      <c r="Q1028" s="1" t="str">
        <f>IF(K1028=1,"Joined",IF(H1028&gt;=70,"Dropped at Offer",IF(H1028&gt;=50,"Dropped at Interview","Dropped at Screening")))</f>
        <v>Dropped at Interview</v>
      </c>
      <c r="R1028" s="1" t="str">
        <f t="shared" ca="1" si="101"/>
        <v>Feb-2024</v>
      </c>
    </row>
    <row r="1029" spans="1:18">
      <c r="A1029">
        <v>40</v>
      </c>
      <c r="B1029">
        <v>1</v>
      </c>
      <c r="C1029">
        <v>2</v>
      </c>
      <c r="D1029">
        <v>4</v>
      </c>
      <c r="E1029">
        <v>4</v>
      </c>
      <c r="F1029">
        <v>15.8447837134021</v>
      </c>
      <c r="G1029">
        <v>50</v>
      </c>
      <c r="H1029">
        <v>58</v>
      </c>
      <c r="I1029">
        <v>9</v>
      </c>
      <c r="J1029">
        <v>1</v>
      </c>
      <c r="K1029">
        <v>0</v>
      </c>
      <c r="L1029" s="2">
        <f t="shared" si="96"/>
        <v>45292</v>
      </c>
      <c r="M1029" s="2">
        <f t="shared" ca="1" si="97"/>
        <v>45308</v>
      </c>
      <c r="N1029" s="2" t="str">
        <f t="shared" ca="1" si="98"/>
        <v>N/A</v>
      </c>
      <c r="O1029" s="3">
        <f t="shared" ca="1" si="99"/>
        <v>16</v>
      </c>
      <c r="P1029" s="3" t="str">
        <f t="shared" ca="1" si="100"/>
        <v>N/A</v>
      </c>
      <c r="Q1029" s="1" t="str">
        <f>IF(K1029=1,"Joined",IF(H1029&gt;=70,"Dropped at Offer",IF(H1029&gt;=50,"Dropped at Interview","Dropped at Screening")))</f>
        <v>Dropped at Interview</v>
      </c>
      <c r="R1029" s="1" t="str">
        <f t="shared" ca="1" si="101"/>
        <v>Jan-2024</v>
      </c>
    </row>
    <row r="1030" spans="1:18">
      <c r="A1030">
        <v>24</v>
      </c>
      <c r="B1030">
        <v>0</v>
      </c>
      <c r="C1030">
        <v>1</v>
      </c>
      <c r="D1030">
        <v>9</v>
      </c>
      <c r="E1030">
        <v>1</v>
      </c>
      <c r="F1030">
        <v>1.0313758314228001</v>
      </c>
      <c r="G1030">
        <v>57</v>
      </c>
      <c r="H1030">
        <v>6</v>
      </c>
      <c r="I1030">
        <v>50</v>
      </c>
      <c r="J1030">
        <v>1</v>
      </c>
      <c r="K1030">
        <v>0</v>
      </c>
      <c r="L1030" s="2">
        <f t="shared" si="96"/>
        <v>45292</v>
      </c>
      <c r="M1030" s="2">
        <f t="shared" ca="1" si="97"/>
        <v>45331</v>
      </c>
      <c r="N1030" s="2" t="str">
        <f t="shared" ca="1" si="98"/>
        <v>N/A</v>
      </c>
      <c r="O1030" s="3">
        <f t="shared" ca="1" si="99"/>
        <v>39</v>
      </c>
      <c r="P1030" s="3" t="str">
        <f t="shared" ca="1" si="100"/>
        <v>N/A</v>
      </c>
      <c r="Q1030" s="1" t="str">
        <f>IF(K1030=1,"Joined",IF(H1030&gt;=70,"Dropped at Offer",IF(H1030&gt;=50,"Dropped at Interview","Dropped at Screening")))</f>
        <v>Dropped at Screening</v>
      </c>
      <c r="R1030" s="1" t="str">
        <f t="shared" ca="1" si="101"/>
        <v>Feb-2024</v>
      </c>
    </row>
    <row r="1031" spans="1:18">
      <c r="A1031">
        <v>29</v>
      </c>
      <c r="B1031">
        <v>1</v>
      </c>
      <c r="C1031">
        <v>1</v>
      </c>
      <c r="D1031">
        <v>5</v>
      </c>
      <c r="E1031">
        <v>4</v>
      </c>
      <c r="F1031">
        <v>49.154706544890097</v>
      </c>
      <c r="G1031">
        <v>89</v>
      </c>
      <c r="H1031">
        <v>48</v>
      </c>
      <c r="I1031">
        <v>18</v>
      </c>
      <c r="J1031">
        <v>2</v>
      </c>
      <c r="K1031">
        <v>0</v>
      </c>
      <c r="L1031" s="2">
        <f t="shared" si="96"/>
        <v>45292</v>
      </c>
      <c r="M1031" s="2">
        <f t="shared" ca="1" si="97"/>
        <v>45337</v>
      </c>
      <c r="N1031" s="2" t="str">
        <f t="shared" ca="1" si="98"/>
        <v>N/A</v>
      </c>
      <c r="O1031" s="3">
        <f t="shared" ca="1" si="99"/>
        <v>45</v>
      </c>
      <c r="P1031" s="3" t="str">
        <f t="shared" ca="1" si="100"/>
        <v>N/A</v>
      </c>
      <c r="Q1031" s="1" t="str">
        <f>IF(K1031=1,"Joined",IF(H1031&gt;=70,"Dropped at Offer",IF(H1031&gt;=50,"Dropped at Interview","Dropped at Screening")))</f>
        <v>Dropped at Screening</v>
      </c>
      <c r="R1031" s="1" t="str">
        <f t="shared" ca="1" si="101"/>
        <v>Feb-2024</v>
      </c>
    </row>
    <row r="1032" spans="1:18">
      <c r="A1032">
        <v>29</v>
      </c>
      <c r="B1032">
        <v>1</v>
      </c>
      <c r="C1032">
        <v>3</v>
      </c>
      <c r="D1032">
        <v>3</v>
      </c>
      <c r="E1032">
        <v>3</v>
      </c>
      <c r="F1032">
        <v>46.8772447298172</v>
      </c>
      <c r="G1032">
        <v>93</v>
      </c>
      <c r="H1032">
        <v>15</v>
      </c>
      <c r="I1032">
        <v>50</v>
      </c>
      <c r="J1032">
        <v>2</v>
      </c>
      <c r="K1032">
        <v>0</v>
      </c>
      <c r="L1032" s="2">
        <f t="shared" si="96"/>
        <v>45292</v>
      </c>
      <c r="M1032" s="2">
        <f t="shared" ca="1" si="97"/>
        <v>45313</v>
      </c>
      <c r="N1032" s="2" t="str">
        <f t="shared" ca="1" si="98"/>
        <v>N/A</v>
      </c>
      <c r="O1032" s="3">
        <f t="shared" ca="1" si="99"/>
        <v>21</v>
      </c>
      <c r="P1032" s="3" t="str">
        <f t="shared" ca="1" si="100"/>
        <v>N/A</v>
      </c>
      <c r="Q1032" s="1" t="str">
        <f>IF(K1032=1,"Joined",IF(H1032&gt;=70,"Dropped at Offer",IF(H1032&gt;=50,"Dropped at Interview","Dropped at Screening")))</f>
        <v>Dropped at Screening</v>
      </c>
      <c r="R1032" s="1" t="str">
        <f t="shared" ca="1" si="101"/>
        <v>Jan-2024</v>
      </c>
    </row>
    <row r="1033" spans="1:18">
      <c r="A1033">
        <v>38</v>
      </c>
      <c r="B1033">
        <v>0</v>
      </c>
      <c r="C1033">
        <v>2</v>
      </c>
      <c r="D1033">
        <v>14</v>
      </c>
      <c r="E1033">
        <v>1</v>
      </c>
      <c r="F1033">
        <v>39.228413187971498</v>
      </c>
      <c r="G1033">
        <v>32</v>
      </c>
      <c r="H1033">
        <v>16</v>
      </c>
      <c r="I1033">
        <v>91</v>
      </c>
      <c r="J1033">
        <v>1</v>
      </c>
      <c r="K1033">
        <v>1</v>
      </c>
      <c r="L1033" s="2">
        <f t="shared" si="96"/>
        <v>45292</v>
      </c>
      <c r="M1033" s="2">
        <f t="shared" ca="1" si="97"/>
        <v>45315</v>
      </c>
      <c r="N1033" s="2">
        <f t="shared" ca="1" si="98"/>
        <v>45341</v>
      </c>
      <c r="O1033" s="3">
        <f t="shared" ca="1" si="99"/>
        <v>23</v>
      </c>
      <c r="P1033" s="3">
        <f t="shared" ca="1" si="100"/>
        <v>26</v>
      </c>
      <c r="Q1033" s="1" t="str">
        <f>IF(K1033=1,"Joined",IF(H1033&gt;=70,"Dropped at Offer",IF(H1033&gt;=50,"Dropped at Interview","Dropped at Screening")))</f>
        <v>Joined</v>
      </c>
      <c r="R1033" s="1" t="str">
        <f t="shared" ca="1" si="101"/>
        <v>Jan-2024</v>
      </c>
    </row>
    <row r="1034" spans="1:18">
      <c r="A1034">
        <v>36</v>
      </c>
      <c r="B1034">
        <v>1</v>
      </c>
      <c r="C1034">
        <v>1</v>
      </c>
      <c r="D1034">
        <v>1</v>
      </c>
      <c r="E1034">
        <v>3</v>
      </c>
      <c r="F1034">
        <v>4.9538010488323998</v>
      </c>
      <c r="G1034">
        <v>15</v>
      </c>
      <c r="H1034">
        <v>83</v>
      </c>
      <c r="I1034">
        <v>86</v>
      </c>
      <c r="J1034">
        <v>1</v>
      </c>
      <c r="K1034">
        <v>1</v>
      </c>
      <c r="L1034" s="2">
        <f t="shared" si="96"/>
        <v>45292</v>
      </c>
      <c r="M1034" s="2">
        <f t="shared" ca="1" si="97"/>
        <v>45316</v>
      </c>
      <c r="N1034" s="2">
        <f t="shared" ca="1" si="98"/>
        <v>45323</v>
      </c>
      <c r="O1034" s="3">
        <f t="shared" ca="1" si="99"/>
        <v>24</v>
      </c>
      <c r="P1034" s="3">
        <f t="shared" ca="1" si="100"/>
        <v>7</v>
      </c>
      <c r="Q1034" s="1" t="str">
        <f>IF(K1034=1,"Joined",IF(H1034&gt;=70,"Dropped at Offer",IF(H1034&gt;=50,"Dropped at Interview","Dropped at Screening")))</f>
        <v>Joined</v>
      </c>
      <c r="R1034" s="1" t="str">
        <f t="shared" ca="1" si="101"/>
        <v>Jan-2024</v>
      </c>
    </row>
    <row r="1035" spans="1:18">
      <c r="A1035">
        <v>40</v>
      </c>
      <c r="B1035">
        <v>1</v>
      </c>
      <c r="C1035">
        <v>3</v>
      </c>
      <c r="D1035">
        <v>15</v>
      </c>
      <c r="E1035">
        <v>4</v>
      </c>
      <c r="F1035">
        <v>23.375144484975401</v>
      </c>
      <c r="G1035">
        <v>21</v>
      </c>
      <c r="H1035">
        <v>86</v>
      </c>
      <c r="I1035">
        <v>67</v>
      </c>
      <c r="J1035">
        <v>2</v>
      </c>
      <c r="K1035">
        <v>1</v>
      </c>
      <c r="L1035" s="2">
        <f t="shared" si="96"/>
        <v>45292</v>
      </c>
      <c r="M1035" s="2">
        <f t="shared" ca="1" si="97"/>
        <v>45315</v>
      </c>
      <c r="N1035" s="2">
        <f t="shared" ca="1" si="98"/>
        <v>45342</v>
      </c>
      <c r="O1035" s="3">
        <f t="shared" ca="1" si="99"/>
        <v>23</v>
      </c>
      <c r="P1035" s="3">
        <f t="shared" ca="1" si="100"/>
        <v>27</v>
      </c>
      <c r="Q1035" s="1" t="str">
        <f>IF(K1035=1,"Joined",IF(H1035&gt;=70,"Dropped at Offer",IF(H1035&gt;=50,"Dropped at Interview","Dropped at Screening")))</f>
        <v>Joined</v>
      </c>
      <c r="R1035" s="1" t="str">
        <f t="shared" ca="1" si="101"/>
        <v>Jan-2024</v>
      </c>
    </row>
    <row r="1036" spans="1:18">
      <c r="A1036">
        <v>33</v>
      </c>
      <c r="B1036">
        <v>1</v>
      </c>
      <c r="C1036">
        <v>2</v>
      </c>
      <c r="D1036">
        <v>5</v>
      </c>
      <c r="E1036">
        <v>3</v>
      </c>
      <c r="F1036">
        <v>6.0945876985776399</v>
      </c>
      <c r="G1036">
        <v>56</v>
      </c>
      <c r="H1036">
        <v>97</v>
      </c>
      <c r="I1036">
        <v>83</v>
      </c>
      <c r="J1036">
        <v>2</v>
      </c>
      <c r="K1036">
        <v>0</v>
      </c>
      <c r="L1036" s="2">
        <f t="shared" si="96"/>
        <v>45292</v>
      </c>
      <c r="M1036" s="2">
        <f t="shared" ca="1" si="97"/>
        <v>45317</v>
      </c>
      <c r="N1036" s="2" t="str">
        <f t="shared" ca="1" si="98"/>
        <v>N/A</v>
      </c>
      <c r="O1036" s="3">
        <f t="shared" ca="1" si="99"/>
        <v>25</v>
      </c>
      <c r="P1036" s="3" t="str">
        <f t="shared" ca="1" si="100"/>
        <v>N/A</v>
      </c>
      <c r="Q1036" s="1" t="str">
        <f>IF(K1036=1,"Joined",IF(H1036&gt;=70,"Dropped at Offer",IF(H1036&gt;=50,"Dropped at Interview","Dropped at Screening")))</f>
        <v>Dropped at Offer</v>
      </c>
      <c r="R1036" s="1" t="str">
        <f t="shared" ca="1" si="101"/>
        <v>Jan-2024</v>
      </c>
    </row>
    <row r="1037" spans="1:18">
      <c r="A1037">
        <v>28</v>
      </c>
      <c r="B1037">
        <v>1</v>
      </c>
      <c r="C1037">
        <v>2</v>
      </c>
      <c r="D1037">
        <v>14</v>
      </c>
      <c r="E1037">
        <v>1</v>
      </c>
      <c r="F1037">
        <v>1.79601336313993</v>
      </c>
      <c r="G1037">
        <v>61</v>
      </c>
      <c r="H1037">
        <v>74</v>
      </c>
      <c r="I1037">
        <v>82</v>
      </c>
      <c r="J1037">
        <v>2</v>
      </c>
      <c r="K1037">
        <v>0</v>
      </c>
      <c r="L1037" s="2">
        <f t="shared" si="96"/>
        <v>45292</v>
      </c>
      <c r="M1037" s="2">
        <f t="shared" ca="1" si="97"/>
        <v>45311</v>
      </c>
      <c r="N1037" s="2" t="str">
        <f t="shared" ca="1" si="98"/>
        <v>N/A</v>
      </c>
      <c r="O1037" s="3">
        <f t="shared" ca="1" si="99"/>
        <v>19</v>
      </c>
      <c r="P1037" s="3" t="str">
        <f t="shared" ca="1" si="100"/>
        <v>N/A</v>
      </c>
      <c r="Q1037" s="1" t="str">
        <f>IF(K1037=1,"Joined",IF(H1037&gt;=70,"Dropped at Offer",IF(H1037&gt;=50,"Dropped at Interview","Dropped at Screening")))</f>
        <v>Dropped at Offer</v>
      </c>
      <c r="R1037" s="1" t="str">
        <f t="shared" ca="1" si="101"/>
        <v>Jan-2024</v>
      </c>
    </row>
    <row r="1038" spans="1:18">
      <c r="A1038">
        <v>33</v>
      </c>
      <c r="B1038">
        <v>0</v>
      </c>
      <c r="C1038">
        <v>1</v>
      </c>
      <c r="D1038">
        <v>7</v>
      </c>
      <c r="E1038">
        <v>1</v>
      </c>
      <c r="F1038">
        <v>31.809148260629801</v>
      </c>
      <c r="G1038">
        <v>81</v>
      </c>
      <c r="H1038">
        <v>33</v>
      </c>
      <c r="I1038">
        <v>41</v>
      </c>
      <c r="J1038">
        <v>2</v>
      </c>
      <c r="K1038">
        <v>0</v>
      </c>
      <c r="L1038" s="2">
        <f t="shared" si="96"/>
        <v>45292</v>
      </c>
      <c r="M1038" s="2">
        <f t="shared" ca="1" si="97"/>
        <v>45334</v>
      </c>
      <c r="N1038" s="2" t="str">
        <f t="shared" ca="1" si="98"/>
        <v>N/A</v>
      </c>
      <c r="O1038" s="3">
        <f t="shared" ca="1" si="99"/>
        <v>42</v>
      </c>
      <c r="P1038" s="3" t="str">
        <f t="shared" ca="1" si="100"/>
        <v>N/A</v>
      </c>
      <c r="Q1038" s="1" t="str">
        <f>IF(K1038=1,"Joined",IF(H1038&gt;=70,"Dropped at Offer",IF(H1038&gt;=50,"Dropped at Interview","Dropped at Screening")))</f>
        <v>Dropped at Screening</v>
      </c>
      <c r="R1038" s="1" t="str">
        <f t="shared" ca="1" si="101"/>
        <v>Feb-2024</v>
      </c>
    </row>
    <row r="1039" spans="1:18">
      <c r="A1039">
        <v>20</v>
      </c>
      <c r="B1039">
        <v>1</v>
      </c>
      <c r="C1039">
        <v>3</v>
      </c>
      <c r="D1039">
        <v>14</v>
      </c>
      <c r="E1039">
        <v>3</v>
      </c>
      <c r="F1039">
        <v>49.041470854009397</v>
      </c>
      <c r="G1039">
        <v>70</v>
      </c>
      <c r="H1039">
        <v>32</v>
      </c>
      <c r="I1039">
        <v>90</v>
      </c>
      <c r="J1039">
        <v>2</v>
      </c>
      <c r="K1039">
        <v>0</v>
      </c>
      <c r="L1039" s="2">
        <f t="shared" si="96"/>
        <v>45292</v>
      </c>
      <c r="M1039" s="2">
        <f t="shared" ca="1" si="97"/>
        <v>45330</v>
      </c>
      <c r="N1039" s="2" t="str">
        <f t="shared" ca="1" si="98"/>
        <v>N/A</v>
      </c>
      <c r="O1039" s="3">
        <f t="shared" ca="1" si="99"/>
        <v>38</v>
      </c>
      <c r="P1039" s="3" t="str">
        <f t="shared" ca="1" si="100"/>
        <v>N/A</v>
      </c>
      <c r="Q1039" s="1" t="str">
        <f>IF(K1039=1,"Joined",IF(H1039&gt;=70,"Dropped at Offer",IF(H1039&gt;=50,"Dropped at Interview","Dropped at Screening")))</f>
        <v>Dropped at Screening</v>
      </c>
      <c r="R1039" s="1" t="str">
        <f t="shared" ca="1" si="101"/>
        <v>Feb-2024</v>
      </c>
    </row>
    <row r="1040" spans="1:18">
      <c r="A1040">
        <v>38</v>
      </c>
      <c r="B1040">
        <v>1</v>
      </c>
      <c r="C1040">
        <v>2</v>
      </c>
      <c r="D1040">
        <v>7</v>
      </c>
      <c r="E1040">
        <v>2</v>
      </c>
      <c r="F1040">
        <v>46.143401171607501</v>
      </c>
      <c r="G1040">
        <v>89</v>
      </c>
      <c r="H1040">
        <v>25</v>
      </c>
      <c r="I1040">
        <v>56</v>
      </c>
      <c r="J1040">
        <v>2</v>
      </c>
      <c r="K1040">
        <v>0</v>
      </c>
      <c r="L1040" s="2">
        <f t="shared" si="96"/>
        <v>45292</v>
      </c>
      <c r="M1040" s="2">
        <f t="shared" ca="1" si="97"/>
        <v>45321</v>
      </c>
      <c r="N1040" s="2" t="str">
        <f t="shared" ca="1" si="98"/>
        <v>N/A</v>
      </c>
      <c r="O1040" s="3">
        <f t="shared" ca="1" si="99"/>
        <v>29</v>
      </c>
      <c r="P1040" s="3" t="str">
        <f t="shared" ca="1" si="100"/>
        <v>N/A</v>
      </c>
      <c r="Q1040" s="1" t="str">
        <f>IF(K1040=1,"Joined",IF(H1040&gt;=70,"Dropped at Offer",IF(H1040&gt;=50,"Dropped at Interview","Dropped at Screening")))</f>
        <v>Dropped at Screening</v>
      </c>
      <c r="R1040" s="1" t="str">
        <f t="shared" ca="1" si="101"/>
        <v>Jan-2024</v>
      </c>
    </row>
    <row r="1041" spans="1:18">
      <c r="A1041">
        <v>32</v>
      </c>
      <c r="B1041">
        <v>0</v>
      </c>
      <c r="C1041">
        <v>2</v>
      </c>
      <c r="D1041">
        <v>6</v>
      </c>
      <c r="E1041">
        <v>4</v>
      </c>
      <c r="F1041">
        <v>35.837740746770201</v>
      </c>
      <c r="G1041">
        <v>71</v>
      </c>
      <c r="H1041">
        <v>65</v>
      </c>
      <c r="I1041">
        <v>97</v>
      </c>
      <c r="J1041">
        <v>1</v>
      </c>
      <c r="K1041">
        <v>1</v>
      </c>
      <c r="L1041" s="2">
        <f t="shared" si="96"/>
        <v>45292</v>
      </c>
      <c r="M1041" s="2">
        <f t="shared" ca="1" si="97"/>
        <v>45311</v>
      </c>
      <c r="N1041" s="2">
        <f t="shared" ca="1" si="98"/>
        <v>45327</v>
      </c>
      <c r="O1041" s="3">
        <f t="shared" ca="1" si="99"/>
        <v>19</v>
      </c>
      <c r="P1041" s="3">
        <f t="shared" ca="1" si="100"/>
        <v>16</v>
      </c>
      <c r="Q1041" s="1" t="str">
        <f>IF(K1041=1,"Joined",IF(H1041&gt;=70,"Dropped at Offer",IF(H1041&gt;=50,"Dropped at Interview","Dropped at Screening")))</f>
        <v>Joined</v>
      </c>
      <c r="R1041" s="1" t="str">
        <f t="shared" ca="1" si="101"/>
        <v>Jan-2024</v>
      </c>
    </row>
    <row r="1042" spans="1:18">
      <c r="A1042">
        <v>32</v>
      </c>
      <c r="B1042">
        <v>1</v>
      </c>
      <c r="C1042">
        <v>3</v>
      </c>
      <c r="D1042">
        <v>5</v>
      </c>
      <c r="E1042">
        <v>4</v>
      </c>
      <c r="F1042">
        <v>5.8320292082435703</v>
      </c>
      <c r="G1042">
        <v>69</v>
      </c>
      <c r="H1042">
        <v>62</v>
      </c>
      <c r="I1042">
        <v>67</v>
      </c>
      <c r="J1042">
        <v>2</v>
      </c>
      <c r="K1042">
        <v>0</v>
      </c>
      <c r="L1042" s="2">
        <f t="shared" si="96"/>
        <v>45292</v>
      </c>
      <c r="M1042" s="2">
        <f t="shared" ca="1" si="97"/>
        <v>45319</v>
      </c>
      <c r="N1042" s="2" t="str">
        <f t="shared" ca="1" si="98"/>
        <v>N/A</v>
      </c>
      <c r="O1042" s="3">
        <f t="shared" ca="1" si="99"/>
        <v>27</v>
      </c>
      <c r="P1042" s="3" t="str">
        <f t="shared" ca="1" si="100"/>
        <v>N/A</v>
      </c>
      <c r="Q1042" s="1" t="str">
        <f>IF(K1042=1,"Joined",IF(H1042&gt;=70,"Dropped at Offer",IF(H1042&gt;=50,"Dropped at Interview","Dropped at Screening")))</f>
        <v>Dropped at Interview</v>
      </c>
      <c r="R1042" s="1" t="str">
        <f t="shared" ca="1" si="101"/>
        <v>Jan-2024</v>
      </c>
    </row>
    <row r="1043" spans="1:18">
      <c r="A1043">
        <v>23</v>
      </c>
      <c r="B1043">
        <v>0</v>
      </c>
      <c r="C1043">
        <v>2</v>
      </c>
      <c r="D1043">
        <v>1</v>
      </c>
      <c r="E1043">
        <v>3</v>
      </c>
      <c r="F1043">
        <v>14.708201883615001</v>
      </c>
      <c r="G1043">
        <v>29</v>
      </c>
      <c r="H1043">
        <v>86</v>
      </c>
      <c r="I1043">
        <v>37</v>
      </c>
      <c r="J1043">
        <v>2</v>
      </c>
      <c r="K1043">
        <v>0</v>
      </c>
      <c r="L1043" s="2">
        <f t="shared" si="96"/>
        <v>45292</v>
      </c>
      <c r="M1043" s="2">
        <f t="shared" ca="1" si="97"/>
        <v>45315</v>
      </c>
      <c r="N1043" s="2" t="str">
        <f t="shared" ca="1" si="98"/>
        <v>N/A</v>
      </c>
      <c r="O1043" s="3">
        <f t="shared" ca="1" si="99"/>
        <v>23</v>
      </c>
      <c r="P1043" s="3" t="str">
        <f t="shared" ca="1" si="100"/>
        <v>N/A</v>
      </c>
      <c r="Q1043" s="1" t="str">
        <f>IF(K1043=1,"Joined",IF(H1043&gt;=70,"Dropped at Offer",IF(H1043&gt;=50,"Dropped at Interview","Dropped at Screening")))</f>
        <v>Dropped at Offer</v>
      </c>
      <c r="R1043" s="1" t="str">
        <f t="shared" ca="1" si="101"/>
        <v>Jan-2024</v>
      </c>
    </row>
    <row r="1044" spans="1:18">
      <c r="A1044">
        <v>49</v>
      </c>
      <c r="B1044">
        <v>1</v>
      </c>
      <c r="C1044">
        <v>2</v>
      </c>
      <c r="D1044">
        <v>14</v>
      </c>
      <c r="E1044">
        <v>2</v>
      </c>
      <c r="F1044">
        <v>17.002836344264502</v>
      </c>
      <c r="G1044">
        <v>22</v>
      </c>
      <c r="H1044">
        <v>40</v>
      </c>
      <c r="I1044">
        <v>61</v>
      </c>
      <c r="J1044">
        <v>1</v>
      </c>
      <c r="K1044">
        <v>1</v>
      </c>
      <c r="L1044" s="2">
        <f t="shared" si="96"/>
        <v>45292</v>
      </c>
      <c r="M1044" s="2">
        <f t="shared" ca="1" si="97"/>
        <v>45316</v>
      </c>
      <c r="N1044" s="2">
        <f t="shared" ca="1" si="98"/>
        <v>45340</v>
      </c>
      <c r="O1044" s="3">
        <f t="shared" ca="1" si="99"/>
        <v>24</v>
      </c>
      <c r="P1044" s="3">
        <f t="shared" ca="1" si="100"/>
        <v>24</v>
      </c>
      <c r="Q1044" s="1" t="str">
        <f>IF(K1044=1,"Joined",IF(H1044&gt;=70,"Dropped at Offer",IF(H1044&gt;=50,"Dropped at Interview","Dropped at Screening")))</f>
        <v>Joined</v>
      </c>
      <c r="R1044" s="1" t="str">
        <f t="shared" ca="1" si="101"/>
        <v>Jan-2024</v>
      </c>
    </row>
    <row r="1045" spans="1:18">
      <c r="A1045">
        <v>20</v>
      </c>
      <c r="B1045">
        <v>0</v>
      </c>
      <c r="C1045">
        <v>1</v>
      </c>
      <c r="D1045">
        <v>6</v>
      </c>
      <c r="E1045">
        <v>1</v>
      </c>
      <c r="F1045">
        <v>39.157502887278</v>
      </c>
      <c r="G1045">
        <v>31</v>
      </c>
      <c r="H1045">
        <v>85</v>
      </c>
      <c r="I1045">
        <v>6</v>
      </c>
      <c r="J1045">
        <v>2</v>
      </c>
      <c r="K1045">
        <v>0</v>
      </c>
      <c r="L1045" s="2">
        <f t="shared" si="96"/>
        <v>45292</v>
      </c>
      <c r="M1045" s="2">
        <f t="shared" ca="1" si="97"/>
        <v>45307</v>
      </c>
      <c r="N1045" s="2" t="str">
        <f t="shared" ca="1" si="98"/>
        <v>N/A</v>
      </c>
      <c r="O1045" s="3">
        <f t="shared" ca="1" si="99"/>
        <v>15</v>
      </c>
      <c r="P1045" s="3" t="str">
        <f t="shared" ca="1" si="100"/>
        <v>N/A</v>
      </c>
      <c r="Q1045" s="1" t="str">
        <f>IF(K1045=1,"Joined",IF(H1045&gt;=70,"Dropped at Offer",IF(H1045&gt;=50,"Dropped at Interview","Dropped at Screening")))</f>
        <v>Dropped at Offer</v>
      </c>
      <c r="R1045" s="1" t="str">
        <f t="shared" ca="1" si="101"/>
        <v>Jan-2024</v>
      </c>
    </row>
    <row r="1046" spans="1:18">
      <c r="A1046">
        <v>36</v>
      </c>
      <c r="B1046">
        <v>0</v>
      </c>
      <c r="C1046">
        <v>2</v>
      </c>
      <c r="D1046">
        <v>10</v>
      </c>
      <c r="E1046">
        <v>5</v>
      </c>
      <c r="F1046">
        <v>41.112458961755699</v>
      </c>
      <c r="G1046">
        <v>85</v>
      </c>
      <c r="H1046">
        <v>57</v>
      </c>
      <c r="I1046">
        <v>70</v>
      </c>
      <c r="J1046">
        <v>2</v>
      </c>
      <c r="K1046">
        <v>1</v>
      </c>
      <c r="L1046" s="2">
        <f t="shared" si="96"/>
        <v>45292</v>
      </c>
      <c r="M1046" s="2">
        <f t="shared" ca="1" si="97"/>
        <v>45306</v>
      </c>
      <c r="N1046" s="2">
        <f t="shared" ca="1" si="98"/>
        <v>45323</v>
      </c>
      <c r="O1046" s="3">
        <f t="shared" ca="1" si="99"/>
        <v>14</v>
      </c>
      <c r="P1046" s="3">
        <f t="shared" ca="1" si="100"/>
        <v>17</v>
      </c>
      <c r="Q1046" s="1" t="str">
        <f>IF(K1046=1,"Joined",IF(H1046&gt;=70,"Dropped at Offer",IF(H1046&gt;=50,"Dropped at Interview","Dropped at Screening")))</f>
        <v>Joined</v>
      </c>
      <c r="R1046" s="1" t="str">
        <f t="shared" ca="1" si="101"/>
        <v>Jan-2024</v>
      </c>
    </row>
    <row r="1047" spans="1:18">
      <c r="A1047">
        <v>27</v>
      </c>
      <c r="B1047">
        <v>0</v>
      </c>
      <c r="C1047">
        <v>1</v>
      </c>
      <c r="D1047">
        <v>11</v>
      </c>
      <c r="E1047">
        <v>5</v>
      </c>
      <c r="F1047">
        <v>20.255306149496001</v>
      </c>
      <c r="G1047">
        <v>56</v>
      </c>
      <c r="H1047">
        <v>97</v>
      </c>
      <c r="I1047">
        <v>49</v>
      </c>
      <c r="J1047">
        <v>2</v>
      </c>
      <c r="K1047">
        <v>0</v>
      </c>
      <c r="L1047" s="2">
        <f t="shared" si="96"/>
        <v>45292</v>
      </c>
      <c r="M1047" s="2">
        <f t="shared" ca="1" si="97"/>
        <v>45309</v>
      </c>
      <c r="N1047" s="2" t="str">
        <f t="shared" ca="1" si="98"/>
        <v>N/A</v>
      </c>
      <c r="O1047" s="3">
        <f t="shared" ca="1" si="99"/>
        <v>17</v>
      </c>
      <c r="P1047" s="3" t="str">
        <f t="shared" ca="1" si="100"/>
        <v>N/A</v>
      </c>
      <c r="Q1047" s="1" t="str">
        <f>IF(K1047=1,"Joined",IF(H1047&gt;=70,"Dropped at Offer",IF(H1047&gt;=50,"Dropped at Interview","Dropped at Screening")))</f>
        <v>Dropped at Offer</v>
      </c>
      <c r="R1047" s="1" t="str">
        <f t="shared" ca="1" si="101"/>
        <v>Jan-2024</v>
      </c>
    </row>
    <row r="1048" spans="1:18">
      <c r="A1048">
        <v>21</v>
      </c>
      <c r="B1048">
        <v>0</v>
      </c>
      <c r="C1048">
        <v>2</v>
      </c>
      <c r="D1048">
        <v>13</v>
      </c>
      <c r="E1048">
        <v>3</v>
      </c>
      <c r="F1048">
        <v>21.8941998308804</v>
      </c>
      <c r="G1048">
        <v>8</v>
      </c>
      <c r="H1048">
        <v>78</v>
      </c>
      <c r="I1048">
        <v>51</v>
      </c>
      <c r="J1048">
        <v>2</v>
      </c>
      <c r="K1048">
        <v>0</v>
      </c>
      <c r="L1048" s="2">
        <f t="shared" si="96"/>
        <v>45292</v>
      </c>
      <c r="M1048" s="2">
        <f t="shared" ca="1" si="97"/>
        <v>45314</v>
      </c>
      <c r="N1048" s="2" t="str">
        <f t="shared" ca="1" si="98"/>
        <v>N/A</v>
      </c>
      <c r="O1048" s="3">
        <f t="shared" ca="1" si="99"/>
        <v>22</v>
      </c>
      <c r="P1048" s="3" t="str">
        <f t="shared" ca="1" si="100"/>
        <v>N/A</v>
      </c>
      <c r="Q1048" s="1" t="str">
        <f>IF(K1048=1,"Joined",IF(H1048&gt;=70,"Dropped at Offer",IF(H1048&gt;=50,"Dropped at Interview","Dropped at Screening")))</f>
        <v>Dropped at Offer</v>
      </c>
      <c r="R1048" s="1" t="str">
        <f t="shared" ca="1" si="101"/>
        <v>Jan-2024</v>
      </c>
    </row>
    <row r="1049" spans="1:18">
      <c r="A1049">
        <v>47</v>
      </c>
      <c r="B1049">
        <v>1</v>
      </c>
      <c r="C1049">
        <v>3</v>
      </c>
      <c r="D1049">
        <v>15</v>
      </c>
      <c r="E1049">
        <v>2</v>
      </c>
      <c r="F1049">
        <v>3.2254519638085601</v>
      </c>
      <c r="G1049">
        <v>30</v>
      </c>
      <c r="H1049">
        <v>9</v>
      </c>
      <c r="I1049">
        <v>25</v>
      </c>
      <c r="J1049">
        <v>2</v>
      </c>
      <c r="K1049">
        <v>0</v>
      </c>
      <c r="L1049" s="2">
        <f t="shared" si="96"/>
        <v>45292</v>
      </c>
      <c r="M1049" s="2">
        <f t="shared" ca="1" si="97"/>
        <v>45312</v>
      </c>
      <c r="N1049" s="2" t="str">
        <f t="shared" ca="1" si="98"/>
        <v>N/A</v>
      </c>
      <c r="O1049" s="3">
        <f t="shared" ca="1" si="99"/>
        <v>20</v>
      </c>
      <c r="P1049" s="3" t="str">
        <f t="shared" ca="1" si="100"/>
        <v>N/A</v>
      </c>
      <c r="Q1049" s="1" t="str">
        <f>IF(K1049=1,"Joined",IF(H1049&gt;=70,"Dropped at Offer",IF(H1049&gt;=50,"Dropped at Interview","Dropped at Screening")))</f>
        <v>Dropped at Screening</v>
      </c>
      <c r="R1049" s="1" t="str">
        <f t="shared" ca="1" si="101"/>
        <v>Jan-2024</v>
      </c>
    </row>
    <row r="1050" spans="1:18">
      <c r="A1050">
        <v>50</v>
      </c>
      <c r="B1050">
        <v>0</v>
      </c>
      <c r="C1050">
        <v>2</v>
      </c>
      <c r="D1050">
        <v>13</v>
      </c>
      <c r="E1050">
        <v>2</v>
      </c>
      <c r="F1050">
        <v>15.456835920938</v>
      </c>
      <c r="G1050">
        <v>70</v>
      </c>
      <c r="H1050">
        <v>14</v>
      </c>
      <c r="I1050">
        <v>25</v>
      </c>
      <c r="J1050">
        <v>2</v>
      </c>
      <c r="K1050">
        <v>0</v>
      </c>
      <c r="L1050" s="2">
        <f t="shared" si="96"/>
        <v>45292</v>
      </c>
      <c r="M1050" s="2">
        <f t="shared" ca="1" si="97"/>
        <v>45313</v>
      </c>
      <c r="N1050" s="2" t="str">
        <f t="shared" ca="1" si="98"/>
        <v>N/A</v>
      </c>
      <c r="O1050" s="3">
        <f t="shared" ca="1" si="99"/>
        <v>21</v>
      </c>
      <c r="P1050" s="3" t="str">
        <f t="shared" ca="1" si="100"/>
        <v>N/A</v>
      </c>
      <c r="Q1050" s="1" t="str">
        <f>IF(K1050=1,"Joined",IF(H1050&gt;=70,"Dropped at Offer",IF(H1050&gt;=50,"Dropped at Interview","Dropped at Screening")))</f>
        <v>Dropped at Screening</v>
      </c>
      <c r="R1050" s="1" t="str">
        <f t="shared" ca="1" si="101"/>
        <v>Jan-2024</v>
      </c>
    </row>
    <row r="1051" spans="1:18">
      <c r="A1051">
        <v>27</v>
      </c>
      <c r="B1051">
        <v>1</v>
      </c>
      <c r="C1051">
        <v>2</v>
      </c>
      <c r="D1051">
        <v>4</v>
      </c>
      <c r="E1051">
        <v>4</v>
      </c>
      <c r="F1051">
        <v>23.5642588588819</v>
      </c>
      <c r="G1051">
        <v>8</v>
      </c>
      <c r="H1051">
        <v>41</v>
      </c>
      <c r="I1051">
        <v>18</v>
      </c>
      <c r="J1051">
        <v>3</v>
      </c>
      <c r="K1051">
        <v>0</v>
      </c>
      <c r="L1051" s="2">
        <f t="shared" si="96"/>
        <v>45292</v>
      </c>
      <c r="M1051" s="2">
        <f t="shared" ca="1" si="97"/>
        <v>45329</v>
      </c>
      <c r="N1051" s="2" t="str">
        <f t="shared" ca="1" si="98"/>
        <v>N/A</v>
      </c>
      <c r="O1051" s="3">
        <f t="shared" ca="1" si="99"/>
        <v>37</v>
      </c>
      <c r="P1051" s="3" t="str">
        <f t="shared" ca="1" si="100"/>
        <v>N/A</v>
      </c>
      <c r="Q1051" s="1" t="str">
        <f>IF(K1051=1,"Joined",IF(H1051&gt;=70,"Dropped at Offer",IF(H1051&gt;=50,"Dropped at Interview","Dropped at Screening")))</f>
        <v>Dropped at Screening</v>
      </c>
      <c r="R1051" s="1" t="str">
        <f t="shared" ca="1" si="101"/>
        <v>Feb-2024</v>
      </c>
    </row>
    <row r="1052" spans="1:18">
      <c r="A1052">
        <v>26</v>
      </c>
      <c r="B1052">
        <v>0</v>
      </c>
      <c r="C1052">
        <v>1</v>
      </c>
      <c r="D1052">
        <v>15</v>
      </c>
      <c r="E1052">
        <v>1</v>
      </c>
      <c r="F1052">
        <v>6.8491523192628696</v>
      </c>
      <c r="G1052">
        <v>12</v>
      </c>
      <c r="H1052">
        <v>92</v>
      </c>
      <c r="I1052">
        <v>8</v>
      </c>
      <c r="J1052">
        <v>1</v>
      </c>
      <c r="K1052">
        <v>1</v>
      </c>
      <c r="L1052" s="2">
        <f t="shared" si="96"/>
        <v>45292</v>
      </c>
      <c r="M1052" s="2">
        <f t="shared" ca="1" si="97"/>
        <v>45334</v>
      </c>
      <c r="N1052" s="2">
        <f t="shared" ca="1" si="98"/>
        <v>45358</v>
      </c>
      <c r="O1052" s="3">
        <f t="shared" ca="1" si="99"/>
        <v>42</v>
      </c>
      <c r="P1052" s="3">
        <f t="shared" ca="1" si="100"/>
        <v>24</v>
      </c>
      <c r="Q1052" s="1" t="str">
        <f>IF(K1052=1,"Joined",IF(H1052&gt;=70,"Dropped at Offer",IF(H1052&gt;=50,"Dropped at Interview","Dropped at Screening")))</f>
        <v>Joined</v>
      </c>
      <c r="R1052" s="1" t="str">
        <f t="shared" ca="1" si="101"/>
        <v>Feb-2024</v>
      </c>
    </row>
    <row r="1053" spans="1:18">
      <c r="A1053">
        <v>45</v>
      </c>
      <c r="B1053">
        <v>0</v>
      </c>
      <c r="C1053">
        <v>2</v>
      </c>
      <c r="D1053">
        <v>5</v>
      </c>
      <c r="E1053">
        <v>2</v>
      </c>
      <c r="F1053">
        <v>23.663373037751001</v>
      </c>
      <c r="G1053">
        <v>57</v>
      </c>
      <c r="H1053">
        <v>56</v>
      </c>
      <c r="I1053">
        <v>60</v>
      </c>
      <c r="J1053">
        <v>3</v>
      </c>
      <c r="K1053">
        <v>0</v>
      </c>
      <c r="L1053" s="2">
        <f t="shared" si="96"/>
        <v>45292</v>
      </c>
      <c r="M1053" s="2">
        <f t="shared" ca="1" si="97"/>
        <v>45319</v>
      </c>
      <c r="N1053" s="2" t="str">
        <f t="shared" ca="1" si="98"/>
        <v>N/A</v>
      </c>
      <c r="O1053" s="3">
        <f t="shared" ca="1" si="99"/>
        <v>27</v>
      </c>
      <c r="P1053" s="3" t="str">
        <f t="shared" ca="1" si="100"/>
        <v>N/A</v>
      </c>
      <c r="Q1053" s="1" t="str">
        <f>IF(K1053=1,"Joined",IF(H1053&gt;=70,"Dropped at Offer",IF(H1053&gt;=50,"Dropped at Interview","Dropped at Screening")))</f>
        <v>Dropped at Interview</v>
      </c>
      <c r="R1053" s="1" t="str">
        <f t="shared" ca="1" si="101"/>
        <v>Jan-2024</v>
      </c>
    </row>
    <row r="1054" spans="1:18">
      <c r="A1054">
        <v>45</v>
      </c>
      <c r="B1054">
        <v>0</v>
      </c>
      <c r="C1054">
        <v>2</v>
      </c>
      <c r="D1054">
        <v>9</v>
      </c>
      <c r="E1054">
        <v>5</v>
      </c>
      <c r="F1054">
        <v>43.658790612890002</v>
      </c>
      <c r="G1054">
        <v>2</v>
      </c>
      <c r="H1054">
        <v>86</v>
      </c>
      <c r="I1054">
        <v>19</v>
      </c>
      <c r="J1054">
        <v>2</v>
      </c>
      <c r="K1054">
        <v>0</v>
      </c>
      <c r="L1054" s="2">
        <f t="shared" si="96"/>
        <v>45292</v>
      </c>
      <c r="M1054" s="2">
        <f t="shared" ca="1" si="97"/>
        <v>45336</v>
      </c>
      <c r="N1054" s="2" t="str">
        <f t="shared" ca="1" si="98"/>
        <v>N/A</v>
      </c>
      <c r="O1054" s="3">
        <f t="shared" ca="1" si="99"/>
        <v>44</v>
      </c>
      <c r="P1054" s="3" t="str">
        <f t="shared" ca="1" si="100"/>
        <v>N/A</v>
      </c>
      <c r="Q1054" s="1" t="str">
        <f>IF(K1054=1,"Joined",IF(H1054&gt;=70,"Dropped at Offer",IF(H1054&gt;=50,"Dropped at Interview","Dropped at Screening")))</f>
        <v>Dropped at Offer</v>
      </c>
      <c r="R1054" s="1" t="str">
        <f t="shared" ca="1" si="101"/>
        <v>Feb-2024</v>
      </c>
    </row>
    <row r="1055" spans="1:18">
      <c r="A1055">
        <v>21</v>
      </c>
      <c r="B1055">
        <v>1</v>
      </c>
      <c r="C1055">
        <v>3</v>
      </c>
      <c r="D1055">
        <v>7</v>
      </c>
      <c r="E1055">
        <v>1</v>
      </c>
      <c r="F1055">
        <v>30.066050986252598</v>
      </c>
      <c r="G1055">
        <v>34</v>
      </c>
      <c r="H1055">
        <v>16</v>
      </c>
      <c r="I1055">
        <v>49</v>
      </c>
      <c r="J1055">
        <v>1</v>
      </c>
      <c r="K1055">
        <v>1</v>
      </c>
      <c r="L1055" s="2">
        <f t="shared" si="96"/>
        <v>45292</v>
      </c>
      <c r="M1055" s="2">
        <f t="shared" ca="1" si="97"/>
        <v>45310</v>
      </c>
      <c r="N1055" s="2">
        <f t="shared" ca="1" si="98"/>
        <v>45331</v>
      </c>
      <c r="O1055" s="3">
        <f t="shared" ca="1" si="99"/>
        <v>18</v>
      </c>
      <c r="P1055" s="3">
        <f t="shared" ca="1" si="100"/>
        <v>21</v>
      </c>
      <c r="Q1055" s="1" t="str">
        <f>IF(K1055=1,"Joined",IF(H1055&gt;=70,"Dropped at Offer",IF(H1055&gt;=50,"Dropped at Interview","Dropped at Screening")))</f>
        <v>Joined</v>
      </c>
      <c r="R1055" s="1" t="str">
        <f t="shared" ca="1" si="101"/>
        <v>Jan-2024</v>
      </c>
    </row>
    <row r="1056" spans="1:18">
      <c r="A1056">
        <v>41</v>
      </c>
      <c r="B1056">
        <v>0</v>
      </c>
      <c r="C1056">
        <v>1</v>
      </c>
      <c r="D1056">
        <v>15</v>
      </c>
      <c r="E1056">
        <v>1</v>
      </c>
      <c r="F1056">
        <v>4.9464927519206103</v>
      </c>
      <c r="G1056">
        <v>96</v>
      </c>
      <c r="H1056">
        <v>59</v>
      </c>
      <c r="I1056">
        <v>79</v>
      </c>
      <c r="J1056">
        <v>1</v>
      </c>
      <c r="K1056">
        <v>1</v>
      </c>
      <c r="L1056" s="2">
        <f t="shared" si="96"/>
        <v>45292</v>
      </c>
      <c r="M1056" s="2">
        <f t="shared" ca="1" si="97"/>
        <v>45323</v>
      </c>
      <c r="N1056" s="2">
        <f t="shared" ca="1" si="98"/>
        <v>45343</v>
      </c>
      <c r="O1056" s="3">
        <f t="shared" ca="1" si="99"/>
        <v>31</v>
      </c>
      <c r="P1056" s="3">
        <f t="shared" ca="1" si="100"/>
        <v>20</v>
      </c>
      <c r="Q1056" s="1" t="str">
        <f>IF(K1056=1,"Joined",IF(H1056&gt;=70,"Dropped at Offer",IF(H1056&gt;=50,"Dropped at Interview","Dropped at Screening")))</f>
        <v>Joined</v>
      </c>
      <c r="R1056" s="1" t="str">
        <f t="shared" ca="1" si="101"/>
        <v>Feb-2024</v>
      </c>
    </row>
    <row r="1057" spans="1:18">
      <c r="A1057">
        <v>41</v>
      </c>
      <c r="B1057">
        <v>1</v>
      </c>
      <c r="C1057">
        <v>3</v>
      </c>
      <c r="D1057">
        <v>13</v>
      </c>
      <c r="E1057">
        <v>3</v>
      </c>
      <c r="F1057">
        <v>10.583565941513699</v>
      </c>
      <c r="G1057">
        <v>20</v>
      </c>
      <c r="H1057">
        <v>8</v>
      </c>
      <c r="I1057">
        <v>80</v>
      </c>
      <c r="J1057">
        <v>2</v>
      </c>
      <c r="K1057">
        <v>0</v>
      </c>
      <c r="L1057" s="2">
        <f t="shared" si="96"/>
        <v>45292</v>
      </c>
      <c r="M1057" s="2">
        <f t="shared" ca="1" si="97"/>
        <v>45327</v>
      </c>
      <c r="N1057" s="2" t="str">
        <f t="shared" ca="1" si="98"/>
        <v>N/A</v>
      </c>
      <c r="O1057" s="3">
        <f t="shared" ca="1" si="99"/>
        <v>35</v>
      </c>
      <c r="P1057" s="3" t="str">
        <f t="shared" ca="1" si="100"/>
        <v>N/A</v>
      </c>
      <c r="Q1057" s="1" t="str">
        <f>IF(K1057=1,"Joined",IF(H1057&gt;=70,"Dropped at Offer",IF(H1057&gt;=50,"Dropped at Interview","Dropped at Screening")))</f>
        <v>Dropped at Screening</v>
      </c>
      <c r="R1057" s="1" t="str">
        <f t="shared" ca="1" si="101"/>
        <v>Feb-2024</v>
      </c>
    </row>
    <row r="1058" spans="1:18">
      <c r="A1058">
        <v>22</v>
      </c>
      <c r="B1058">
        <v>1</v>
      </c>
      <c r="C1058">
        <v>3</v>
      </c>
      <c r="D1058">
        <v>7</v>
      </c>
      <c r="E1058">
        <v>2</v>
      </c>
      <c r="F1058">
        <v>24.727217507927801</v>
      </c>
      <c r="G1058">
        <v>63</v>
      </c>
      <c r="H1058">
        <v>35</v>
      </c>
      <c r="I1058">
        <v>21</v>
      </c>
      <c r="J1058">
        <v>2</v>
      </c>
      <c r="K1058">
        <v>0</v>
      </c>
      <c r="L1058" s="2">
        <f t="shared" si="96"/>
        <v>45292</v>
      </c>
      <c r="M1058" s="2">
        <f t="shared" ca="1" si="97"/>
        <v>45311</v>
      </c>
      <c r="N1058" s="2" t="str">
        <f t="shared" ca="1" si="98"/>
        <v>N/A</v>
      </c>
      <c r="O1058" s="3">
        <f t="shared" ca="1" si="99"/>
        <v>19</v>
      </c>
      <c r="P1058" s="3" t="str">
        <f t="shared" ca="1" si="100"/>
        <v>N/A</v>
      </c>
      <c r="Q1058" s="1" t="str">
        <f>IF(K1058=1,"Joined",IF(H1058&gt;=70,"Dropped at Offer",IF(H1058&gt;=50,"Dropped at Interview","Dropped at Screening")))</f>
        <v>Dropped at Screening</v>
      </c>
      <c r="R1058" s="1" t="str">
        <f t="shared" ca="1" si="101"/>
        <v>Jan-2024</v>
      </c>
    </row>
    <row r="1059" spans="1:18">
      <c r="A1059">
        <v>46</v>
      </c>
      <c r="B1059">
        <v>1</v>
      </c>
      <c r="C1059">
        <v>2</v>
      </c>
      <c r="D1059">
        <v>2</v>
      </c>
      <c r="E1059">
        <v>3</v>
      </c>
      <c r="F1059">
        <v>19.074357491090598</v>
      </c>
      <c r="G1059">
        <v>94</v>
      </c>
      <c r="H1059">
        <v>72</v>
      </c>
      <c r="I1059">
        <v>12</v>
      </c>
      <c r="J1059">
        <v>1</v>
      </c>
      <c r="K1059">
        <v>1</v>
      </c>
      <c r="L1059" s="2">
        <f t="shared" si="96"/>
        <v>45292</v>
      </c>
      <c r="M1059" s="2">
        <f t="shared" ca="1" si="97"/>
        <v>45325</v>
      </c>
      <c r="N1059" s="2">
        <f t="shared" ca="1" si="98"/>
        <v>45343</v>
      </c>
      <c r="O1059" s="3">
        <f t="shared" ca="1" si="99"/>
        <v>33</v>
      </c>
      <c r="P1059" s="3">
        <f t="shared" ca="1" si="100"/>
        <v>18</v>
      </c>
      <c r="Q1059" s="1" t="str">
        <f>IF(K1059=1,"Joined",IF(H1059&gt;=70,"Dropped at Offer",IF(H1059&gt;=50,"Dropped at Interview","Dropped at Screening")))</f>
        <v>Joined</v>
      </c>
      <c r="R1059" s="1" t="str">
        <f t="shared" ca="1" si="101"/>
        <v>Feb-2024</v>
      </c>
    </row>
    <row r="1060" spans="1:18">
      <c r="A1060">
        <v>37</v>
      </c>
      <c r="B1060">
        <v>1</v>
      </c>
      <c r="C1060">
        <v>3</v>
      </c>
      <c r="D1060">
        <v>11</v>
      </c>
      <c r="E1060">
        <v>2</v>
      </c>
      <c r="F1060">
        <v>18.936350977304901</v>
      </c>
      <c r="G1060">
        <v>51</v>
      </c>
      <c r="H1060">
        <v>79</v>
      </c>
      <c r="I1060">
        <v>11</v>
      </c>
      <c r="J1060">
        <v>1</v>
      </c>
      <c r="K1060">
        <v>1</v>
      </c>
      <c r="L1060" s="2">
        <f t="shared" si="96"/>
        <v>45292</v>
      </c>
      <c r="M1060" s="2">
        <f t="shared" ca="1" si="97"/>
        <v>45321</v>
      </c>
      <c r="N1060" s="2">
        <f t="shared" ca="1" si="98"/>
        <v>45328</v>
      </c>
      <c r="O1060" s="3">
        <f t="shared" ca="1" si="99"/>
        <v>29</v>
      </c>
      <c r="P1060" s="3">
        <f t="shared" ca="1" si="100"/>
        <v>7</v>
      </c>
      <c r="Q1060" s="1" t="str">
        <f>IF(K1060=1,"Joined",IF(H1060&gt;=70,"Dropped at Offer",IF(H1060&gt;=50,"Dropped at Interview","Dropped at Screening")))</f>
        <v>Joined</v>
      </c>
      <c r="R1060" s="1" t="str">
        <f t="shared" ca="1" si="101"/>
        <v>Jan-2024</v>
      </c>
    </row>
    <row r="1061" spans="1:18">
      <c r="A1061">
        <v>31</v>
      </c>
      <c r="B1061">
        <v>1</v>
      </c>
      <c r="C1061">
        <v>2</v>
      </c>
      <c r="D1061">
        <v>15</v>
      </c>
      <c r="E1061">
        <v>4</v>
      </c>
      <c r="F1061">
        <v>27.463372407179499</v>
      </c>
      <c r="G1061">
        <v>33</v>
      </c>
      <c r="H1061">
        <v>35</v>
      </c>
      <c r="I1061">
        <v>9</v>
      </c>
      <c r="J1061">
        <v>2</v>
      </c>
      <c r="K1061">
        <v>0</v>
      </c>
      <c r="L1061" s="2">
        <f t="shared" si="96"/>
        <v>45292</v>
      </c>
      <c r="M1061" s="2">
        <f t="shared" ca="1" si="97"/>
        <v>45337</v>
      </c>
      <c r="N1061" s="2" t="str">
        <f t="shared" ca="1" si="98"/>
        <v>N/A</v>
      </c>
      <c r="O1061" s="3">
        <f t="shared" ca="1" si="99"/>
        <v>45</v>
      </c>
      <c r="P1061" s="3" t="str">
        <f t="shared" ca="1" si="100"/>
        <v>N/A</v>
      </c>
      <c r="Q1061" s="1" t="str">
        <f>IF(K1061=1,"Joined",IF(H1061&gt;=70,"Dropped at Offer",IF(H1061&gt;=50,"Dropped at Interview","Dropped at Screening")))</f>
        <v>Dropped at Screening</v>
      </c>
      <c r="R1061" s="1" t="str">
        <f t="shared" ca="1" si="101"/>
        <v>Feb-2024</v>
      </c>
    </row>
    <row r="1062" spans="1:18">
      <c r="A1062">
        <v>20</v>
      </c>
      <c r="B1062">
        <v>1</v>
      </c>
      <c r="C1062">
        <v>2</v>
      </c>
      <c r="D1062">
        <v>11</v>
      </c>
      <c r="E1062">
        <v>3</v>
      </c>
      <c r="F1062">
        <v>30.2197960794728</v>
      </c>
      <c r="G1062">
        <v>95</v>
      </c>
      <c r="H1062">
        <v>47</v>
      </c>
      <c r="I1062">
        <v>64</v>
      </c>
      <c r="J1062">
        <v>1</v>
      </c>
      <c r="K1062">
        <v>1</v>
      </c>
      <c r="L1062" s="2">
        <f t="shared" si="96"/>
        <v>45292</v>
      </c>
      <c r="M1062" s="2">
        <f t="shared" ca="1" si="97"/>
        <v>45317</v>
      </c>
      <c r="N1062" s="2">
        <f t="shared" ca="1" si="98"/>
        <v>45332</v>
      </c>
      <c r="O1062" s="3">
        <f t="shared" ca="1" si="99"/>
        <v>25</v>
      </c>
      <c r="P1062" s="3">
        <f t="shared" ca="1" si="100"/>
        <v>15</v>
      </c>
      <c r="Q1062" s="1" t="str">
        <f>IF(K1062=1,"Joined",IF(H1062&gt;=70,"Dropped at Offer",IF(H1062&gt;=50,"Dropped at Interview","Dropped at Screening")))</f>
        <v>Joined</v>
      </c>
      <c r="R1062" s="1" t="str">
        <f t="shared" ca="1" si="101"/>
        <v>Jan-2024</v>
      </c>
    </row>
    <row r="1063" spans="1:18">
      <c r="A1063">
        <v>41</v>
      </c>
      <c r="B1063">
        <v>1</v>
      </c>
      <c r="C1063">
        <v>2</v>
      </c>
      <c r="D1063">
        <v>13</v>
      </c>
      <c r="E1063">
        <v>3</v>
      </c>
      <c r="F1063">
        <v>40.843078513809502</v>
      </c>
      <c r="G1063">
        <v>34</v>
      </c>
      <c r="H1063">
        <v>50</v>
      </c>
      <c r="I1063">
        <v>95</v>
      </c>
      <c r="J1063">
        <v>3</v>
      </c>
      <c r="K1063">
        <v>0</v>
      </c>
      <c r="L1063" s="2">
        <f t="shared" si="96"/>
        <v>45292</v>
      </c>
      <c r="M1063" s="2">
        <f t="shared" ca="1" si="97"/>
        <v>45312</v>
      </c>
      <c r="N1063" s="2" t="str">
        <f t="shared" ca="1" si="98"/>
        <v>N/A</v>
      </c>
      <c r="O1063" s="3">
        <f t="shared" ca="1" si="99"/>
        <v>20</v>
      </c>
      <c r="P1063" s="3" t="str">
        <f t="shared" ca="1" si="100"/>
        <v>N/A</v>
      </c>
      <c r="Q1063" s="1" t="str">
        <f>IF(K1063=1,"Joined",IF(H1063&gt;=70,"Dropped at Offer",IF(H1063&gt;=50,"Dropped at Interview","Dropped at Screening")))</f>
        <v>Dropped at Interview</v>
      </c>
      <c r="R1063" s="1" t="str">
        <f t="shared" ca="1" si="101"/>
        <v>Jan-2024</v>
      </c>
    </row>
    <row r="1064" spans="1:18">
      <c r="A1064">
        <v>31</v>
      </c>
      <c r="B1064">
        <v>1</v>
      </c>
      <c r="C1064">
        <v>2</v>
      </c>
      <c r="D1064">
        <v>6</v>
      </c>
      <c r="E1064">
        <v>5</v>
      </c>
      <c r="F1064">
        <v>18.048328173124201</v>
      </c>
      <c r="G1064">
        <v>14</v>
      </c>
      <c r="H1064">
        <v>96</v>
      </c>
      <c r="I1064">
        <v>29</v>
      </c>
      <c r="J1064">
        <v>2</v>
      </c>
      <c r="K1064">
        <v>0</v>
      </c>
      <c r="L1064" s="2">
        <f t="shared" si="96"/>
        <v>45292</v>
      </c>
      <c r="M1064" s="2">
        <f t="shared" ca="1" si="97"/>
        <v>45306</v>
      </c>
      <c r="N1064" s="2" t="str">
        <f t="shared" ca="1" si="98"/>
        <v>N/A</v>
      </c>
      <c r="O1064" s="3">
        <f t="shared" ca="1" si="99"/>
        <v>14</v>
      </c>
      <c r="P1064" s="3" t="str">
        <f t="shared" ca="1" si="100"/>
        <v>N/A</v>
      </c>
      <c r="Q1064" s="1" t="str">
        <f>IF(K1064=1,"Joined",IF(H1064&gt;=70,"Dropped at Offer",IF(H1064&gt;=50,"Dropped at Interview","Dropped at Screening")))</f>
        <v>Dropped at Offer</v>
      </c>
      <c r="R1064" s="1" t="str">
        <f t="shared" ca="1" si="101"/>
        <v>Jan-2024</v>
      </c>
    </row>
    <row r="1065" spans="1:18">
      <c r="A1065">
        <v>24</v>
      </c>
      <c r="B1065">
        <v>1</v>
      </c>
      <c r="C1065">
        <v>2</v>
      </c>
      <c r="D1065">
        <v>0</v>
      </c>
      <c r="E1065">
        <v>3</v>
      </c>
      <c r="F1065">
        <v>41.2733141520293</v>
      </c>
      <c r="G1065">
        <v>95</v>
      </c>
      <c r="H1065">
        <v>94</v>
      </c>
      <c r="I1065">
        <v>7</v>
      </c>
      <c r="J1065">
        <v>2</v>
      </c>
      <c r="K1065">
        <v>0</v>
      </c>
      <c r="L1065" s="2">
        <f t="shared" si="96"/>
        <v>45292</v>
      </c>
      <c r="M1065" s="2">
        <f t="shared" ca="1" si="97"/>
        <v>45317</v>
      </c>
      <c r="N1065" s="2" t="str">
        <f t="shared" ca="1" si="98"/>
        <v>N/A</v>
      </c>
      <c r="O1065" s="3">
        <f t="shared" ca="1" si="99"/>
        <v>25</v>
      </c>
      <c r="P1065" s="3" t="str">
        <f t="shared" ca="1" si="100"/>
        <v>N/A</v>
      </c>
      <c r="Q1065" s="1" t="str">
        <f>IF(K1065=1,"Joined",IF(H1065&gt;=70,"Dropped at Offer",IF(H1065&gt;=50,"Dropped at Interview","Dropped at Screening")))</f>
        <v>Dropped at Offer</v>
      </c>
      <c r="R1065" s="1" t="str">
        <f t="shared" ca="1" si="101"/>
        <v>Jan-2024</v>
      </c>
    </row>
    <row r="1066" spans="1:18">
      <c r="A1066">
        <v>49</v>
      </c>
      <c r="B1066">
        <v>0</v>
      </c>
      <c r="C1066">
        <v>2</v>
      </c>
      <c r="D1066">
        <v>0</v>
      </c>
      <c r="E1066">
        <v>2</v>
      </c>
      <c r="F1066">
        <v>17.930561455631601</v>
      </c>
      <c r="G1066">
        <v>5</v>
      </c>
      <c r="H1066">
        <v>69</v>
      </c>
      <c r="I1066">
        <v>20</v>
      </c>
      <c r="J1066">
        <v>2</v>
      </c>
      <c r="K1066">
        <v>0</v>
      </c>
      <c r="L1066" s="2">
        <f t="shared" si="96"/>
        <v>45292</v>
      </c>
      <c r="M1066" s="2">
        <f t="shared" ca="1" si="97"/>
        <v>45331</v>
      </c>
      <c r="N1066" s="2" t="str">
        <f t="shared" ca="1" si="98"/>
        <v>N/A</v>
      </c>
      <c r="O1066" s="3">
        <f t="shared" ca="1" si="99"/>
        <v>39</v>
      </c>
      <c r="P1066" s="3" t="str">
        <f t="shared" ca="1" si="100"/>
        <v>N/A</v>
      </c>
      <c r="Q1066" s="1" t="str">
        <f>IF(K1066=1,"Joined",IF(H1066&gt;=70,"Dropped at Offer",IF(H1066&gt;=50,"Dropped at Interview","Dropped at Screening")))</f>
        <v>Dropped at Interview</v>
      </c>
      <c r="R1066" s="1" t="str">
        <f t="shared" ca="1" si="101"/>
        <v>Feb-2024</v>
      </c>
    </row>
    <row r="1067" spans="1:18">
      <c r="A1067">
        <v>49</v>
      </c>
      <c r="B1067">
        <v>0</v>
      </c>
      <c r="C1067">
        <v>2</v>
      </c>
      <c r="D1067">
        <v>6</v>
      </c>
      <c r="E1067">
        <v>5</v>
      </c>
      <c r="F1067">
        <v>3.7716494470616899</v>
      </c>
      <c r="G1067">
        <v>84</v>
      </c>
      <c r="H1067">
        <v>73</v>
      </c>
      <c r="I1067">
        <v>21</v>
      </c>
      <c r="J1067">
        <v>1</v>
      </c>
      <c r="K1067">
        <v>1</v>
      </c>
      <c r="L1067" s="2">
        <f t="shared" si="96"/>
        <v>45292</v>
      </c>
      <c r="M1067" s="2">
        <f t="shared" ca="1" si="97"/>
        <v>45333</v>
      </c>
      <c r="N1067" s="2">
        <f t="shared" ca="1" si="98"/>
        <v>45363</v>
      </c>
      <c r="O1067" s="3">
        <f t="shared" ca="1" si="99"/>
        <v>41</v>
      </c>
      <c r="P1067" s="3">
        <f t="shared" ca="1" si="100"/>
        <v>30</v>
      </c>
      <c r="Q1067" s="1" t="str">
        <f>IF(K1067=1,"Joined",IF(H1067&gt;=70,"Dropped at Offer",IF(H1067&gt;=50,"Dropped at Interview","Dropped at Screening")))</f>
        <v>Joined</v>
      </c>
      <c r="R1067" s="1" t="str">
        <f t="shared" ca="1" si="101"/>
        <v>Feb-2024</v>
      </c>
    </row>
    <row r="1068" spans="1:18">
      <c r="A1068">
        <v>46</v>
      </c>
      <c r="B1068">
        <v>0</v>
      </c>
      <c r="C1068">
        <v>2</v>
      </c>
      <c r="D1068">
        <v>14</v>
      </c>
      <c r="E1068">
        <v>3</v>
      </c>
      <c r="F1068">
        <v>28.7093825502395</v>
      </c>
      <c r="G1068">
        <v>96</v>
      </c>
      <c r="H1068">
        <v>79</v>
      </c>
      <c r="I1068">
        <v>17</v>
      </c>
      <c r="J1068">
        <v>3</v>
      </c>
      <c r="K1068">
        <v>0</v>
      </c>
      <c r="L1068" s="2">
        <f t="shared" si="96"/>
        <v>45292</v>
      </c>
      <c r="M1068" s="2">
        <f t="shared" ca="1" si="97"/>
        <v>45318</v>
      </c>
      <c r="N1068" s="2" t="str">
        <f t="shared" ca="1" si="98"/>
        <v>N/A</v>
      </c>
      <c r="O1068" s="3">
        <f t="shared" ca="1" si="99"/>
        <v>26</v>
      </c>
      <c r="P1068" s="3" t="str">
        <f t="shared" ca="1" si="100"/>
        <v>N/A</v>
      </c>
      <c r="Q1068" s="1" t="str">
        <f>IF(K1068=1,"Joined",IF(H1068&gt;=70,"Dropped at Offer",IF(H1068&gt;=50,"Dropped at Interview","Dropped at Screening")))</f>
        <v>Dropped at Offer</v>
      </c>
      <c r="R1068" s="1" t="str">
        <f t="shared" ca="1" si="101"/>
        <v>Jan-2024</v>
      </c>
    </row>
    <row r="1069" spans="1:18">
      <c r="A1069">
        <v>44</v>
      </c>
      <c r="B1069">
        <v>0</v>
      </c>
      <c r="C1069">
        <v>1</v>
      </c>
      <c r="D1069">
        <v>14</v>
      </c>
      <c r="E1069">
        <v>3</v>
      </c>
      <c r="F1069">
        <v>30.395116244740699</v>
      </c>
      <c r="G1069">
        <v>31</v>
      </c>
      <c r="H1069">
        <v>67</v>
      </c>
      <c r="I1069">
        <v>65</v>
      </c>
      <c r="J1069">
        <v>1</v>
      </c>
      <c r="K1069">
        <v>1</v>
      </c>
      <c r="L1069" s="2">
        <f t="shared" si="96"/>
        <v>45292</v>
      </c>
      <c r="M1069" s="2">
        <f t="shared" ca="1" si="97"/>
        <v>45318</v>
      </c>
      <c r="N1069" s="2">
        <f t="shared" ca="1" si="98"/>
        <v>45345</v>
      </c>
      <c r="O1069" s="3">
        <f t="shared" ca="1" si="99"/>
        <v>26</v>
      </c>
      <c r="P1069" s="3">
        <f t="shared" ca="1" si="100"/>
        <v>27</v>
      </c>
      <c r="Q1069" s="1" t="str">
        <f>IF(K1069=1,"Joined",IF(H1069&gt;=70,"Dropped at Offer",IF(H1069&gt;=50,"Dropped at Interview","Dropped at Screening")))</f>
        <v>Joined</v>
      </c>
      <c r="R1069" s="1" t="str">
        <f t="shared" ca="1" si="101"/>
        <v>Jan-2024</v>
      </c>
    </row>
    <row r="1070" spans="1:18">
      <c r="A1070">
        <v>36</v>
      </c>
      <c r="B1070">
        <v>0</v>
      </c>
      <c r="C1070">
        <v>4</v>
      </c>
      <c r="D1070">
        <v>9</v>
      </c>
      <c r="E1070">
        <v>4</v>
      </c>
      <c r="F1070">
        <v>47.727012281093003</v>
      </c>
      <c r="G1070">
        <v>51</v>
      </c>
      <c r="H1070">
        <v>21</v>
      </c>
      <c r="I1070">
        <v>47</v>
      </c>
      <c r="J1070">
        <v>2</v>
      </c>
      <c r="K1070">
        <v>0</v>
      </c>
      <c r="L1070" s="2">
        <f t="shared" si="96"/>
        <v>45292</v>
      </c>
      <c r="M1070" s="2">
        <f t="shared" ca="1" si="97"/>
        <v>45313</v>
      </c>
      <c r="N1070" s="2" t="str">
        <f t="shared" ca="1" si="98"/>
        <v>N/A</v>
      </c>
      <c r="O1070" s="3">
        <f t="shared" ca="1" si="99"/>
        <v>21</v>
      </c>
      <c r="P1070" s="3" t="str">
        <f t="shared" ca="1" si="100"/>
        <v>N/A</v>
      </c>
      <c r="Q1070" s="1" t="str">
        <f>IF(K1070=1,"Joined",IF(H1070&gt;=70,"Dropped at Offer",IF(H1070&gt;=50,"Dropped at Interview","Dropped at Screening")))</f>
        <v>Dropped at Screening</v>
      </c>
      <c r="R1070" s="1" t="str">
        <f t="shared" ca="1" si="101"/>
        <v>Jan-2024</v>
      </c>
    </row>
    <row r="1071" spans="1:18">
      <c r="A1071">
        <v>35</v>
      </c>
      <c r="B1071">
        <v>1</v>
      </c>
      <c r="C1071">
        <v>3</v>
      </c>
      <c r="D1071">
        <v>8</v>
      </c>
      <c r="E1071">
        <v>3</v>
      </c>
      <c r="F1071">
        <v>37.3030663031237</v>
      </c>
      <c r="G1071">
        <v>82</v>
      </c>
      <c r="H1071">
        <v>76</v>
      </c>
      <c r="I1071">
        <v>43</v>
      </c>
      <c r="J1071">
        <v>2</v>
      </c>
      <c r="K1071">
        <v>1</v>
      </c>
      <c r="L1071" s="2">
        <f t="shared" si="96"/>
        <v>45292</v>
      </c>
      <c r="M1071" s="2">
        <f t="shared" ca="1" si="97"/>
        <v>45317</v>
      </c>
      <c r="N1071" s="2">
        <f t="shared" ca="1" si="98"/>
        <v>45346</v>
      </c>
      <c r="O1071" s="3">
        <f t="shared" ca="1" si="99"/>
        <v>25</v>
      </c>
      <c r="P1071" s="3">
        <f t="shared" ca="1" si="100"/>
        <v>29</v>
      </c>
      <c r="Q1071" s="1" t="str">
        <f>IF(K1071=1,"Joined",IF(H1071&gt;=70,"Dropped at Offer",IF(H1071&gt;=50,"Dropped at Interview","Dropped at Screening")))</f>
        <v>Joined</v>
      </c>
      <c r="R1071" s="1" t="str">
        <f t="shared" ca="1" si="101"/>
        <v>Jan-2024</v>
      </c>
    </row>
    <row r="1072" spans="1:18">
      <c r="A1072">
        <v>50</v>
      </c>
      <c r="B1072">
        <v>1</v>
      </c>
      <c r="C1072">
        <v>2</v>
      </c>
      <c r="D1072">
        <v>6</v>
      </c>
      <c r="E1072">
        <v>1</v>
      </c>
      <c r="F1072">
        <v>46.8886326247219</v>
      </c>
      <c r="G1072">
        <v>96</v>
      </c>
      <c r="H1072">
        <v>79</v>
      </c>
      <c r="I1072">
        <v>8</v>
      </c>
      <c r="J1072">
        <v>1</v>
      </c>
      <c r="K1072">
        <v>1</v>
      </c>
      <c r="L1072" s="2">
        <f t="shared" si="96"/>
        <v>45292</v>
      </c>
      <c r="M1072" s="2">
        <f t="shared" ca="1" si="97"/>
        <v>45315</v>
      </c>
      <c r="N1072" s="2">
        <f t="shared" ca="1" si="98"/>
        <v>45324</v>
      </c>
      <c r="O1072" s="3">
        <f t="shared" ca="1" si="99"/>
        <v>23</v>
      </c>
      <c r="P1072" s="3">
        <f t="shared" ca="1" si="100"/>
        <v>9</v>
      </c>
      <c r="Q1072" s="1" t="str">
        <f>IF(K1072=1,"Joined",IF(H1072&gt;=70,"Dropped at Offer",IF(H1072&gt;=50,"Dropped at Interview","Dropped at Screening")))</f>
        <v>Joined</v>
      </c>
      <c r="R1072" s="1" t="str">
        <f t="shared" ca="1" si="101"/>
        <v>Jan-2024</v>
      </c>
    </row>
    <row r="1073" spans="1:18">
      <c r="A1073">
        <v>34</v>
      </c>
      <c r="B1073">
        <v>1</v>
      </c>
      <c r="C1073">
        <v>1</v>
      </c>
      <c r="D1073">
        <v>9</v>
      </c>
      <c r="E1073">
        <v>5</v>
      </c>
      <c r="F1073">
        <v>46.417360512150402</v>
      </c>
      <c r="G1073">
        <v>27</v>
      </c>
      <c r="H1073">
        <v>92</v>
      </c>
      <c r="I1073">
        <v>66</v>
      </c>
      <c r="J1073">
        <v>2</v>
      </c>
      <c r="K1073">
        <v>0</v>
      </c>
      <c r="L1073" s="2">
        <f t="shared" si="96"/>
        <v>45292</v>
      </c>
      <c r="M1073" s="2">
        <f t="shared" ca="1" si="97"/>
        <v>45309</v>
      </c>
      <c r="N1073" s="2" t="str">
        <f t="shared" ca="1" si="98"/>
        <v>N/A</v>
      </c>
      <c r="O1073" s="3">
        <f t="shared" ca="1" si="99"/>
        <v>17</v>
      </c>
      <c r="P1073" s="3" t="str">
        <f t="shared" ca="1" si="100"/>
        <v>N/A</v>
      </c>
      <c r="Q1073" s="1" t="str">
        <f>IF(K1073=1,"Joined",IF(H1073&gt;=70,"Dropped at Offer",IF(H1073&gt;=50,"Dropped at Interview","Dropped at Screening")))</f>
        <v>Dropped at Offer</v>
      </c>
      <c r="R1073" s="1" t="str">
        <f t="shared" ca="1" si="101"/>
        <v>Jan-2024</v>
      </c>
    </row>
    <row r="1074" spans="1:18">
      <c r="A1074">
        <v>42</v>
      </c>
      <c r="B1074">
        <v>1</v>
      </c>
      <c r="C1074">
        <v>3</v>
      </c>
      <c r="D1074">
        <v>4</v>
      </c>
      <c r="E1074">
        <v>1</v>
      </c>
      <c r="F1074">
        <v>31.2287055129121</v>
      </c>
      <c r="G1074">
        <v>94</v>
      </c>
      <c r="H1074">
        <v>5</v>
      </c>
      <c r="I1074">
        <v>53</v>
      </c>
      <c r="J1074">
        <v>3</v>
      </c>
      <c r="K1074">
        <v>0</v>
      </c>
      <c r="L1074" s="2">
        <f t="shared" si="96"/>
        <v>45292</v>
      </c>
      <c r="M1074" s="2">
        <f t="shared" ca="1" si="97"/>
        <v>45323</v>
      </c>
      <c r="N1074" s="2" t="str">
        <f t="shared" ca="1" si="98"/>
        <v>N/A</v>
      </c>
      <c r="O1074" s="3">
        <f t="shared" ca="1" si="99"/>
        <v>31</v>
      </c>
      <c r="P1074" s="3" t="str">
        <f t="shared" ca="1" si="100"/>
        <v>N/A</v>
      </c>
      <c r="Q1074" s="1" t="str">
        <f>IF(K1074=1,"Joined",IF(H1074&gt;=70,"Dropped at Offer",IF(H1074&gt;=50,"Dropped at Interview","Dropped at Screening")))</f>
        <v>Dropped at Screening</v>
      </c>
      <c r="R1074" s="1" t="str">
        <f t="shared" ca="1" si="101"/>
        <v>Feb-2024</v>
      </c>
    </row>
    <row r="1075" spans="1:18">
      <c r="A1075">
        <v>34</v>
      </c>
      <c r="B1075">
        <v>1</v>
      </c>
      <c r="C1075">
        <v>3</v>
      </c>
      <c r="D1075">
        <v>7</v>
      </c>
      <c r="E1075">
        <v>5</v>
      </c>
      <c r="F1075">
        <v>27.388103266822299</v>
      </c>
      <c r="G1075">
        <v>84</v>
      </c>
      <c r="H1075">
        <v>25</v>
      </c>
      <c r="I1075">
        <v>25</v>
      </c>
      <c r="J1075">
        <v>2</v>
      </c>
      <c r="K1075">
        <v>0</v>
      </c>
      <c r="L1075" s="2">
        <f t="shared" si="96"/>
        <v>45292</v>
      </c>
      <c r="M1075" s="2">
        <f t="shared" ca="1" si="97"/>
        <v>45326</v>
      </c>
      <c r="N1075" s="2" t="str">
        <f t="shared" ca="1" si="98"/>
        <v>N/A</v>
      </c>
      <c r="O1075" s="3">
        <f t="shared" ca="1" si="99"/>
        <v>34</v>
      </c>
      <c r="P1075" s="3" t="str">
        <f t="shared" ca="1" si="100"/>
        <v>N/A</v>
      </c>
      <c r="Q1075" s="1" t="str">
        <f>IF(K1075=1,"Joined",IF(H1075&gt;=70,"Dropped at Offer",IF(H1075&gt;=50,"Dropped at Interview","Dropped at Screening")))</f>
        <v>Dropped at Screening</v>
      </c>
      <c r="R1075" s="1" t="str">
        <f t="shared" ca="1" si="101"/>
        <v>Feb-2024</v>
      </c>
    </row>
    <row r="1076" spans="1:18">
      <c r="A1076">
        <v>24</v>
      </c>
      <c r="B1076">
        <v>1</v>
      </c>
      <c r="C1076">
        <v>3</v>
      </c>
      <c r="D1076">
        <v>1</v>
      </c>
      <c r="E1076">
        <v>4</v>
      </c>
      <c r="F1076">
        <v>28.872048358179899</v>
      </c>
      <c r="G1076">
        <v>97</v>
      </c>
      <c r="H1076">
        <v>74</v>
      </c>
      <c r="I1076">
        <v>84</v>
      </c>
      <c r="J1076">
        <v>3</v>
      </c>
      <c r="K1076">
        <v>1</v>
      </c>
      <c r="L1076" s="2">
        <f t="shared" si="96"/>
        <v>45292</v>
      </c>
      <c r="M1076" s="2">
        <f t="shared" ca="1" si="97"/>
        <v>45309</v>
      </c>
      <c r="N1076" s="2">
        <f t="shared" ca="1" si="98"/>
        <v>45323</v>
      </c>
      <c r="O1076" s="3">
        <f t="shared" ca="1" si="99"/>
        <v>17</v>
      </c>
      <c r="P1076" s="3">
        <f t="shared" ca="1" si="100"/>
        <v>14</v>
      </c>
      <c r="Q1076" s="1" t="str">
        <f>IF(K1076=1,"Joined",IF(H1076&gt;=70,"Dropped at Offer",IF(H1076&gt;=50,"Dropped at Interview","Dropped at Screening")))</f>
        <v>Joined</v>
      </c>
      <c r="R1076" s="1" t="str">
        <f t="shared" ca="1" si="101"/>
        <v>Jan-2024</v>
      </c>
    </row>
    <row r="1077" spans="1:18">
      <c r="A1077">
        <v>40</v>
      </c>
      <c r="B1077">
        <v>1</v>
      </c>
      <c r="C1077">
        <v>2</v>
      </c>
      <c r="D1077">
        <v>8</v>
      </c>
      <c r="E1077">
        <v>3</v>
      </c>
      <c r="F1077">
        <v>49.916540383862298</v>
      </c>
      <c r="G1077">
        <v>63</v>
      </c>
      <c r="H1077">
        <v>87</v>
      </c>
      <c r="I1077">
        <v>93</v>
      </c>
      <c r="J1077">
        <v>3</v>
      </c>
      <c r="K1077">
        <v>0</v>
      </c>
      <c r="L1077" s="2">
        <f t="shared" si="96"/>
        <v>45292</v>
      </c>
      <c r="M1077" s="2">
        <f t="shared" ca="1" si="97"/>
        <v>45325</v>
      </c>
      <c r="N1077" s="2" t="str">
        <f t="shared" ca="1" si="98"/>
        <v>N/A</v>
      </c>
      <c r="O1077" s="3">
        <f t="shared" ca="1" si="99"/>
        <v>33</v>
      </c>
      <c r="P1077" s="3" t="str">
        <f t="shared" ca="1" si="100"/>
        <v>N/A</v>
      </c>
      <c r="Q1077" s="1" t="str">
        <f>IF(K1077=1,"Joined",IF(H1077&gt;=70,"Dropped at Offer",IF(H1077&gt;=50,"Dropped at Interview","Dropped at Screening")))</f>
        <v>Dropped at Offer</v>
      </c>
      <c r="R1077" s="1" t="str">
        <f t="shared" ca="1" si="101"/>
        <v>Feb-2024</v>
      </c>
    </row>
    <row r="1078" spans="1:18">
      <c r="A1078">
        <v>33</v>
      </c>
      <c r="B1078">
        <v>0</v>
      </c>
      <c r="C1078">
        <v>2</v>
      </c>
      <c r="D1078">
        <v>5</v>
      </c>
      <c r="E1078">
        <v>3</v>
      </c>
      <c r="F1078">
        <v>39.658384587347904</v>
      </c>
      <c r="G1078">
        <v>78</v>
      </c>
      <c r="H1078">
        <v>92</v>
      </c>
      <c r="I1078">
        <v>91</v>
      </c>
      <c r="J1078">
        <v>2</v>
      </c>
      <c r="K1078">
        <v>0</v>
      </c>
      <c r="L1078" s="2">
        <f t="shared" si="96"/>
        <v>45292</v>
      </c>
      <c r="M1078" s="2">
        <f t="shared" ca="1" si="97"/>
        <v>45316</v>
      </c>
      <c r="N1078" s="2" t="str">
        <f t="shared" ca="1" si="98"/>
        <v>N/A</v>
      </c>
      <c r="O1078" s="3">
        <f t="shared" ca="1" si="99"/>
        <v>24</v>
      </c>
      <c r="P1078" s="3" t="str">
        <f t="shared" ca="1" si="100"/>
        <v>N/A</v>
      </c>
      <c r="Q1078" s="1" t="str">
        <f>IF(K1078=1,"Joined",IF(H1078&gt;=70,"Dropped at Offer",IF(H1078&gt;=50,"Dropped at Interview","Dropped at Screening")))</f>
        <v>Dropped at Offer</v>
      </c>
      <c r="R1078" s="1" t="str">
        <f t="shared" ca="1" si="101"/>
        <v>Jan-2024</v>
      </c>
    </row>
    <row r="1079" spans="1:18">
      <c r="A1079">
        <v>21</v>
      </c>
      <c r="B1079">
        <v>0</v>
      </c>
      <c r="C1079">
        <v>1</v>
      </c>
      <c r="D1079">
        <v>12</v>
      </c>
      <c r="E1079">
        <v>3</v>
      </c>
      <c r="F1079">
        <v>6.3132952396197899</v>
      </c>
      <c r="G1079">
        <v>77</v>
      </c>
      <c r="H1079">
        <v>2</v>
      </c>
      <c r="I1079">
        <v>99</v>
      </c>
      <c r="J1079">
        <v>2</v>
      </c>
      <c r="K1079">
        <v>0</v>
      </c>
      <c r="L1079" s="2">
        <f t="shared" si="96"/>
        <v>45292</v>
      </c>
      <c r="M1079" s="2">
        <f t="shared" ca="1" si="97"/>
        <v>45333</v>
      </c>
      <c r="N1079" s="2" t="str">
        <f t="shared" ca="1" si="98"/>
        <v>N/A</v>
      </c>
      <c r="O1079" s="3">
        <f t="shared" ca="1" si="99"/>
        <v>41</v>
      </c>
      <c r="P1079" s="3" t="str">
        <f t="shared" ca="1" si="100"/>
        <v>N/A</v>
      </c>
      <c r="Q1079" s="1" t="str">
        <f>IF(K1079=1,"Joined",IF(H1079&gt;=70,"Dropped at Offer",IF(H1079&gt;=50,"Dropped at Interview","Dropped at Screening")))</f>
        <v>Dropped at Screening</v>
      </c>
      <c r="R1079" s="1" t="str">
        <f t="shared" ca="1" si="101"/>
        <v>Feb-2024</v>
      </c>
    </row>
    <row r="1080" spans="1:18">
      <c r="A1080">
        <v>30</v>
      </c>
      <c r="B1080">
        <v>0</v>
      </c>
      <c r="C1080">
        <v>1</v>
      </c>
      <c r="D1080">
        <v>8</v>
      </c>
      <c r="E1080">
        <v>5</v>
      </c>
      <c r="F1080">
        <v>39.921420339069897</v>
      </c>
      <c r="G1080">
        <v>18</v>
      </c>
      <c r="H1080">
        <v>51</v>
      </c>
      <c r="I1080">
        <v>25</v>
      </c>
      <c r="J1080">
        <v>2</v>
      </c>
      <c r="K1080">
        <v>0</v>
      </c>
      <c r="L1080" s="2">
        <f t="shared" si="96"/>
        <v>45292</v>
      </c>
      <c r="M1080" s="2">
        <f t="shared" ca="1" si="97"/>
        <v>45335</v>
      </c>
      <c r="N1080" s="2" t="str">
        <f t="shared" ca="1" si="98"/>
        <v>N/A</v>
      </c>
      <c r="O1080" s="3">
        <f t="shared" ca="1" si="99"/>
        <v>43</v>
      </c>
      <c r="P1080" s="3" t="str">
        <f t="shared" ca="1" si="100"/>
        <v>N/A</v>
      </c>
      <c r="Q1080" s="1" t="str">
        <f>IF(K1080=1,"Joined",IF(H1080&gt;=70,"Dropped at Offer",IF(H1080&gt;=50,"Dropped at Interview","Dropped at Screening")))</f>
        <v>Dropped at Interview</v>
      </c>
      <c r="R1080" s="1" t="str">
        <f t="shared" ca="1" si="101"/>
        <v>Feb-2024</v>
      </c>
    </row>
    <row r="1081" spans="1:18">
      <c r="A1081">
        <v>38</v>
      </c>
      <c r="B1081">
        <v>0</v>
      </c>
      <c r="C1081">
        <v>3</v>
      </c>
      <c r="D1081">
        <v>15</v>
      </c>
      <c r="E1081">
        <v>3</v>
      </c>
      <c r="F1081">
        <v>9.5269024449112898</v>
      </c>
      <c r="G1081">
        <v>14</v>
      </c>
      <c r="H1081">
        <v>73</v>
      </c>
      <c r="I1081">
        <v>33</v>
      </c>
      <c r="J1081">
        <v>2</v>
      </c>
      <c r="K1081">
        <v>0</v>
      </c>
      <c r="L1081" s="2">
        <f t="shared" si="96"/>
        <v>45292</v>
      </c>
      <c r="M1081" s="2">
        <f t="shared" ca="1" si="97"/>
        <v>45324</v>
      </c>
      <c r="N1081" s="2" t="str">
        <f t="shared" ca="1" si="98"/>
        <v>N/A</v>
      </c>
      <c r="O1081" s="3">
        <f t="shared" ca="1" si="99"/>
        <v>32</v>
      </c>
      <c r="P1081" s="3" t="str">
        <f t="shared" ca="1" si="100"/>
        <v>N/A</v>
      </c>
      <c r="Q1081" s="1" t="str">
        <f>IF(K1081=1,"Joined",IF(H1081&gt;=70,"Dropped at Offer",IF(H1081&gt;=50,"Dropped at Interview","Dropped at Screening")))</f>
        <v>Dropped at Offer</v>
      </c>
      <c r="R1081" s="1" t="str">
        <f t="shared" ca="1" si="101"/>
        <v>Feb-2024</v>
      </c>
    </row>
    <row r="1082" spans="1:18">
      <c r="A1082">
        <v>26</v>
      </c>
      <c r="B1082">
        <v>1</v>
      </c>
      <c r="C1082">
        <v>3</v>
      </c>
      <c r="D1082">
        <v>1</v>
      </c>
      <c r="E1082">
        <v>1</v>
      </c>
      <c r="F1082">
        <v>23.367527450281202</v>
      </c>
      <c r="G1082">
        <v>5</v>
      </c>
      <c r="H1082">
        <v>59</v>
      </c>
      <c r="I1082">
        <v>7</v>
      </c>
      <c r="J1082">
        <v>1</v>
      </c>
      <c r="K1082">
        <v>1</v>
      </c>
      <c r="L1082" s="2">
        <f t="shared" si="96"/>
        <v>45292</v>
      </c>
      <c r="M1082" s="2">
        <f t="shared" ca="1" si="97"/>
        <v>45322</v>
      </c>
      <c r="N1082" s="2">
        <f t="shared" ca="1" si="98"/>
        <v>45330</v>
      </c>
      <c r="O1082" s="3">
        <f t="shared" ca="1" si="99"/>
        <v>30</v>
      </c>
      <c r="P1082" s="3">
        <f t="shared" ca="1" si="100"/>
        <v>8</v>
      </c>
      <c r="Q1082" s="1" t="str">
        <f>IF(K1082=1,"Joined",IF(H1082&gt;=70,"Dropped at Offer",IF(H1082&gt;=50,"Dropped at Interview","Dropped at Screening")))</f>
        <v>Joined</v>
      </c>
      <c r="R1082" s="1" t="str">
        <f t="shared" ca="1" si="101"/>
        <v>Jan-2024</v>
      </c>
    </row>
    <row r="1083" spans="1:18">
      <c r="A1083">
        <v>25</v>
      </c>
      <c r="B1083">
        <v>1</v>
      </c>
      <c r="C1083">
        <v>2</v>
      </c>
      <c r="D1083">
        <v>2</v>
      </c>
      <c r="E1083">
        <v>3</v>
      </c>
      <c r="F1083">
        <v>11.522983608826699</v>
      </c>
      <c r="G1083">
        <v>72</v>
      </c>
      <c r="H1083">
        <v>62</v>
      </c>
      <c r="I1083">
        <v>9</v>
      </c>
      <c r="J1083">
        <v>3</v>
      </c>
      <c r="K1083">
        <v>0</v>
      </c>
      <c r="L1083" s="2">
        <f t="shared" si="96"/>
        <v>45292</v>
      </c>
      <c r="M1083" s="2">
        <f t="shared" ca="1" si="97"/>
        <v>45310</v>
      </c>
      <c r="N1083" s="2" t="str">
        <f t="shared" ca="1" si="98"/>
        <v>N/A</v>
      </c>
      <c r="O1083" s="3">
        <f t="shared" ca="1" si="99"/>
        <v>18</v>
      </c>
      <c r="P1083" s="3" t="str">
        <f t="shared" ca="1" si="100"/>
        <v>N/A</v>
      </c>
      <c r="Q1083" s="1" t="str">
        <f>IF(K1083=1,"Joined",IF(H1083&gt;=70,"Dropped at Offer",IF(H1083&gt;=50,"Dropped at Interview","Dropped at Screening")))</f>
        <v>Dropped at Interview</v>
      </c>
      <c r="R1083" s="1" t="str">
        <f t="shared" ca="1" si="101"/>
        <v>Jan-2024</v>
      </c>
    </row>
    <row r="1084" spans="1:18">
      <c r="A1084">
        <v>47</v>
      </c>
      <c r="B1084">
        <v>1</v>
      </c>
      <c r="C1084">
        <v>3</v>
      </c>
      <c r="D1084">
        <v>11</v>
      </c>
      <c r="E1084">
        <v>4</v>
      </c>
      <c r="F1084">
        <v>35.4791532766614</v>
      </c>
      <c r="G1084">
        <v>100</v>
      </c>
      <c r="H1084">
        <v>64</v>
      </c>
      <c r="I1084">
        <v>47</v>
      </c>
      <c r="J1084">
        <v>2</v>
      </c>
      <c r="K1084">
        <v>1</v>
      </c>
      <c r="L1084" s="2">
        <f t="shared" si="96"/>
        <v>45292</v>
      </c>
      <c r="M1084" s="2">
        <f t="shared" ca="1" si="97"/>
        <v>45316</v>
      </c>
      <c r="N1084" s="2">
        <f t="shared" ca="1" si="98"/>
        <v>45326</v>
      </c>
      <c r="O1084" s="3">
        <f t="shared" ca="1" si="99"/>
        <v>24</v>
      </c>
      <c r="P1084" s="3">
        <f t="shared" ca="1" si="100"/>
        <v>10</v>
      </c>
      <c r="Q1084" s="1" t="str">
        <f>IF(K1084=1,"Joined",IF(H1084&gt;=70,"Dropped at Offer",IF(H1084&gt;=50,"Dropped at Interview","Dropped at Screening")))</f>
        <v>Joined</v>
      </c>
      <c r="R1084" s="1" t="str">
        <f t="shared" ca="1" si="101"/>
        <v>Jan-2024</v>
      </c>
    </row>
    <row r="1085" spans="1:18">
      <c r="A1085">
        <v>21</v>
      </c>
      <c r="B1085">
        <v>0</v>
      </c>
      <c r="C1085">
        <v>2</v>
      </c>
      <c r="D1085">
        <v>7</v>
      </c>
      <c r="E1085">
        <v>1</v>
      </c>
      <c r="F1085">
        <v>44.865486809651699</v>
      </c>
      <c r="G1085">
        <v>83</v>
      </c>
      <c r="H1085">
        <v>51</v>
      </c>
      <c r="I1085">
        <v>54</v>
      </c>
      <c r="J1085">
        <v>2</v>
      </c>
      <c r="K1085">
        <v>0</v>
      </c>
      <c r="L1085" s="2">
        <f t="shared" si="96"/>
        <v>45292</v>
      </c>
      <c r="M1085" s="2">
        <f t="shared" ca="1" si="97"/>
        <v>45335</v>
      </c>
      <c r="N1085" s="2" t="str">
        <f t="shared" ca="1" si="98"/>
        <v>N/A</v>
      </c>
      <c r="O1085" s="3">
        <f t="shared" ca="1" si="99"/>
        <v>43</v>
      </c>
      <c r="P1085" s="3" t="str">
        <f t="shared" ca="1" si="100"/>
        <v>N/A</v>
      </c>
      <c r="Q1085" s="1" t="str">
        <f>IF(K1085=1,"Joined",IF(H1085&gt;=70,"Dropped at Offer",IF(H1085&gt;=50,"Dropped at Interview","Dropped at Screening")))</f>
        <v>Dropped at Interview</v>
      </c>
      <c r="R1085" s="1" t="str">
        <f t="shared" ca="1" si="101"/>
        <v>Feb-2024</v>
      </c>
    </row>
    <row r="1086" spans="1:18">
      <c r="A1086">
        <v>25</v>
      </c>
      <c r="B1086">
        <v>1</v>
      </c>
      <c r="C1086">
        <v>2</v>
      </c>
      <c r="D1086">
        <v>0</v>
      </c>
      <c r="E1086">
        <v>3</v>
      </c>
      <c r="F1086">
        <v>15.518094268334</v>
      </c>
      <c r="G1086">
        <v>97</v>
      </c>
      <c r="H1086">
        <v>89</v>
      </c>
      <c r="I1086">
        <v>53</v>
      </c>
      <c r="J1086">
        <v>2</v>
      </c>
      <c r="K1086">
        <v>0</v>
      </c>
      <c r="L1086" s="2">
        <f t="shared" si="96"/>
        <v>45292</v>
      </c>
      <c r="M1086" s="2">
        <f t="shared" ca="1" si="97"/>
        <v>45322</v>
      </c>
      <c r="N1086" s="2" t="str">
        <f t="shared" ca="1" si="98"/>
        <v>N/A</v>
      </c>
      <c r="O1086" s="3">
        <f t="shared" ca="1" si="99"/>
        <v>30</v>
      </c>
      <c r="P1086" s="3" t="str">
        <f t="shared" ca="1" si="100"/>
        <v>N/A</v>
      </c>
      <c r="Q1086" s="1" t="str">
        <f>IF(K1086=1,"Joined",IF(H1086&gt;=70,"Dropped at Offer",IF(H1086&gt;=50,"Dropped at Interview","Dropped at Screening")))</f>
        <v>Dropped at Offer</v>
      </c>
      <c r="R1086" s="1" t="str">
        <f t="shared" ca="1" si="101"/>
        <v>Jan-2024</v>
      </c>
    </row>
    <row r="1087" spans="1:18">
      <c r="A1087">
        <v>37</v>
      </c>
      <c r="B1087">
        <v>1</v>
      </c>
      <c r="C1087">
        <v>2</v>
      </c>
      <c r="D1087">
        <v>14</v>
      </c>
      <c r="E1087">
        <v>3</v>
      </c>
      <c r="F1087">
        <v>5.1005370604093798</v>
      </c>
      <c r="G1087">
        <v>37</v>
      </c>
      <c r="H1087">
        <v>75</v>
      </c>
      <c r="I1087">
        <v>77</v>
      </c>
      <c r="J1087">
        <v>2</v>
      </c>
      <c r="K1087">
        <v>0</v>
      </c>
      <c r="L1087" s="2">
        <f t="shared" si="96"/>
        <v>45292</v>
      </c>
      <c r="M1087" s="2">
        <f t="shared" ca="1" si="97"/>
        <v>45333</v>
      </c>
      <c r="N1087" s="2" t="str">
        <f t="shared" ca="1" si="98"/>
        <v>N/A</v>
      </c>
      <c r="O1087" s="3">
        <f t="shared" ca="1" si="99"/>
        <v>41</v>
      </c>
      <c r="P1087" s="3" t="str">
        <f t="shared" ca="1" si="100"/>
        <v>N/A</v>
      </c>
      <c r="Q1087" s="1" t="str">
        <f>IF(K1087=1,"Joined",IF(H1087&gt;=70,"Dropped at Offer",IF(H1087&gt;=50,"Dropped at Interview","Dropped at Screening")))</f>
        <v>Dropped at Offer</v>
      </c>
      <c r="R1087" s="1" t="str">
        <f t="shared" ca="1" si="101"/>
        <v>Feb-2024</v>
      </c>
    </row>
    <row r="1088" spans="1:18">
      <c r="A1088">
        <v>21</v>
      </c>
      <c r="B1088">
        <v>1</v>
      </c>
      <c r="C1088">
        <v>4</v>
      </c>
      <c r="D1088">
        <v>9</v>
      </c>
      <c r="E1088">
        <v>2</v>
      </c>
      <c r="F1088">
        <v>15.924654903748101</v>
      </c>
      <c r="G1088">
        <v>25</v>
      </c>
      <c r="H1088">
        <v>13</v>
      </c>
      <c r="I1088">
        <v>39</v>
      </c>
      <c r="J1088">
        <v>3</v>
      </c>
      <c r="K1088">
        <v>0</v>
      </c>
      <c r="L1088" s="2">
        <f t="shared" si="96"/>
        <v>45292</v>
      </c>
      <c r="M1088" s="2">
        <f t="shared" ca="1" si="97"/>
        <v>45308</v>
      </c>
      <c r="N1088" s="2" t="str">
        <f t="shared" ca="1" si="98"/>
        <v>N/A</v>
      </c>
      <c r="O1088" s="3">
        <f t="shared" ca="1" si="99"/>
        <v>16</v>
      </c>
      <c r="P1088" s="3" t="str">
        <f t="shared" ca="1" si="100"/>
        <v>N/A</v>
      </c>
      <c r="Q1088" s="1" t="str">
        <f>IF(K1088=1,"Joined",IF(H1088&gt;=70,"Dropped at Offer",IF(H1088&gt;=50,"Dropped at Interview","Dropped at Screening")))</f>
        <v>Dropped at Screening</v>
      </c>
      <c r="R1088" s="1" t="str">
        <f t="shared" ca="1" si="101"/>
        <v>Jan-2024</v>
      </c>
    </row>
    <row r="1089" spans="1:18">
      <c r="A1089">
        <v>37</v>
      </c>
      <c r="B1089">
        <v>0</v>
      </c>
      <c r="C1089">
        <v>1</v>
      </c>
      <c r="D1089">
        <v>14</v>
      </c>
      <c r="E1089">
        <v>5</v>
      </c>
      <c r="F1089">
        <v>34.618092896609703</v>
      </c>
      <c r="G1089">
        <v>81</v>
      </c>
      <c r="H1089">
        <v>88</v>
      </c>
      <c r="I1089">
        <v>14</v>
      </c>
      <c r="J1089">
        <v>2</v>
      </c>
      <c r="K1089">
        <v>0</v>
      </c>
      <c r="L1089" s="2">
        <f t="shared" si="96"/>
        <v>45292</v>
      </c>
      <c r="M1089" s="2">
        <f t="shared" ca="1" si="97"/>
        <v>45316</v>
      </c>
      <c r="N1089" s="2" t="str">
        <f t="shared" ca="1" si="98"/>
        <v>N/A</v>
      </c>
      <c r="O1089" s="3">
        <f t="shared" ca="1" si="99"/>
        <v>24</v>
      </c>
      <c r="P1089" s="3" t="str">
        <f t="shared" ca="1" si="100"/>
        <v>N/A</v>
      </c>
      <c r="Q1089" s="1" t="str">
        <f>IF(K1089=1,"Joined",IF(H1089&gt;=70,"Dropped at Offer",IF(H1089&gt;=50,"Dropped at Interview","Dropped at Screening")))</f>
        <v>Dropped at Offer</v>
      </c>
      <c r="R1089" s="1" t="str">
        <f t="shared" ca="1" si="101"/>
        <v>Jan-2024</v>
      </c>
    </row>
    <row r="1090" spans="1:18">
      <c r="A1090">
        <v>49</v>
      </c>
      <c r="B1090">
        <v>1</v>
      </c>
      <c r="C1090">
        <v>4</v>
      </c>
      <c r="D1090">
        <v>14</v>
      </c>
      <c r="E1090">
        <v>1</v>
      </c>
      <c r="F1090">
        <v>17.438006377722498</v>
      </c>
      <c r="G1090">
        <v>91</v>
      </c>
      <c r="H1090">
        <v>71</v>
      </c>
      <c r="I1090">
        <v>80</v>
      </c>
      <c r="J1090">
        <v>1</v>
      </c>
      <c r="K1090">
        <v>1</v>
      </c>
      <c r="L1090" s="2">
        <f t="shared" ref="L1090:L1153" si="102">DATE(2024,1,1)</f>
        <v>45292</v>
      </c>
      <c r="M1090" s="2">
        <f t="shared" ref="M1090:M1153" ca="1" si="103">L1090+RANDBETWEEN(14,45)</f>
        <v>45323</v>
      </c>
      <c r="N1090" s="2">
        <f t="shared" ref="N1090:N1153" ca="1" si="104">IF(K1090=1, M1090+RANDBETWEEN(7,30), "N/A")</f>
        <v>45348</v>
      </c>
      <c r="O1090" s="3">
        <f t="shared" ref="O1090:O1153" ca="1" si="105">IF(AND(M1090&lt;&gt;"",L1090&lt;&gt;""), M1090-L1090, "N/A")</f>
        <v>31</v>
      </c>
      <c r="P1090" s="3">
        <f t="shared" ref="P1090:Q1153" ca="1" si="106">IF(AND(K1090=1, N1090&lt;&gt;"", M1090&lt;&gt;""), N1090 - M1090, "N/A")</f>
        <v>25</v>
      </c>
      <c r="Q1090" s="1" t="str">
        <f>IF(K1090=1,"Joined",IF(H1090&gt;=70,"Dropped at Offer",IF(H1090&gt;=50,"Dropped at Interview","Dropped at Screening")))</f>
        <v>Joined</v>
      </c>
      <c r="R1090" s="1" t="str">
        <f t="shared" ref="R1090:R1153" ca="1" si="107">TEXT(M1090,"MMM-YYYY")</f>
        <v>Feb-2024</v>
      </c>
    </row>
    <row r="1091" spans="1:18">
      <c r="A1091">
        <v>34</v>
      </c>
      <c r="B1091">
        <v>0</v>
      </c>
      <c r="C1091">
        <v>3</v>
      </c>
      <c r="D1091">
        <v>14</v>
      </c>
      <c r="E1091">
        <v>2</v>
      </c>
      <c r="F1091">
        <v>14.9056083776901</v>
      </c>
      <c r="G1091">
        <v>50</v>
      </c>
      <c r="H1091">
        <v>67</v>
      </c>
      <c r="I1091">
        <v>17</v>
      </c>
      <c r="J1091">
        <v>1</v>
      </c>
      <c r="K1091">
        <v>1</v>
      </c>
      <c r="L1091" s="2">
        <f t="shared" si="102"/>
        <v>45292</v>
      </c>
      <c r="M1091" s="2">
        <f t="shared" ca="1" si="103"/>
        <v>45324</v>
      </c>
      <c r="N1091" s="2">
        <f t="shared" ca="1" si="104"/>
        <v>45331</v>
      </c>
      <c r="O1091" s="3">
        <f t="shared" ca="1" si="105"/>
        <v>32</v>
      </c>
      <c r="P1091" s="3">
        <f t="shared" ca="1" si="106"/>
        <v>7</v>
      </c>
      <c r="Q1091" s="1" t="str">
        <f>IF(K1091=1,"Joined",IF(H1091&gt;=70,"Dropped at Offer",IF(H1091&gt;=50,"Dropped at Interview","Dropped at Screening")))</f>
        <v>Joined</v>
      </c>
      <c r="R1091" s="1" t="str">
        <f t="shared" ca="1" si="107"/>
        <v>Feb-2024</v>
      </c>
    </row>
    <row r="1092" spans="1:18">
      <c r="A1092">
        <v>46</v>
      </c>
      <c r="B1092">
        <v>0</v>
      </c>
      <c r="C1092">
        <v>1</v>
      </c>
      <c r="D1092">
        <v>6</v>
      </c>
      <c r="E1092">
        <v>4</v>
      </c>
      <c r="F1092">
        <v>10.2217595292132</v>
      </c>
      <c r="G1092">
        <v>72</v>
      </c>
      <c r="H1092">
        <v>27</v>
      </c>
      <c r="I1092">
        <v>95</v>
      </c>
      <c r="J1092">
        <v>3</v>
      </c>
      <c r="K1092">
        <v>0</v>
      </c>
      <c r="L1092" s="2">
        <f t="shared" si="102"/>
        <v>45292</v>
      </c>
      <c r="M1092" s="2">
        <f t="shared" ca="1" si="103"/>
        <v>45321</v>
      </c>
      <c r="N1092" s="2" t="str">
        <f t="shared" ca="1" si="104"/>
        <v>N/A</v>
      </c>
      <c r="O1092" s="3">
        <f t="shared" ca="1" si="105"/>
        <v>29</v>
      </c>
      <c r="P1092" s="3" t="str">
        <f t="shared" ca="1" si="106"/>
        <v>N/A</v>
      </c>
      <c r="Q1092" s="1" t="str">
        <f>IF(K1092=1,"Joined",IF(H1092&gt;=70,"Dropped at Offer",IF(H1092&gt;=50,"Dropped at Interview","Dropped at Screening")))</f>
        <v>Dropped at Screening</v>
      </c>
      <c r="R1092" s="1" t="str">
        <f t="shared" ca="1" si="107"/>
        <v>Jan-2024</v>
      </c>
    </row>
    <row r="1093" spans="1:18">
      <c r="A1093">
        <v>38</v>
      </c>
      <c r="B1093">
        <v>0</v>
      </c>
      <c r="C1093">
        <v>2</v>
      </c>
      <c r="D1093">
        <v>6</v>
      </c>
      <c r="E1093">
        <v>5</v>
      </c>
      <c r="F1093">
        <v>25.875821343721601</v>
      </c>
      <c r="G1093">
        <v>95</v>
      </c>
      <c r="H1093">
        <v>70</v>
      </c>
      <c r="I1093">
        <v>22</v>
      </c>
      <c r="J1093">
        <v>2</v>
      </c>
      <c r="K1093">
        <v>0</v>
      </c>
      <c r="L1093" s="2">
        <f t="shared" si="102"/>
        <v>45292</v>
      </c>
      <c r="M1093" s="2">
        <f t="shared" ca="1" si="103"/>
        <v>45335</v>
      </c>
      <c r="N1093" s="2" t="str">
        <f t="shared" ca="1" si="104"/>
        <v>N/A</v>
      </c>
      <c r="O1093" s="3">
        <f t="shared" ca="1" si="105"/>
        <v>43</v>
      </c>
      <c r="P1093" s="3" t="str">
        <f t="shared" ca="1" si="106"/>
        <v>N/A</v>
      </c>
      <c r="Q1093" s="1" t="str">
        <f>IF(K1093=1,"Joined",IF(H1093&gt;=70,"Dropped at Offer",IF(H1093&gt;=50,"Dropped at Interview","Dropped at Screening")))</f>
        <v>Dropped at Offer</v>
      </c>
      <c r="R1093" s="1" t="str">
        <f t="shared" ca="1" si="107"/>
        <v>Feb-2024</v>
      </c>
    </row>
    <row r="1094" spans="1:18">
      <c r="A1094">
        <v>50</v>
      </c>
      <c r="B1094">
        <v>0</v>
      </c>
      <c r="C1094">
        <v>3</v>
      </c>
      <c r="D1094">
        <v>12</v>
      </c>
      <c r="E1094">
        <v>1</v>
      </c>
      <c r="F1094">
        <v>14.797441407859299</v>
      </c>
      <c r="G1094">
        <v>52</v>
      </c>
      <c r="H1094">
        <v>9</v>
      </c>
      <c r="I1094">
        <v>61</v>
      </c>
      <c r="J1094">
        <v>3</v>
      </c>
      <c r="K1094">
        <v>0</v>
      </c>
      <c r="L1094" s="2">
        <f t="shared" si="102"/>
        <v>45292</v>
      </c>
      <c r="M1094" s="2">
        <f t="shared" ca="1" si="103"/>
        <v>45315</v>
      </c>
      <c r="N1094" s="2" t="str">
        <f t="shared" ca="1" si="104"/>
        <v>N/A</v>
      </c>
      <c r="O1094" s="3">
        <f t="shared" ca="1" si="105"/>
        <v>23</v>
      </c>
      <c r="P1094" s="3" t="str">
        <f t="shared" ca="1" si="106"/>
        <v>N/A</v>
      </c>
      <c r="Q1094" s="1" t="str">
        <f>IF(K1094=1,"Joined",IF(H1094&gt;=70,"Dropped at Offer",IF(H1094&gt;=50,"Dropped at Interview","Dropped at Screening")))</f>
        <v>Dropped at Screening</v>
      </c>
      <c r="R1094" s="1" t="str">
        <f t="shared" ca="1" si="107"/>
        <v>Jan-2024</v>
      </c>
    </row>
    <row r="1095" spans="1:18">
      <c r="A1095">
        <v>21</v>
      </c>
      <c r="B1095">
        <v>1</v>
      </c>
      <c r="C1095">
        <v>2</v>
      </c>
      <c r="D1095">
        <v>0</v>
      </c>
      <c r="E1095">
        <v>3</v>
      </c>
      <c r="F1095">
        <v>37.550517456974099</v>
      </c>
      <c r="G1095">
        <v>55</v>
      </c>
      <c r="H1095">
        <v>56</v>
      </c>
      <c r="I1095">
        <v>45</v>
      </c>
      <c r="J1095">
        <v>1</v>
      </c>
      <c r="K1095">
        <v>0</v>
      </c>
      <c r="L1095" s="2">
        <f t="shared" si="102"/>
        <v>45292</v>
      </c>
      <c r="M1095" s="2">
        <f t="shared" ca="1" si="103"/>
        <v>45311</v>
      </c>
      <c r="N1095" s="2" t="str">
        <f t="shared" ca="1" si="104"/>
        <v>N/A</v>
      </c>
      <c r="O1095" s="3">
        <f t="shared" ca="1" si="105"/>
        <v>19</v>
      </c>
      <c r="P1095" s="3" t="str">
        <f t="shared" ca="1" si="106"/>
        <v>N/A</v>
      </c>
      <c r="Q1095" s="1" t="str">
        <f>IF(K1095=1,"Joined",IF(H1095&gt;=70,"Dropped at Offer",IF(H1095&gt;=50,"Dropped at Interview","Dropped at Screening")))</f>
        <v>Dropped at Interview</v>
      </c>
      <c r="R1095" s="1" t="str">
        <f t="shared" ca="1" si="107"/>
        <v>Jan-2024</v>
      </c>
    </row>
    <row r="1096" spans="1:18">
      <c r="A1096">
        <v>39</v>
      </c>
      <c r="B1096">
        <v>0</v>
      </c>
      <c r="C1096">
        <v>4</v>
      </c>
      <c r="D1096">
        <v>15</v>
      </c>
      <c r="E1096">
        <v>1</v>
      </c>
      <c r="F1096">
        <v>4.8311200996101302</v>
      </c>
      <c r="G1096">
        <v>58</v>
      </c>
      <c r="H1096">
        <v>99</v>
      </c>
      <c r="I1096">
        <v>86</v>
      </c>
      <c r="J1096">
        <v>1</v>
      </c>
      <c r="K1096">
        <v>1</v>
      </c>
      <c r="L1096" s="2">
        <f t="shared" si="102"/>
        <v>45292</v>
      </c>
      <c r="M1096" s="2">
        <f t="shared" ca="1" si="103"/>
        <v>45330</v>
      </c>
      <c r="N1096" s="2">
        <f t="shared" ca="1" si="104"/>
        <v>45350</v>
      </c>
      <c r="O1096" s="3">
        <f t="shared" ca="1" si="105"/>
        <v>38</v>
      </c>
      <c r="P1096" s="3">
        <f t="shared" ca="1" si="106"/>
        <v>20</v>
      </c>
      <c r="Q1096" s="1" t="str">
        <f>IF(K1096=1,"Joined",IF(H1096&gt;=70,"Dropped at Offer",IF(H1096&gt;=50,"Dropped at Interview","Dropped at Screening")))</f>
        <v>Joined</v>
      </c>
      <c r="R1096" s="1" t="str">
        <f t="shared" ca="1" si="107"/>
        <v>Feb-2024</v>
      </c>
    </row>
    <row r="1097" spans="1:18">
      <c r="A1097">
        <v>44</v>
      </c>
      <c r="B1097">
        <v>0</v>
      </c>
      <c r="C1097">
        <v>4</v>
      </c>
      <c r="D1097">
        <v>8</v>
      </c>
      <c r="E1097">
        <v>3</v>
      </c>
      <c r="F1097">
        <v>34.201651655565797</v>
      </c>
      <c r="G1097">
        <v>69</v>
      </c>
      <c r="H1097">
        <v>65</v>
      </c>
      <c r="I1097">
        <v>98</v>
      </c>
      <c r="J1097">
        <v>1</v>
      </c>
      <c r="K1097">
        <v>1</v>
      </c>
      <c r="L1097" s="2">
        <f t="shared" si="102"/>
        <v>45292</v>
      </c>
      <c r="M1097" s="2">
        <f t="shared" ca="1" si="103"/>
        <v>45322</v>
      </c>
      <c r="N1097" s="2">
        <f t="shared" ca="1" si="104"/>
        <v>45339</v>
      </c>
      <c r="O1097" s="3">
        <f t="shared" ca="1" si="105"/>
        <v>30</v>
      </c>
      <c r="P1097" s="3">
        <f t="shared" ca="1" si="106"/>
        <v>17</v>
      </c>
      <c r="Q1097" s="1" t="str">
        <f>IF(K1097=1,"Joined",IF(H1097&gt;=70,"Dropped at Offer",IF(H1097&gt;=50,"Dropped at Interview","Dropped at Screening")))</f>
        <v>Joined</v>
      </c>
      <c r="R1097" s="1" t="str">
        <f t="shared" ca="1" si="107"/>
        <v>Jan-2024</v>
      </c>
    </row>
    <row r="1098" spans="1:18">
      <c r="A1098">
        <v>25</v>
      </c>
      <c r="B1098">
        <v>1</v>
      </c>
      <c r="C1098">
        <v>2</v>
      </c>
      <c r="D1098">
        <v>7</v>
      </c>
      <c r="E1098">
        <v>5</v>
      </c>
      <c r="F1098">
        <v>12.8780007283884</v>
      </c>
      <c r="G1098">
        <v>77</v>
      </c>
      <c r="H1098">
        <v>89</v>
      </c>
      <c r="I1098">
        <v>38</v>
      </c>
      <c r="J1098">
        <v>2</v>
      </c>
      <c r="K1098">
        <v>0</v>
      </c>
      <c r="L1098" s="2">
        <f t="shared" si="102"/>
        <v>45292</v>
      </c>
      <c r="M1098" s="2">
        <f t="shared" ca="1" si="103"/>
        <v>45314</v>
      </c>
      <c r="N1098" s="2" t="str">
        <f t="shared" ca="1" si="104"/>
        <v>N/A</v>
      </c>
      <c r="O1098" s="3">
        <f t="shared" ca="1" si="105"/>
        <v>22</v>
      </c>
      <c r="P1098" s="3" t="str">
        <f t="shared" ca="1" si="106"/>
        <v>N/A</v>
      </c>
      <c r="Q1098" s="1" t="str">
        <f>IF(K1098=1,"Joined",IF(H1098&gt;=70,"Dropped at Offer",IF(H1098&gt;=50,"Dropped at Interview","Dropped at Screening")))</f>
        <v>Dropped at Offer</v>
      </c>
      <c r="R1098" s="1" t="str">
        <f t="shared" ca="1" si="107"/>
        <v>Jan-2024</v>
      </c>
    </row>
    <row r="1099" spans="1:18">
      <c r="A1099">
        <v>20</v>
      </c>
      <c r="B1099">
        <v>1</v>
      </c>
      <c r="C1099">
        <v>2</v>
      </c>
      <c r="D1099">
        <v>3</v>
      </c>
      <c r="E1099">
        <v>3</v>
      </c>
      <c r="F1099">
        <v>25.463963052580102</v>
      </c>
      <c r="G1099">
        <v>91</v>
      </c>
      <c r="H1099">
        <v>49</v>
      </c>
      <c r="I1099">
        <v>14</v>
      </c>
      <c r="J1099">
        <v>2</v>
      </c>
      <c r="K1099">
        <v>0</v>
      </c>
      <c r="L1099" s="2">
        <f t="shared" si="102"/>
        <v>45292</v>
      </c>
      <c r="M1099" s="2">
        <f t="shared" ca="1" si="103"/>
        <v>45325</v>
      </c>
      <c r="N1099" s="2" t="str">
        <f t="shared" ca="1" si="104"/>
        <v>N/A</v>
      </c>
      <c r="O1099" s="3">
        <f t="shared" ca="1" si="105"/>
        <v>33</v>
      </c>
      <c r="P1099" s="3" t="str">
        <f t="shared" ca="1" si="106"/>
        <v>N/A</v>
      </c>
      <c r="Q1099" s="1" t="str">
        <f>IF(K1099=1,"Joined",IF(H1099&gt;=70,"Dropped at Offer",IF(H1099&gt;=50,"Dropped at Interview","Dropped at Screening")))</f>
        <v>Dropped at Screening</v>
      </c>
      <c r="R1099" s="1" t="str">
        <f t="shared" ca="1" si="107"/>
        <v>Feb-2024</v>
      </c>
    </row>
    <row r="1100" spans="1:18">
      <c r="A1100">
        <v>43</v>
      </c>
      <c r="B1100">
        <v>0</v>
      </c>
      <c r="C1100">
        <v>4</v>
      </c>
      <c r="D1100">
        <v>9</v>
      </c>
      <c r="E1100">
        <v>4</v>
      </c>
      <c r="F1100">
        <v>15.304496101563</v>
      </c>
      <c r="G1100">
        <v>57</v>
      </c>
      <c r="H1100">
        <v>13</v>
      </c>
      <c r="I1100">
        <v>52</v>
      </c>
      <c r="J1100">
        <v>1</v>
      </c>
      <c r="K1100">
        <v>1</v>
      </c>
      <c r="L1100" s="2">
        <f t="shared" si="102"/>
        <v>45292</v>
      </c>
      <c r="M1100" s="2">
        <f t="shared" ca="1" si="103"/>
        <v>45315</v>
      </c>
      <c r="N1100" s="2">
        <f t="shared" ca="1" si="104"/>
        <v>45330</v>
      </c>
      <c r="O1100" s="3">
        <f t="shared" ca="1" si="105"/>
        <v>23</v>
      </c>
      <c r="P1100" s="3">
        <f t="shared" ca="1" si="106"/>
        <v>15</v>
      </c>
      <c r="Q1100" s="1" t="str">
        <f>IF(K1100=1,"Joined",IF(H1100&gt;=70,"Dropped at Offer",IF(H1100&gt;=50,"Dropped at Interview","Dropped at Screening")))</f>
        <v>Joined</v>
      </c>
      <c r="R1100" s="1" t="str">
        <f t="shared" ca="1" si="107"/>
        <v>Jan-2024</v>
      </c>
    </row>
    <row r="1101" spans="1:18">
      <c r="A1101">
        <v>34</v>
      </c>
      <c r="B1101">
        <v>1</v>
      </c>
      <c r="C1101">
        <v>2</v>
      </c>
      <c r="D1101">
        <v>10</v>
      </c>
      <c r="E1101">
        <v>3</v>
      </c>
      <c r="F1101">
        <v>37.138433800539701</v>
      </c>
      <c r="G1101">
        <v>87</v>
      </c>
      <c r="H1101">
        <v>15</v>
      </c>
      <c r="I1101">
        <v>87</v>
      </c>
      <c r="J1101">
        <v>2</v>
      </c>
      <c r="K1101">
        <v>0</v>
      </c>
      <c r="L1101" s="2">
        <f t="shared" si="102"/>
        <v>45292</v>
      </c>
      <c r="M1101" s="2">
        <f t="shared" ca="1" si="103"/>
        <v>45331</v>
      </c>
      <c r="N1101" s="2" t="str">
        <f t="shared" ca="1" si="104"/>
        <v>N/A</v>
      </c>
      <c r="O1101" s="3">
        <f t="shared" ca="1" si="105"/>
        <v>39</v>
      </c>
      <c r="P1101" s="3" t="str">
        <f t="shared" ca="1" si="106"/>
        <v>N/A</v>
      </c>
      <c r="Q1101" s="1" t="str">
        <f>IF(K1101=1,"Joined",IF(H1101&gt;=70,"Dropped at Offer",IF(H1101&gt;=50,"Dropped at Interview","Dropped at Screening")))</f>
        <v>Dropped at Screening</v>
      </c>
      <c r="R1101" s="1" t="str">
        <f t="shared" ca="1" si="107"/>
        <v>Feb-2024</v>
      </c>
    </row>
    <row r="1102" spans="1:18">
      <c r="A1102">
        <v>47</v>
      </c>
      <c r="B1102">
        <v>0</v>
      </c>
      <c r="C1102">
        <v>1</v>
      </c>
      <c r="D1102">
        <v>4</v>
      </c>
      <c r="E1102">
        <v>4</v>
      </c>
      <c r="F1102">
        <v>48.265352012581801</v>
      </c>
      <c r="G1102">
        <v>12</v>
      </c>
      <c r="H1102">
        <v>53</v>
      </c>
      <c r="I1102">
        <v>63</v>
      </c>
      <c r="J1102">
        <v>2</v>
      </c>
      <c r="K1102">
        <v>0</v>
      </c>
      <c r="L1102" s="2">
        <f t="shared" si="102"/>
        <v>45292</v>
      </c>
      <c r="M1102" s="2">
        <f t="shared" ca="1" si="103"/>
        <v>45320</v>
      </c>
      <c r="N1102" s="2" t="str">
        <f t="shared" ca="1" si="104"/>
        <v>N/A</v>
      </c>
      <c r="O1102" s="3">
        <f t="shared" ca="1" si="105"/>
        <v>28</v>
      </c>
      <c r="P1102" s="3" t="str">
        <f t="shared" ca="1" si="106"/>
        <v>N/A</v>
      </c>
      <c r="Q1102" s="1" t="str">
        <f>IF(K1102=1,"Joined",IF(H1102&gt;=70,"Dropped at Offer",IF(H1102&gt;=50,"Dropped at Interview","Dropped at Screening")))</f>
        <v>Dropped at Interview</v>
      </c>
      <c r="R1102" s="1" t="str">
        <f t="shared" ca="1" si="107"/>
        <v>Jan-2024</v>
      </c>
    </row>
    <row r="1103" spans="1:18">
      <c r="A1103">
        <v>49</v>
      </c>
      <c r="B1103">
        <v>0</v>
      </c>
      <c r="C1103">
        <v>1</v>
      </c>
      <c r="D1103">
        <v>1</v>
      </c>
      <c r="E1103">
        <v>5</v>
      </c>
      <c r="F1103">
        <v>46.853838973490603</v>
      </c>
      <c r="G1103">
        <v>42</v>
      </c>
      <c r="H1103">
        <v>42</v>
      </c>
      <c r="I1103">
        <v>62</v>
      </c>
      <c r="J1103">
        <v>1</v>
      </c>
      <c r="K1103">
        <v>0</v>
      </c>
      <c r="L1103" s="2">
        <f t="shared" si="102"/>
        <v>45292</v>
      </c>
      <c r="M1103" s="2">
        <f t="shared" ca="1" si="103"/>
        <v>45309</v>
      </c>
      <c r="N1103" s="2" t="str">
        <f t="shared" ca="1" si="104"/>
        <v>N/A</v>
      </c>
      <c r="O1103" s="3">
        <f t="shared" ca="1" si="105"/>
        <v>17</v>
      </c>
      <c r="P1103" s="3" t="str">
        <f t="shared" ca="1" si="106"/>
        <v>N/A</v>
      </c>
      <c r="Q1103" s="1" t="str">
        <f>IF(K1103=1,"Joined",IF(H1103&gt;=70,"Dropped at Offer",IF(H1103&gt;=50,"Dropped at Interview","Dropped at Screening")))</f>
        <v>Dropped at Screening</v>
      </c>
      <c r="R1103" s="1" t="str">
        <f t="shared" ca="1" si="107"/>
        <v>Jan-2024</v>
      </c>
    </row>
    <row r="1104" spans="1:18">
      <c r="A1104">
        <v>42</v>
      </c>
      <c r="B1104">
        <v>0</v>
      </c>
      <c r="C1104">
        <v>2</v>
      </c>
      <c r="D1104">
        <v>12</v>
      </c>
      <c r="E1104">
        <v>5</v>
      </c>
      <c r="F1104">
        <v>30.171310757204498</v>
      </c>
      <c r="G1104">
        <v>75</v>
      </c>
      <c r="H1104">
        <v>41</v>
      </c>
      <c r="I1104">
        <v>91</v>
      </c>
      <c r="J1104">
        <v>2</v>
      </c>
      <c r="K1104">
        <v>0</v>
      </c>
      <c r="L1104" s="2">
        <f t="shared" si="102"/>
        <v>45292</v>
      </c>
      <c r="M1104" s="2">
        <f t="shared" ca="1" si="103"/>
        <v>45309</v>
      </c>
      <c r="N1104" s="2" t="str">
        <f t="shared" ca="1" si="104"/>
        <v>N/A</v>
      </c>
      <c r="O1104" s="3">
        <f t="shared" ca="1" si="105"/>
        <v>17</v>
      </c>
      <c r="P1104" s="3" t="str">
        <f t="shared" ca="1" si="106"/>
        <v>N/A</v>
      </c>
      <c r="Q1104" s="1" t="str">
        <f>IF(K1104=1,"Joined",IF(H1104&gt;=70,"Dropped at Offer",IF(H1104&gt;=50,"Dropped at Interview","Dropped at Screening")))</f>
        <v>Dropped at Screening</v>
      </c>
      <c r="R1104" s="1" t="str">
        <f t="shared" ca="1" si="107"/>
        <v>Jan-2024</v>
      </c>
    </row>
    <row r="1105" spans="1:18">
      <c r="A1105">
        <v>29</v>
      </c>
      <c r="B1105">
        <v>0</v>
      </c>
      <c r="C1105">
        <v>4</v>
      </c>
      <c r="D1105">
        <v>15</v>
      </c>
      <c r="E1105">
        <v>1</v>
      </c>
      <c r="F1105">
        <v>24.130515162848901</v>
      </c>
      <c r="G1105">
        <v>50</v>
      </c>
      <c r="H1105">
        <v>80</v>
      </c>
      <c r="I1105">
        <v>79</v>
      </c>
      <c r="J1105">
        <v>2</v>
      </c>
      <c r="K1105">
        <v>1</v>
      </c>
      <c r="L1105" s="2">
        <f t="shared" si="102"/>
        <v>45292</v>
      </c>
      <c r="M1105" s="2">
        <f t="shared" ca="1" si="103"/>
        <v>45321</v>
      </c>
      <c r="N1105" s="2">
        <f t="shared" ca="1" si="104"/>
        <v>45343</v>
      </c>
      <c r="O1105" s="3">
        <f t="shared" ca="1" si="105"/>
        <v>29</v>
      </c>
      <c r="P1105" s="3">
        <f t="shared" ca="1" si="106"/>
        <v>22</v>
      </c>
      <c r="Q1105" s="1" t="str">
        <f>IF(K1105=1,"Joined",IF(H1105&gt;=70,"Dropped at Offer",IF(H1105&gt;=50,"Dropped at Interview","Dropped at Screening")))</f>
        <v>Joined</v>
      </c>
      <c r="R1105" s="1" t="str">
        <f t="shared" ca="1" si="107"/>
        <v>Jan-2024</v>
      </c>
    </row>
    <row r="1106" spans="1:18">
      <c r="A1106">
        <v>38</v>
      </c>
      <c r="B1106">
        <v>1</v>
      </c>
      <c r="C1106">
        <v>3</v>
      </c>
      <c r="D1106">
        <v>8</v>
      </c>
      <c r="E1106">
        <v>4</v>
      </c>
      <c r="F1106">
        <v>41.915025471969003</v>
      </c>
      <c r="G1106">
        <v>18</v>
      </c>
      <c r="H1106">
        <v>21</v>
      </c>
      <c r="I1106">
        <v>15</v>
      </c>
      <c r="J1106">
        <v>1</v>
      </c>
      <c r="K1106">
        <v>1</v>
      </c>
      <c r="L1106" s="2">
        <f t="shared" si="102"/>
        <v>45292</v>
      </c>
      <c r="M1106" s="2">
        <f t="shared" ca="1" si="103"/>
        <v>45312</v>
      </c>
      <c r="N1106" s="2">
        <f t="shared" ca="1" si="104"/>
        <v>45325</v>
      </c>
      <c r="O1106" s="3">
        <f t="shared" ca="1" si="105"/>
        <v>20</v>
      </c>
      <c r="P1106" s="3">
        <f t="shared" ca="1" si="106"/>
        <v>13</v>
      </c>
      <c r="Q1106" s="1" t="str">
        <f>IF(K1106=1,"Joined",IF(H1106&gt;=70,"Dropped at Offer",IF(H1106&gt;=50,"Dropped at Interview","Dropped at Screening")))</f>
        <v>Joined</v>
      </c>
      <c r="R1106" s="1" t="str">
        <f t="shared" ca="1" si="107"/>
        <v>Jan-2024</v>
      </c>
    </row>
    <row r="1107" spans="1:18">
      <c r="A1107">
        <v>36</v>
      </c>
      <c r="B1107">
        <v>0</v>
      </c>
      <c r="C1107">
        <v>2</v>
      </c>
      <c r="D1107">
        <v>14</v>
      </c>
      <c r="E1107">
        <v>4</v>
      </c>
      <c r="F1107">
        <v>35.166318131386497</v>
      </c>
      <c r="G1107">
        <v>20</v>
      </c>
      <c r="H1107">
        <v>67</v>
      </c>
      <c r="I1107">
        <v>69</v>
      </c>
      <c r="J1107">
        <v>1</v>
      </c>
      <c r="K1107">
        <v>1</v>
      </c>
      <c r="L1107" s="2">
        <f t="shared" si="102"/>
        <v>45292</v>
      </c>
      <c r="M1107" s="2">
        <f t="shared" ca="1" si="103"/>
        <v>45332</v>
      </c>
      <c r="N1107" s="2">
        <f t="shared" ca="1" si="104"/>
        <v>45348</v>
      </c>
      <c r="O1107" s="3">
        <f t="shared" ca="1" si="105"/>
        <v>40</v>
      </c>
      <c r="P1107" s="3">
        <f t="shared" ca="1" si="106"/>
        <v>16</v>
      </c>
      <c r="Q1107" s="1" t="str">
        <f>IF(K1107=1,"Joined",IF(H1107&gt;=70,"Dropped at Offer",IF(H1107&gt;=50,"Dropped at Interview","Dropped at Screening")))</f>
        <v>Joined</v>
      </c>
      <c r="R1107" s="1" t="str">
        <f t="shared" ca="1" si="107"/>
        <v>Feb-2024</v>
      </c>
    </row>
    <row r="1108" spans="1:18">
      <c r="A1108">
        <v>24</v>
      </c>
      <c r="B1108">
        <v>1</v>
      </c>
      <c r="C1108">
        <v>1</v>
      </c>
      <c r="D1108">
        <v>11</v>
      </c>
      <c r="E1108">
        <v>2</v>
      </c>
      <c r="F1108">
        <v>10.1782057108466</v>
      </c>
      <c r="G1108">
        <v>90</v>
      </c>
      <c r="H1108">
        <v>18</v>
      </c>
      <c r="I1108">
        <v>65</v>
      </c>
      <c r="J1108">
        <v>2</v>
      </c>
      <c r="K1108">
        <v>0</v>
      </c>
      <c r="L1108" s="2">
        <f t="shared" si="102"/>
        <v>45292</v>
      </c>
      <c r="M1108" s="2">
        <f t="shared" ca="1" si="103"/>
        <v>45314</v>
      </c>
      <c r="N1108" s="2" t="str">
        <f t="shared" ca="1" si="104"/>
        <v>N/A</v>
      </c>
      <c r="O1108" s="3">
        <f t="shared" ca="1" si="105"/>
        <v>22</v>
      </c>
      <c r="P1108" s="3" t="str">
        <f t="shared" ca="1" si="106"/>
        <v>N/A</v>
      </c>
      <c r="Q1108" s="1" t="str">
        <f>IF(K1108=1,"Joined",IF(H1108&gt;=70,"Dropped at Offer",IF(H1108&gt;=50,"Dropped at Interview","Dropped at Screening")))</f>
        <v>Dropped at Screening</v>
      </c>
      <c r="R1108" s="1" t="str">
        <f t="shared" ca="1" si="107"/>
        <v>Jan-2024</v>
      </c>
    </row>
    <row r="1109" spans="1:18">
      <c r="A1109">
        <v>48</v>
      </c>
      <c r="B1109">
        <v>1</v>
      </c>
      <c r="C1109">
        <v>2</v>
      </c>
      <c r="D1109">
        <v>11</v>
      </c>
      <c r="E1109">
        <v>2</v>
      </c>
      <c r="F1109">
        <v>42.045960680649998</v>
      </c>
      <c r="G1109">
        <v>82</v>
      </c>
      <c r="H1109">
        <v>65</v>
      </c>
      <c r="I1109">
        <v>12</v>
      </c>
      <c r="J1109">
        <v>2</v>
      </c>
      <c r="K1109">
        <v>0</v>
      </c>
      <c r="L1109" s="2">
        <f t="shared" si="102"/>
        <v>45292</v>
      </c>
      <c r="M1109" s="2">
        <f t="shared" ca="1" si="103"/>
        <v>45307</v>
      </c>
      <c r="N1109" s="2" t="str">
        <f t="shared" ca="1" si="104"/>
        <v>N/A</v>
      </c>
      <c r="O1109" s="3">
        <f t="shared" ca="1" si="105"/>
        <v>15</v>
      </c>
      <c r="P1109" s="3" t="str">
        <f t="shared" ca="1" si="106"/>
        <v>N/A</v>
      </c>
      <c r="Q1109" s="1" t="str">
        <f>IF(K1109=1,"Joined",IF(H1109&gt;=70,"Dropped at Offer",IF(H1109&gt;=50,"Dropped at Interview","Dropped at Screening")))</f>
        <v>Dropped at Interview</v>
      </c>
      <c r="R1109" s="1" t="str">
        <f t="shared" ca="1" si="107"/>
        <v>Jan-2024</v>
      </c>
    </row>
    <row r="1110" spans="1:18">
      <c r="A1110">
        <v>23</v>
      </c>
      <c r="B1110">
        <v>1</v>
      </c>
      <c r="C1110">
        <v>3</v>
      </c>
      <c r="D1110">
        <v>5</v>
      </c>
      <c r="E1110">
        <v>2</v>
      </c>
      <c r="F1110">
        <v>22.444219469735501</v>
      </c>
      <c r="G1110">
        <v>23</v>
      </c>
      <c r="H1110">
        <v>38</v>
      </c>
      <c r="I1110">
        <v>46</v>
      </c>
      <c r="J1110">
        <v>3</v>
      </c>
      <c r="K1110">
        <v>0</v>
      </c>
      <c r="L1110" s="2">
        <f t="shared" si="102"/>
        <v>45292</v>
      </c>
      <c r="M1110" s="2">
        <f t="shared" ca="1" si="103"/>
        <v>45332</v>
      </c>
      <c r="N1110" s="2" t="str">
        <f t="shared" ca="1" si="104"/>
        <v>N/A</v>
      </c>
      <c r="O1110" s="3">
        <f t="shared" ca="1" si="105"/>
        <v>40</v>
      </c>
      <c r="P1110" s="3" t="str">
        <f t="shared" ca="1" si="106"/>
        <v>N/A</v>
      </c>
      <c r="Q1110" s="1" t="str">
        <f>IF(K1110=1,"Joined",IF(H1110&gt;=70,"Dropped at Offer",IF(H1110&gt;=50,"Dropped at Interview","Dropped at Screening")))</f>
        <v>Dropped at Screening</v>
      </c>
      <c r="R1110" s="1" t="str">
        <f t="shared" ca="1" si="107"/>
        <v>Feb-2024</v>
      </c>
    </row>
    <row r="1111" spans="1:18">
      <c r="A1111">
        <v>29</v>
      </c>
      <c r="B1111">
        <v>1</v>
      </c>
      <c r="C1111">
        <v>1</v>
      </c>
      <c r="D1111">
        <v>2</v>
      </c>
      <c r="E1111">
        <v>3</v>
      </c>
      <c r="F1111">
        <v>10.449282998558701</v>
      </c>
      <c r="G1111">
        <v>25</v>
      </c>
      <c r="H1111">
        <v>72</v>
      </c>
      <c r="I1111">
        <v>8</v>
      </c>
      <c r="J1111">
        <v>2</v>
      </c>
      <c r="K1111">
        <v>0</v>
      </c>
      <c r="L1111" s="2">
        <f t="shared" si="102"/>
        <v>45292</v>
      </c>
      <c r="M1111" s="2">
        <f t="shared" ca="1" si="103"/>
        <v>45322</v>
      </c>
      <c r="N1111" s="2" t="str">
        <f t="shared" ca="1" si="104"/>
        <v>N/A</v>
      </c>
      <c r="O1111" s="3">
        <f t="shared" ca="1" si="105"/>
        <v>30</v>
      </c>
      <c r="P1111" s="3" t="str">
        <f t="shared" ca="1" si="106"/>
        <v>N/A</v>
      </c>
      <c r="Q1111" s="1" t="str">
        <f>IF(K1111=1,"Joined",IF(H1111&gt;=70,"Dropped at Offer",IF(H1111&gt;=50,"Dropped at Interview","Dropped at Screening")))</f>
        <v>Dropped at Offer</v>
      </c>
      <c r="R1111" s="1" t="str">
        <f t="shared" ca="1" si="107"/>
        <v>Jan-2024</v>
      </c>
    </row>
    <row r="1112" spans="1:18">
      <c r="A1112">
        <v>43</v>
      </c>
      <c r="B1112">
        <v>0</v>
      </c>
      <c r="C1112">
        <v>2</v>
      </c>
      <c r="D1112">
        <v>11</v>
      </c>
      <c r="E1112">
        <v>2</v>
      </c>
      <c r="F1112">
        <v>15.089867519824599</v>
      </c>
      <c r="G1112">
        <v>44</v>
      </c>
      <c r="H1112">
        <v>18</v>
      </c>
      <c r="I1112">
        <v>62</v>
      </c>
      <c r="J1112">
        <v>1</v>
      </c>
      <c r="K1112">
        <v>1</v>
      </c>
      <c r="L1112" s="2">
        <f t="shared" si="102"/>
        <v>45292</v>
      </c>
      <c r="M1112" s="2">
        <f t="shared" ca="1" si="103"/>
        <v>45322</v>
      </c>
      <c r="N1112" s="2">
        <f t="shared" ca="1" si="104"/>
        <v>45331</v>
      </c>
      <c r="O1112" s="3">
        <f t="shared" ca="1" si="105"/>
        <v>30</v>
      </c>
      <c r="P1112" s="3">
        <f t="shared" ca="1" si="106"/>
        <v>9</v>
      </c>
      <c r="Q1112" s="1" t="str">
        <f>IF(K1112=1,"Joined",IF(H1112&gt;=70,"Dropped at Offer",IF(H1112&gt;=50,"Dropped at Interview","Dropped at Screening")))</f>
        <v>Joined</v>
      </c>
      <c r="R1112" s="1" t="str">
        <f t="shared" ca="1" si="107"/>
        <v>Jan-2024</v>
      </c>
    </row>
    <row r="1113" spans="1:18">
      <c r="A1113">
        <v>36</v>
      </c>
      <c r="B1113">
        <v>1</v>
      </c>
      <c r="C1113">
        <v>1</v>
      </c>
      <c r="D1113">
        <v>6</v>
      </c>
      <c r="E1113">
        <v>4</v>
      </c>
      <c r="F1113">
        <v>14.3763515124171</v>
      </c>
      <c r="G1113">
        <v>27</v>
      </c>
      <c r="H1113">
        <v>15</v>
      </c>
      <c r="I1113">
        <v>33</v>
      </c>
      <c r="J1113">
        <v>3</v>
      </c>
      <c r="K1113">
        <v>0</v>
      </c>
      <c r="L1113" s="2">
        <f t="shared" si="102"/>
        <v>45292</v>
      </c>
      <c r="M1113" s="2">
        <f t="shared" ca="1" si="103"/>
        <v>45316</v>
      </c>
      <c r="N1113" s="2" t="str">
        <f t="shared" ca="1" si="104"/>
        <v>N/A</v>
      </c>
      <c r="O1113" s="3">
        <f t="shared" ca="1" si="105"/>
        <v>24</v>
      </c>
      <c r="P1113" s="3" t="str">
        <f t="shared" ca="1" si="106"/>
        <v>N/A</v>
      </c>
      <c r="Q1113" s="1" t="str">
        <f>IF(K1113=1,"Joined",IF(H1113&gt;=70,"Dropped at Offer",IF(H1113&gt;=50,"Dropped at Interview","Dropped at Screening")))</f>
        <v>Dropped at Screening</v>
      </c>
      <c r="R1113" s="1" t="str">
        <f t="shared" ca="1" si="107"/>
        <v>Jan-2024</v>
      </c>
    </row>
    <row r="1114" spans="1:18">
      <c r="A1114">
        <v>29</v>
      </c>
      <c r="B1114">
        <v>0</v>
      </c>
      <c r="C1114">
        <v>2</v>
      </c>
      <c r="D1114">
        <v>8</v>
      </c>
      <c r="E1114">
        <v>3</v>
      </c>
      <c r="F1114">
        <v>26.960348730172999</v>
      </c>
      <c r="G1114">
        <v>81</v>
      </c>
      <c r="H1114">
        <v>53</v>
      </c>
      <c r="I1114">
        <v>80</v>
      </c>
      <c r="J1114">
        <v>3</v>
      </c>
      <c r="K1114">
        <v>1</v>
      </c>
      <c r="L1114" s="2">
        <f t="shared" si="102"/>
        <v>45292</v>
      </c>
      <c r="M1114" s="2">
        <f t="shared" ca="1" si="103"/>
        <v>45318</v>
      </c>
      <c r="N1114" s="2">
        <f t="shared" ca="1" si="104"/>
        <v>45345</v>
      </c>
      <c r="O1114" s="3">
        <f t="shared" ca="1" si="105"/>
        <v>26</v>
      </c>
      <c r="P1114" s="3">
        <f t="shared" ca="1" si="106"/>
        <v>27</v>
      </c>
      <c r="Q1114" s="1" t="str">
        <f>IF(K1114=1,"Joined",IF(H1114&gt;=70,"Dropped at Offer",IF(H1114&gt;=50,"Dropped at Interview","Dropped at Screening")))</f>
        <v>Joined</v>
      </c>
      <c r="R1114" s="1" t="str">
        <f t="shared" ca="1" si="107"/>
        <v>Jan-2024</v>
      </c>
    </row>
    <row r="1115" spans="1:18">
      <c r="A1115">
        <v>36</v>
      </c>
      <c r="B1115">
        <v>1</v>
      </c>
      <c r="C1115">
        <v>4</v>
      </c>
      <c r="D1115">
        <v>2</v>
      </c>
      <c r="E1115">
        <v>5</v>
      </c>
      <c r="F1115">
        <v>12.7185045338937</v>
      </c>
      <c r="G1115">
        <v>99</v>
      </c>
      <c r="H1115">
        <v>24</v>
      </c>
      <c r="I1115">
        <v>90</v>
      </c>
      <c r="J1115">
        <v>2</v>
      </c>
      <c r="K1115">
        <v>0</v>
      </c>
      <c r="L1115" s="2">
        <f t="shared" si="102"/>
        <v>45292</v>
      </c>
      <c r="M1115" s="2">
        <f t="shared" ca="1" si="103"/>
        <v>45332</v>
      </c>
      <c r="N1115" s="2" t="str">
        <f t="shared" ca="1" si="104"/>
        <v>N/A</v>
      </c>
      <c r="O1115" s="3">
        <f t="shared" ca="1" si="105"/>
        <v>40</v>
      </c>
      <c r="P1115" s="3" t="str">
        <f t="shared" ca="1" si="106"/>
        <v>N/A</v>
      </c>
      <c r="Q1115" s="1" t="str">
        <f>IF(K1115=1,"Joined",IF(H1115&gt;=70,"Dropped at Offer",IF(H1115&gt;=50,"Dropped at Interview","Dropped at Screening")))</f>
        <v>Dropped at Screening</v>
      </c>
      <c r="R1115" s="1" t="str">
        <f t="shared" ca="1" si="107"/>
        <v>Feb-2024</v>
      </c>
    </row>
    <row r="1116" spans="1:18">
      <c r="A1116">
        <v>47</v>
      </c>
      <c r="B1116">
        <v>1</v>
      </c>
      <c r="C1116">
        <v>2</v>
      </c>
      <c r="D1116">
        <v>15</v>
      </c>
      <c r="E1116">
        <v>1</v>
      </c>
      <c r="F1116">
        <v>7.1783243700788004</v>
      </c>
      <c r="G1116">
        <v>28</v>
      </c>
      <c r="H1116">
        <v>17</v>
      </c>
      <c r="I1116">
        <v>28</v>
      </c>
      <c r="J1116">
        <v>3</v>
      </c>
      <c r="K1116">
        <v>0</v>
      </c>
      <c r="L1116" s="2">
        <f t="shared" si="102"/>
        <v>45292</v>
      </c>
      <c r="M1116" s="2">
        <f t="shared" ca="1" si="103"/>
        <v>45319</v>
      </c>
      <c r="N1116" s="2" t="str">
        <f t="shared" ca="1" si="104"/>
        <v>N/A</v>
      </c>
      <c r="O1116" s="3">
        <f t="shared" ca="1" si="105"/>
        <v>27</v>
      </c>
      <c r="P1116" s="3" t="str">
        <f t="shared" ca="1" si="106"/>
        <v>N/A</v>
      </c>
      <c r="Q1116" s="1" t="str">
        <f>IF(K1116=1,"Joined",IF(H1116&gt;=70,"Dropped at Offer",IF(H1116&gt;=50,"Dropped at Interview","Dropped at Screening")))</f>
        <v>Dropped at Screening</v>
      </c>
      <c r="R1116" s="1" t="str">
        <f t="shared" ca="1" si="107"/>
        <v>Jan-2024</v>
      </c>
    </row>
    <row r="1117" spans="1:18">
      <c r="A1117">
        <v>39</v>
      </c>
      <c r="B1117">
        <v>0</v>
      </c>
      <c r="C1117">
        <v>2</v>
      </c>
      <c r="D1117">
        <v>1</v>
      </c>
      <c r="E1117">
        <v>2</v>
      </c>
      <c r="F1117">
        <v>7.1845425306880299</v>
      </c>
      <c r="G1117">
        <v>16</v>
      </c>
      <c r="H1117">
        <v>22</v>
      </c>
      <c r="I1117">
        <v>36</v>
      </c>
      <c r="J1117">
        <v>2</v>
      </c>
      <c r="K1117">
        <v>0</v>
      </c>
      <c r="L1117" s="2">
        <f t="shared" si="102"/>
        <v>45292</v>
      </c>
      <c r="M1117" s="2">
        <f t="shared" ca="1" si="103"/>
        <v>45335</v>
      </c>
      <c r="N1117" s="2" t="str">
        <f t="shared" ca="1" si="104"/>
        <v>N/A</v>
      </c>
      <c r="O1117" s="3">
        <f t="shared" ca="1" si="105"/>
        <v>43</v>
      </c>
      <c r="P1117" s="3" t="str">
        <f t="shared" ca="1" si="106"/>
        <v>N/A</v>
      </c>
      <c r="Q1117" s="1" t="str">
        <f>IF(K1117=1,"Joined",IF(H1117&gt;=70,"Dropped at Offer",IF(H1117&gt;=50,"Dropped at Interview","Dropped at Screening")))</f>
        <v>Dropped at Screening</v>
      </c>
      <c r="R1117" s="1" t="str">
        <f t="shared" ca="1" si="107"/>
        <v>Feb-2024</v>
      </c>
    </row>
    <row r="1118" spans="1:18">
      <c r="A1118">
        <v>43</v>
      </c>
      <c r="B1118">
        <v>0</v>
      </c>
      <c r="C1118">
        <v>2</v>
      </c>
      <c r="D1118">
        <v>15</v>
      </c>
      <c r="E1118">
        <v>5</v>
      </c>
      <c r="F1118">
        <v>30.163809856954799</v>
      </c>
      <c r="G1118">
        <v>67</v>
      </c>
      <c r="H1118">
        <v>84</v>
      </c>
      <c r="I1118">
        <v>42</v>
      </c>
      <c r="J1118">
        <v>2</v>
      </c>
      <c r="K1118">
        <v>0</v>
      </c>
      <c r="L1118" s="2">
        <f t="shared" si="102"/>
        <v>45292</v>
      </c>
      <c r="M1118" s="2">
        <f t="shared" ca="1" si="103"/>
        <v>45336</v>
      </c>
      <c r="N1118" s="2" t="str">
        <f t="shared" ca="1" si="104"/>
        <v>N/A</v>
      </c>
      <c r="O1118" s="3">
        <f t="shared" ca="1" si="105"/>
        <v>44</v>
      </c>
      <c r="P1118" s="3" t="str">
        <f t="shared" ca="1" si="106"/>
        <v>N/A</v>
      </c>
      <c r="Q1118" s="1" t="str">
        <f>IF(K1118=1,"Joined",IF(H1118&gt;=70,"Dropped at Offer",IF(H1118&gt;=50,"Dropped at Interview","Dropped at Screening")))</f>
        <v>Dropped at Offer</v>
      </c>
      <c r="R1118" s="1" t="str">
        <f t="shared" ca="1" si="107"/>
        <v>Feb-2024</v>
      </c>
    </row>
    <row r="1119" spans="1:18">
      <c r="A1119">
        <v>24</v>
      </c>
      <c r="B1119">
        <v>0</v>
      </c>
      <c r="C1119">
        <v>4</v>
      </c>
      <c r="D1119">
        <v>6</v>
      </c>
      <c r="E1119">
        <v>4</v>
      </c>
      <c r="F1119">
        <v>37.7379644424689</v>
      </c>
      <c r="G1119">
        <v>43</v>
      </c>
      <c r="H1119">
        <v>10</v>
      </c>
      <c r="I1119">
        <v>85</v>
      </c>
      <c r="J1119">
        <v>2</v>
      </c>
      <c r="K1119">
        <v>0</v>
      </c>
      <c r="L1119" s="2">
        <f t="shared" si="102"/>
        <v>45292</v>
      </c>
      <c r="M1119" s="2">
        <f t="shared" ca="1" si="103"/>
        <v>45318</v>
      </c>
      <c r="N1119" s="2" t="str">
        <f t="shared" ca="1" si="104"/>
        <v>N/A</v>
      </c>
      <c r="O1119" s="3">
        <f t="shared" ca="1" si="105"/>
        <v>26</v>
      </c>
      <c r="P1119" s="3" t="str">
        <f t="shared" ca="1" si="106"/>
        <v>N/A</v>
      </c>
      <c r="Q1119" s="1" t="str">
        <f>IF(K1119=1,"Joined",IF(H1119&gt;=70,"Dropped at Offer",IF(H1119&gt;=50,"Dropped at Interview","Dropped at Screening")))</f>
        <v>Dropped at Screening</v>
      </c>
      <c r="R1119" s="1" t="str">
        <f t="shared" ca="1" si="107"/>
        <v>Jan-2024</v>
      </c>
    </row>
    <row r="1120" spans="1:18">
      <c r="A1120">
        <v>21</v>
      </c>
      <c r="B1120">
        <v>1</v>
      </c>
      <c r="C1120">
        <v>1</v>
      </c>
      <c r="D1120">
        <v>6</v>
      </c>
      <c r="E1120">
        <v>1</v>
      </c>
      <c r="F1120">
        <v>17.076650441917</v>
      </c>
      <c r="G1120">
        <v>60</v>
      </c>
      <c r="H1120">
        <v>38</v>
      </c>
      <c r="I1120">
        <v>63</v>
      </c>
      <c r="J1120">
        <v>2</v>
      </c>
      <c r="K1120">
        <v>0</v>
      </c>
      <c r="L1120" s="2">
        <f t="shared" si="102"/>
        <v>45292</v>
      </c>
      <c r="M1120" s="2">
        <f t="shared" ca="1" si="103"/>
        <v>45336</v>
      </c>
      <c r="N1120" s="2" t="str">
        <f t="shared" ca="1" si="104"/>
        <v>N/A</v>
      </c>
      <c r="O1120" s="3">
        <f t="shared" ca="1" si="105"/>
        <v>44</v>
      </c>
      <c r="P1120" s="3" t="str">
        <f t="shared" ca="1" si="106"/>
        <v>N/A</v>
      </c>
      <c r="Q1120" s="1" t="str">
        <f>IF(K1120=1,"Joined",IF(H1120&gt;=70,"Dropped at Offer",IF(H1120&gt;=50,"Dropped at Interview","Dropped at Screening")))</f>
        <v>Dropped at Screening</v>
      </c>
      <c r="R1120" s="1" t="str">
        <f t="shared" ca="1" si="107"/>
        <v>Feb-2024</v>
      </c>
    </row>
    <row r="1121" spans="1:18">
      <c r="A1121">
        <v>25</v>
      </c>
      <c r="B1121">
        <v>1</v>
      </c>
      <c r="C1121">
        <v>2</v>
      </c>
      <c r="D1121">
        <v>3</v>
      </c>
      <c r="E1121">
        <v>5</v>
      </c>
      <c r="F1121">
        <v>2.7325354907008501</v>
      </c>
      <c r="G1121">
        <v>92</v>
      </c>
      <c r="H1121">
        <v>67</v>
      </c>
      <c r="I1121">
        <v>23</v>
      </c>
      <c r="J1121">
        <v>1</v>
      </c>
      <c r="K1121">
        <v>1</v>
      </c>
      <c r="L1121" s="2">
        <f t="shared" si="102"/>
        <v>45292</v>
      </c>
      <c r="M1121" s="2">
        <f t="shared" ca="1" si="103"/>
        <v>45309</v>
      </c>
      <c r="N1121" s="2">
        <f t="shared" ca="1" si="104"/>
        <v>45337</v>
      </c>
      <c r="O1121" s="3">
        <f t="shared" ca="1" si="105"/>
        <v>17</v>
      </c>
      <c r="P1121" s="3">
        <f t="shared" ca="1" si="106"/>
        <v>28</v>
      </c>
      <c r="Q1121" s="1" t="str">
        <f>IF(K1121=1,"Joined",IF(H1121&gt;=70,"Dropped at Offer",IF(H1121&gt;=50,"Dropped at Interview","Dropped at Screening")))</f>
        <v>Joined</v>
      </c>
      <c r="R1121" s="1" t="str">
        <f t="shared" ca="1" si="107"/>
        <v>Jan-2024</v>
      </c>
    </row>
    <row r="1122" spans="1:18">
      <c r="A1122">
        <v>40</v>
      </c>
      <c r="B1122">
        <v>0</v>
      </c>
      <c r="C1122">
        <v>2</v>
      </c>
      <c r="D1122">
        <v>10</v>
      </c>
      <c r="E1122">
        <v>1</v>
      </c>
      <c r="F1122">
        <v>7.3612443468505298</v>
      </c>
      <c r="G1122">
        <v>67</v>
      </c>
      <c r="H1122">
        <v>24</v>
      </c>
      <c r="I1122">
        <v>70</v>
      </c>
      <c r="J1122">
        <v>3</v>
      </c>
      <c r="K1122">
        <v>0</v>
      </c>
      <c r="L1122" s="2">
        <f t="shared" si="102"/>
        <v>45292</v>
      </c>
      <c r="M1122" s="2">
        <f t="shared" ca="1" si="103"/>
        <v>45326</v>
      </c>
      <c r="N1122" s="2" t="str">
        <f t="shared" ca="1" si="104"/>
        <v>N/A</v>
      </c>
      <c r="O1122" s="3">
        <f t="shared" ca="1" si="105"/>
        <v>34</v>
      </c>
      <c r="P1122" s="3" t="str">
        <f t="shared" ca="1" si="106"/>
        <v>N/A</v>
      </c>
      <c r="Q1122" s="1" t="str">
        <f>IF(K1122=1,"Joined",IF(H1122&gt;=70,"Dropped at Offer",IF(H1122&gt;=50,"Dropped at Interview","Dropped at Screening")))</f>
        <v>Dropped at Screening</v>
      </c>
      <c r="R1122" s="1" t="str">
        <f t="shared" ca="1" si="107"/>
        <v>Feb-2024</v>
      </c>
    </row>
    <row r="1123" spans="1:18">
      <c r="A1123">
        <v>21</v>
      </c>
      <c r="B1123">
        <v>0</v>
      </c>
      <c r="C1123">
        <v>3</v>
      </c>
      <c r="D1123">
        <v>8</v>
      </c>
      <c r="E1123">
        <v>2</v>
      </c>
      <c r="F1123">
        <v>46.734728016852799</v>
      </c>
      <c r="G1123">
        <v>73</v>
      </c>
      <c r="H1123">
        <v>62</v>
      </c>
      <c r="I1123">
        <v>33</v>
      </c>
      <c r="J1123">
        <v>3</v>
      </c>
      <c r="K1123">
        <v>1</v>
      </c>
      <c r="L1123" s="2">
        <f t="shared" si="102"/>
        <v>45292</v>
      </c>
      <c r="M1123" s="2">
        <f t="shared" ca="1" si="103"/>
        <v>45310</v>
      </c>
      <c r="N1123" s="2">
        <f t="shared" ca="1" si="104"/>
        <v>45320</v>
      </c>
      <c r="O1123" s="3">
        <f t="shared" ca="1" si="105"/>
        <v>18</v>
      </c>
      <c r="P1123" s="3">
        <f t="shared" ca="1" si="106"/>
        <v>10</v>
      </c>
      <c r="Q1123" s="1" t="str">
        <f>IF(K1123=1,"Joined",IF(H1123&gt;=70,"Dropped at Offer",IF(H1123&gt;=50,"Dropped at Interview","Dropped at Screening")))</f>
        <v>Joined</v>
      </c>
      <c r="R1123" s="1" t="str">
        <f t="shared" ca="1" si="107"/>
        <v>Jan-2024</v>
      </c>
    </row>
    <row r="1124" spans="1:18">
      <c r="A1124">
        <v>32</v>
      </c>
      <c r="B1124">
        <v>0</v>
      </c>
      <c r="C1124">
        <v>2</v>
      </c>
      <c r="D1124">
        <v>15</v>
      </c>
      <c r="E1124">
        <v>4</v>
      </c>
      <c r="F1124">
        <v>25.677182979472601</v>
      </c>
      <c r="G1124">
        <v>24</v>
      </c>
      <c r="H1124">
        <v>95</v>
      </c>
      <c r="I1124">
        <v>47</v>
      </c>
      <c r="J1124">
        <v>2</v>
      </c>
      <c r="K1124">
        <v>0</v>
      </c>
      <c r="L1124" s="2">
        <f t="shared" si="102"/>
        <v>45292</v>
      </c>
      <c r="M1124" s="2">
        <f t="shared" ca="1" si="103"/>
        <v>45334</v>
      </c>
      <c r="N1124" s="2" t="str">
        <f t="shared" ca="1" si="104"/>
        <v>N/A</v>
      </c>
      <c r="O1124" s="3">
        <f t="shared" ca="1" si="105"/>
        <v>42</v>
      </c>
      <c r="P1124" s="3" t="str">
        <f t="shared" ca="1" si="106"/>
        <v>N/A</v>
      </c>
      <c r="Q1124" s="1" t="str">
        <f>IF(K1124=1,"Joined",IF(H1124&gt;=70,"Dropped at Offer",IF(H1124&gt;=50,"Dropped at Interview","Dropped at Screening")))</f>
        <v>Dropped at Offer</v>
      </c>
      <c r="R1124" s="1" t="str">
        <f t="shared" ca="1" si="107"/>
        <v>Feb-2024</v>
      </c>
    </row>
    <row r="1125" spans="1:18">
      <c r="A1125">
        <v>49</v>
      </c>
      <c r="B1125">
        <v>0</v>
      </c>
      <c r="C1125">
        <v>1</v>
      </c>
      <c r="D1125">
        <v>13</v>
      </c>
      <c r="E1125">
        <v>1</v>
      </c>
      <c r="F1125">
        <v>23.678640480758698</v>
      </c>
      <c r="G1125">
        <v>94</v>
      </c>
      <c r="H1125">
        <v>29</v>
      </c>
      <c r="I1125">
        <v>11</v>
      </c>
      <c r="J1125">
        <v>2</v>
      </c>
      <c r="K1125">
        <v>0</v>
      </c>
      <c r="L1125" s="2">
        <f t="shared" si="102"/>
        <v>45292</v>
      </c>
      <c r="M1125" s="2">
        <f t="shared" ca="1" si="103"/>
        <v>45311</v>
      </c>
      <c r="N1125" s="2" t="str">
        <f t="shared" ca="1" si="104"/>
        <v>N/A</v>
      </c>
      <c r="O1125" s="3">
        <f t="shared" ca="1" si="105"/>
        <v>19</v>
      </c>
      <c r="P1125" s="3" t="str">
        <f t="shared" ca="1" si="106"/>
        <v>N/A</v>
      </c>
      <c r="Q1125" s="1" t="str">
        <f>IF(K1125=1,"Joined",IF(H1125&gt;=70,"Dropped at Offer",IF(H1125&gt;=50,"Dropped at Interview","Dropped at Screening")))</f>
        <v>Dropped at Screening</v>
      </c>
      <c r="R1125" s="1" t="str">
        <f t="shared" ca="1" si="107"/>
        <v>Jan-2024</v>
      </c>
    </row>
    <row r="1126" spans="1:18">
      <c r="A1126">
        <v>30</v>
      </c>
      <c r="B1126">
        <v>1</v>
      </c>
      <c r="C1126">
        <v>2</v>
      </c>
      <c r="D1126">
        <v>7</v>
      </c>
      <c r="E1126">
        <v>5</v>
      </c>
      <c r="F1126">
        <v>2.9024589155045399</v>
      </c>
      <c r="G1126">
        <v>66</v>
      </c>
      <c r="H1126">
        <v>44</v>
      </c>
      <c r="I1126">
        <v>22</v>
      </c>
      <c r="J1126">
        <v>1</v>
      </c>
      <c r="K1126">
        <v>0</v>
      </c>
      <c r="L1126" s="2">
        <f t="shared" si="102"/>
        <v>45292</v>
      </c>
      <c r="M1126" s="2">
        <f t="shared" ca="1" si="103"/>
        <v>45312</v>
      </c>
      <c r="N1126" s="2" t="str">
        <f t="shared" ca="1" si="104"/>
        <v>N/A</v>
      </c>
      <c r="O1126" s="3">
        <f t="shared" ca="1" si="105"/>
        <v>20</v>
      </c>
      <c r="P1126" s="3" t="str">
        <f t="shared" ca="1" si="106"/>
        <v>N/A</v>
      </c>
      <c r="Q1126" s="1" t="str">
        <f>IF(K1126=1,"Joined",IF(H1126&gt;=70,"Dropped at Offer",IF(H1126&gt;=50,"Dropped at Interview","Dropped at Screening")))</f>
        <v>Dropped at Screening</v>
      </c>
      <c r="R1126" s="1" t="str">
        <f t="shared" ca="1" si="107"/>
        <v>Jan-2024</v>
      </c>
    </row>
    <row r="1127" spans="1:18">
      <c r="A1127">
        <v>30</v>
      </c>
      <c r="B1127">
        <v>0</v>
      </c>
      <c r="C1127">
        <v>3</v>
      </c>
      <c r="D1127">
        <v>12</v>
      </c>
      <c r="E1127">
        <v>2</v>
      </c>
      <c r="F1127">
        <v>37.4318511158449</v>
      </c>
      <c r="G1127">
        <v>1</v>
      </c>
      <c r="H1127">
        <v>89</v>
      </c>
      <c r="I1127">
        <v>78</v>
      </c>
      <c r="J1127">
        <v>1</v>
      </c>
      <c r="K1127">
        <v>1</v>
      </c>
      <c r="L1127" s="2">
        <f t="shared" si="102"/>
        <v>45292</v>
      </c>
      <c r="M1127" s="2">
        <f t="shared" ca="1" si="103"/>
        <v>45320</v>
      </c>
      <c r="N1127" s="2">
        <f t="shared" ca="1" si="104"/>
        <v>45333</v>
      </c>
      <c r="O1127" s="3">
        <f t="shared" ca="1" si="105"/>
        <v>28</v>
      </c>
      <c r="P1127" s="3">
        <f t="shared" ca="1" si="106"/>
        <v>13</v>
      </c>
      <c r="Q1127" s="1" t="str">
        <f>IF(K1127=1,"Joined",IF(H1127&gt;=70,"Dropped at Offer",IF(H1127&gt;=50,"Dropped at Interview","Dropped at Screening")))</f>
        <v>Joined</v>
      </c>
      <c r="R1127" s="1" t="str">
        <f t="shared" ca="1" si="107"/>
        <v>Jan-2024</v>
      </c>
    </row>
    <row r="1128" spans="1:18">
      <c r="A1128">
        <v>35</v>
      </c>
      <c r="B1128">
        <v>0</v>
      </c>
      <c r="C1128">
        <v>1</v>
      </c>
      <c r="D1128">
        <v>12</v>
      </c>
      <c r="E1128">
        <v>2</v>
      </c>
      <c r="F1128">
        <v>27.4034040466039</v>
      </c>
      <c r="G1128">
        <v>88</v>
      </c>
      <c r="H1128">
        <v>60</v>
      </c>
      <c r="I1128">
        <v>96</v>
      </c>
      <c r="J1128">
        <v>1</v>
      </c>
      <c r="K1128">
        <v>1</v>
      </c>
      <c r="L1128" s="2">
        <f t="shared" si="102"/>
        <v>45292</v>
      </c>
      <c r="M1128" s="2">
        <f t="shared" ca="1" si="103"/>
        <v>45332</v>
      </c>
      <c r="N1128" s="2">
        <f t="shared" ca="1" si="104"/>
        <v>45359</v>
      </c>
      <c r="O1128" s="3">
        <f t="shared" ca="1" si="105"/>
        <v>40</v>
      </c>
      <c r="P1128" s="3">
        <f t="shared" ca="1" si="106"/>
        <v>27</v>
      </c>
      <c r="Q1128" s="1" t="str">
        <f>IF(K1128=1,"Joined",IF(H1128&gt;=70,"Dropped at Offer",IF(H1128&gt;=50,"Dropped at Interview","Dropped at Screening")))</f>
        <v>Joined</v>
      </c>
      <c r="R1128" s="1" t="str">
        <f t="shared" ca="1" si="107"/>
        <v>Feb-2024</v>
      </c>
    </row>
    <row r="1129" spans="1:18">
      <c r="A1129">
        <v>30</v>
      </c>
      <c r="B1129">
        <v>0</v>
      </c>
      <c r="C1129">
        <v>3</v>
      </c>
      <c r="D1129">
        <v>0</v>
      </c>
      <c r="E1129">
        <v>5</v>
      </c>
      <c r="F1129">
        <v>11.104046804326</v>
      </c>
      <c r="G1129">
        <v>48</v>
      </c>
      <c r="H1129">
        <v>99</v>
      </c>
      <c r="I1129">
        <v>12</v>
      </c>
      <c r="J1129">
        <v>2</v>
      </c>
      <c r="K1129">
        <v>0</v>
      </c>
      <c r="L1129" s="2">
        <f t="shared" si="102"/>
        <v>45292</v>
      </c>
      <c r="M1129" s="2">
        <f t="shared" ca="1" si="103"/>
        <v>45331</v>
      </c>
      <c r="N1129" s="2" t="str">
        <f t="shared" ca="1" si="104"/>
        <v>N/A</v>
      </c>
      <c r="O1129" s="3">
        <f t="shared" ca="1" si="105"/>
        <v>39</v>
      </c>
      <c r="P1129" s="3" t="str">
        <f t="shared" ca="1" si="106"/>
        <v>N/A</v>
      </c>
      <c r="Q1129" s="1" t="str">
        <f>IF(K1129=1,"Joined",IF(H1129&gt;=70,"Dropped at Offer",IF(H1129&gt;=50,"Dropped at Interview","Dropped at Screening")))</f>
        <v>Dropped at Offer</v>
      </c>
      <c r="R1129" s="1" t="str">
        <f t="shared" ca="1" si="107"/>
        <v>Feb-2024</v>
      </c>
    </row>
    <row r="1130" spans="1:18">
      <c r="A1130">
        <v>38</v>
      </c>
      <c r="B1130">
        <v>0</v>
      </c>
      <c r="C1130">
        <v>1</v>
      </c>
      <c r="D1130">
        <v>0</v>
      </c>
      <c r="E1130">
        <v>5</v>
      </c>
      <c r="F1130">
        <v>6.5036880090528504</v>
      </c>
      <c r="G1130">
        <v>69</v>
      </c>
      <c r="H1130">
        <v>50</v>
      </c>
      <c r="I1130">
        <v>86</v>
      </c>
      <c r="J1130">
        <v>3</v>
      </c>
      <c r="K1130">
        <v>0</v>
      </c>
      <c r="L1130" s="2">
        <f t="shared" si="102"/>
        <v>45292</v>
      </c>
      <c r="M1130" s="2">
        <f t="shared" ca="1" si="103"/>
        <v>45328</v>
      </c>
      <c r="N1130" s="2" t="str">
        <f t="shared" ca="1" si="104"/>
        <v>N/A</v>
      </c>
      <c r="O1130" s="3">
        <f t="shared" ca="1" si="105"/>
        <v>36</v>
      </c>
      <c r="P1130" s="3" t="str">
        <f t="shared" ca="1" si="106"/>
        <v>N/A</v>
      </c>
      <c r="Q1130" s="1" t="str">
        <f>IF(K1130=1,"Joined",IF(H1130&gt;=70,"Dropped at Offer",IF(H1130&gt;=50,"Dropped at Interview","Dropped at Screening")))</f>
        <v>Dropped at Interview</v>
      </c>
      <c r="R1130" s="1" t="str">
        <f t="shared" ca="1" si="107"/>
        <v>Feb-2024</v>
      </c>
    </row>
    <row r="1131" spans="1:18">
      <c r="A1131">
        <v>34</v>
      </c>
      <c r="B1131">
        <v>1</v>
      </c>
      <c r="C1131">
        <v>2</v>
      </c>
      <c r="D1131">
        <v>4</v>
      </c>
      <c r="E1131">
        <v>1</v>
      </c>
      <c r="F1131">
        <v>20.169393181599901</v>
      </c>
      <c r="G1131">
        <v>25</v>
      </c>
      <c r="H1131">
        <v>97</v>
      </c>
      <c r="I1131">
        <v>95</v>
      </c>
      <c r="J1131">
        <v>1</v>
      </c>
      <c r="K1131">
        <v>1</v>
      </c>
      <c r="L1131" s="2">
        <f t="shared" si="102"/>
        <v>45292</v>
      </c>
      <c r="M1131" s="2">
        <f t="shared" ca="1" si="103"/>
        <v>45307</v>
      </c>
      <c r="N1131" s="2">
        <f t="shared" ca="1" si="104"/>
        <v>45331</v>
      </c>
      <c r="O1131" s="3">
        <f t="shared" ca="1" si="105"/>
        <v>15</v>
      </c>
      <c r="P1131" s="3">
        <f t="shared" ca="1" si="106"/>
        <v>24</v>
      </c>
      <c r="Q1131" s="1" t="str">
        <f>IF(K1131=1,"Joined",IF(H1131&gt;=70,"Dropped at Offer",IF(H1131&gt;=50,"Dropped at Interview","Dropped at Screening")))</f>
        <v>Joined</v>
      </c>
      <c r="R1131" s="1" t="str">
        <f t="shared" ca="1" si="107"/>
        <v>Jan-2024</v>
      </c>
    </row>
    <row r="1132" spans="1:18">
      <c r="A1132">
        <v>44</v>
      </c>
      <c r="B1132">
        <v>0</v>
      </c>
      <c r="C1132">
        <v>2</v>
      </c>
      <c r="D1132">
        <v>5</v>
      </c>
      <c r="E1132">
        <v>3</v>
      </c>
      <c r="F1132">
        <v>42.858098209751198</v>
      </c>
      <c r="G1132">
        <v>71</v>
      </c>
      <c r="H1132">
        <v>8</v>
      </c>
      <c r="I1132">
        <v>44</v>
      </c>
      <c r="J1132">
        <v>1</v>
      </c>
      <c r="K1132">
        <v>0</v>
      </c>
      <c r="L1132" s="2">
        <f t="shared" si="102"/>
        <v>45292</v>
      </c>
      <c r="M1132" s="2">
        <f t="shared" ca="1" si="103"/>
        <v>45322</v>
      </c>
      <c r="N1132" s="2" t="str">
        <f t="shared" ca="1" si="104"/>
        <v>N/A</v>
      </c>
      <c r="O1132" s="3">
        <f t="shared" ca="1" si="105"/>
        <v>30</v>
      </c>
      <c r="P1132" s="3" t="str">
        <f t="shared" ca="1" si="106"/>
        <v>N/A</v>
      </c>
      <c r="Q1132" s="1" t="str">
        <f>IF(K1132=1,"Joined",IF(H1132&gt;=70,"Dropped at Offer",IF(H1132&gt;=50,"Dropped at Interview","Dropped at Screening")))</f>
        <v>Dropped at Screening</v>
      </c>
      <c r="R1132" s="1" t="str">
        <f t="shared" ca="1" si="107"/>
        <v>Jan-2024</v>
      </c>
    </row>
    <row r="1133" spans="1:18">
      <c r="A1133">
        <v>42</v>
      </c>
      <c r="B1133">
        <v>1</v>
      </c>
      <c r="C1133">
        <v>3</v>
      </c>
      <c r="D1133">
        <v>2</v>
      </c>
      <c r="E1133">
        <v>2</v>
      </c>
      <c r="F1133">
        <v>44.264727960051196</v>
      </c>
      <c r="G1133">
        <v>98</v>
      </c>
      <c r="H1133">
        <v>75</v>
      </c>
      <c r="I1133">
        <v>98</v>
      </c>
      <c r="J1133">
        <v>2</v>
      </c>
      <c r="K1133">
        <v>1</v>
      </c>
      <c r="L1133" s="2">
        <f t="shared" si="102"/>
        <v>45292</v>
      </c>
      <c r="M1133" s="2">
        <f t="shared" ca="1" si="103"/>
        <v>45329</v>
      </c>
      <c r="N1133" s="2">
        <f t="shared" ca="1" si="104"/>
        <v>45355</v>
      </c>
      <c r="O1133" s="3">
        <f t="shared" ca="1" si="105"/>
        <v>37</v>
      </c>
      <c r="P1133" s="3">
        <f t="shared" ca="1" si="106"/>
        <v>26</v>
      </c>
      <c r="Q1133" s="1" t="str">
        <f>IF(K1133=1,"Joined",IF(H1133&gt;=70,"Dropped at Offer",IF(H1133&gt;=50,"Dropped at Interview","Dropped at Screening")))</f>
        <v>Joined</v>
      </c>
      <c r="R1133" s="1" t="str">
        <f t="shared" ca="1" si="107"/>
        <v>Feb-2024</v>
      </c>
    </row>
    <row r="1134" spans="1:18">
      <c r="A1134">
        <v>42</v>
      </c>
      <c r="B1134">
        <v>0</v>
      </c>
      <c r="C1134">
        <v>2</v>
      </c>
      <c r="D1134">
        <v>12</v>
      </c>
      <c r="E1134">
        <v>1</v>
      </c>
      <c r="F1134">
        <v>31.142319019781802</v>
      </c>
      <c r="G1134">
        <v>26</v>
      </c>
      <c r="H1134">
        <v>1</v>
      </c>
      <c r="I1134">
        <v>64</v>
      </c>
      <c r="J1134">
        <v>1</v>
      </c>
      <c r="K1134">
        <v>1</v>
      </c>
      <c r="L1134" s="2">
        <f t="shared" si="102"/>
        <v>45292</v>
      </c>
      <c r="M1134" s="2">
        <f t="shared" ca="1" si="103"/>
        <v>45313</v>
      </c>
      <c r="N1134" s="2">
        <f t="shared" ca="1" si="104"/>
        <v>45322</v>
      </c>
      <c r="O1134" s="3">
        <f t="shared" ca="1" si="105"/>
        <v>21</v>
      </c>
      <c r="P1134" s="3">
        <f t="shared" ca="1" si="106"/>
        <v>9</v>
      </c>
      <c r="Q1134" s="1" t="str">
        <f>IF(K1134=1,"Joined",IF(H1134&gt;=70,"Dropped at Offer",IF(H1134&gt;=50,"Dropped at Interview","Dropped at Screening")))</f>
        <v>Joined</v>
      </c>
      <c r="R1134" s="1" t="str">
        <f t="shared" ca="1" si="107"/>
        <v>Jan-2024</v>
      </c>
    </row>
    <row r="1135" spans="1:18">
      <c r="A1135">
        <v>35</v>
      </c>
      <c r="B1135">
        <v>0</v>
      </c>
      <c r="C1135">
        <v>3</v>
      </c>
      <c r="D1135">
        <v>8</v>
      </c>
      <c r="E1135">
        <v>5</v>
      </c>
      <c r="F1135">
        <v>37.376821361507098</v>
      </c>
      <c r="G1135">
        <v>88</v>
      </c>
      <c r="H1135">
        <v>4</v>
      </c>
      <c r="I1135">
        <v>46</v>
      </c>
      <c r="J1135">
        <v>3</v>
      </c>
      <c r="K1135">
        <v>0</v>
      </c>
      <c r="L1135" s="2">
        <f t="shared" si="102"/>
        <v>45292</v>
      </c>
      <c r="M1135" s="2">
        <f t="shared" ca="1" si="103"/>
        <v>45316</v>
      </c>
      <c r="N1135" s="2" t="str">
        <f t="shared" ca="1" si="104"/>
        <v>N/A</v>
      </c>
      <c r="O1135" s="3">
        <f t="shared" ca="1" si="105"/>
        <v>24</v>
      </c>
      <c r="P1135" s="3" t="str">
        <f t="shared" ca="1" si="106"/>
        <v>N/A</v>
      </c>
      <c r="Q1135" s="1" t="str">
        <f>IF(K1135=1,"Joined",IF(H1135&gt;=70,"Dropped at Offer",IF(H1135&gt;=50,"Dropped at Interview","Dropped at Screening")))</f>
        <v>Dropped at Screening</v>
      </c>
      <c r="R1135" s="1" t="str">
        <f t="shared" ca="1" si="107"/>
        <v>Jan-2024</v>
      </c>
    </row>
    <row r="1136" spans="1:18">
      <c r="A1136">
        <v>50</v>
      </c>
      <c r="B1136">
        <v>1</v>
      </c>
      <c r="C1136">
        <v>3</v>
      </c>
      <c r="D1136">
        <v>11</v>
      </c>
      <c r="E1136">
        <v>1</v>
      </c>
      <c r="F1136">
        <v>6.7577893701435103</v>
      </c>
      <c r="G1136">
        <v>17</v>
      </c>
      <c r="H1136">
        <v>61</v>
      </c>
      <c r="I1136">
        <v>57</v>
      </c>
      <c r="J1136">
        <v>2</v>
      </c>
      <c r="K1136">
        <v>0</v>
      </c>
      <c r="L1136" s="2">
        <f t="shared" si="102"/>
        <v>45292</v>
      </c>
      <c r="M1136" s="2">
        <f t="shared" ca="1" si="103"/>
        <v>45335</v>
      </c>
      <c r="N1136" s="2" t="str">
        <f t="shared" ca="1" si="104"/>
        <v>N/A</v>
      </c>
      <c r="O1136" s="3">
        <f t="shared" ca="1" si="105"/>
        <v>43</v>
      </c>
      <c r="P1136" s="3" t="str">
        <f t="shared" ca="1" si="106"/>
        <v>N/A</v>
      </c>
      <c r="Q1136" s="1" t="str">
        <f>IF(K1136=1,"Joined",IF(H1136&gt;=70,"Dropped at Offer",IF(H1136&gt;=50,"Dropped at Interview","Dropped at Screening")))</f>
        <v>Dropped at Interview</v>
      </c>
      <c r="R1136" s="1" t="str">
        <f t="shared" ca="1" si="107"/>
        <v>Feb-2024</v>
      </c>
    </row>
    <row r="1137" spans="1:18">
      <c r="A1137">
        <v>30</v>
      </c>
      <c r="B1137">
        <v>0</v>
      </c>
      <c r="C1137">
        <v>2</v>
      </c>
      <c r="D1137">
        <v>9</v>
      </c>
      <c r="E1137">
        <v>5</v>
      </c>
      <c r="F1137">
        <v>30.406303273392702</v>
      </c>
      <c r="G1137">
        <v>53</v>
      </c>
      <c r="H1137">
        <v>68</v>
      </c>
      <c r="I1137">
        <v>4</v>
      </c>
      <c r="J1137">
        <v>1</v>
      </c>
      <c r="K1137">
        <v>1</v>
      </c>
      <c r="L1137" s="2">
        <f t="shared" si="102"/>
        <v>45292</v>
      </c>
      <c r="M1137" s="2">
        <f t="shared" ca="1" si="103"/>
        <v>45324</v>
      </c>
      <c r="N1137" s="2">
        <f t="shared" ca="1" si="104"/>
        <v>45336</v>
      </c>
      <c r="O1137" s="3">
        <f t="shared" ca="1" si="105"/>
        <v>32</v>
      </c>
      <c r="P1137" s="3">
        <f t="shared" ca="1" si="106"/>
        <v>12</v>
      </c>
      <c r="Q1137" s="1" t="str">
        <f>IF(K1137=1,"Joined",IF(H1137&gt;=70,"Dropped at Offer",IF(H1137&gt;=50,"Dropped at Interview","Dropped at Screening")))</f>
        <v>Joined</v>
      </c>
      <c r="R1137" s="1" t="str">
        <f t="shared" ca="1" si="107"/>
        <v>Feb-2024</v>
      </c>
    </row>
    <row r="1138" spans="1:18">
      <c r="A1138">
        <v>41</v>
      </c>
      <c r="B1138">
        <v>1</v>
      </c>
      <c r="C1138">
        <v>3</v>
      </c>
      <c r="D1138">
        <v>13</v>
      </c>
      <c r="E1138">
        <v>4</v>
      </c>
      <c r="F1138">
        <v>34.348285174358999</v>
      </c>
      <c r="G1138">
        <v>0</v>
      </c>
      <c r="H1138">
        <v>51</v>
      </c>
      <c r="I1138">
        <v>76</v>
      </c>
      <c r="J1138">
        <v>1</v>
      </c>
      <c r="K1138">
        <v>1</v>
      </c>
      <c r="L1138" s="2">
        <f t="shared" si="102"/>
        <v>45292</v>
      </c>
      <c r="M1138" s="2">
        <f t="shared" ca="1" si="103"/>
        <v>45325</v>
      </c>
      <c r="N1138" s="2">
        <f t="shared" ca="1" si="104"/>
        <v>45333</v>
      </c>
      <c r="O1138" s="3">
        <f t="shared" ca="1" si="105"/>
        <v>33</v>
      </c>
      <c r="P1138" s="3">
        <f t="shared" ca="1" si="106"/>
        <v>8</v>
      </c>
      <c r="Q1138" s="1" t="str">
        <f>IF(K1138=1,"Joined",IF(H1138&gt;=70,"Dropped at Offer",IF(H1138&gt;=50,"Dropped at Interview","Dropped at Screening")))</f>
        <v>Joined</v>
      </c>
      <c r="R1138" s="1" t="str">
        <f t="shared" ca="1" si="107"/>
        <v>Feb-2024</v>
      </c>
    </row>
    <row r="1139" spans="1:18">
      <c r="A1139">
        <v>35</v>
      </c>
      <c r="B1139">
        <v>1</v>
      </c>
      <c r="C1139">
        <v>3</v>
      </c>
      <c r="D1139">
        <v>14</v>
      </c>
      <c r="E1139">
        <v>5</v>
      </c>
      <c r="F1139">
        <v>11.0356421456896</v>
      </c>
      <c r="G1139">
        <v>60</v>
      </c>
      <c r="H1139">
        <v>85</v>
      </c>
      <c r="I1139">
        <v>4</v>
      </c>
      <c r="J1139">
        <v>1</v>
      </c>
      <c r="K1139">
        <v>1</v>
      </c>
      <c r="L1139" s="2">
        <f t="shared" si="102"/>
        <v>45292</v>
      </c>
      <c r="M1139" s="2">
        <f t="shared" ca="1" si="103"/>
        <v>45321</v>
      </c>
      <c r="N1139" s="2">
        <f t="shared" ca="1" si="104"/>
        <v>45329</v>
      </c>
      <c r="O1139" s="3">
        <f t="shared" ca="1" si="105"/>
        <v>29</v>
      </c>
      <c r="P1139" s="3">
        <f t="shared" ca="1" si="106"/>
        <v>8</v>
      </c>
      <c r="Q1139" s="1" t="str">
        <f>IF(K1139=1,"Joined",IF(H1139&gt;=70,"Dropped at Offer",IF(H1139&gt;=50,"Dropped at Interview","Dropped at Screening")))</f>
        <v>Joined</v>
      </c>
      <c r="R1139" s="1" t="str">
        <f t="shared" ca="1" si="107"/>
        <v>Jan-2024</v>
      </c>
    </row>
    <row r="1140" spans="1:18">
      <c r="A1140">
        <v>27</v>
      </c>
      <c r="B1140">
        <v>0</v>
      </c>
      <c r="C1140">
        <v>1</v>
      </c>
      <c r="D1140">
        <v>5</v>
      </c>
      <c r="E1140">
        <v>5</v>
      </c>
      <c r="F1140">
        <v>45.0077366455129</v>
      </c>
      <c r="G1140">
        <v>2</v>
      </c>
      <c r="H1140">
        <v>4</v>
      </c>
      <c r="I1140">
        <v>59</v>
      </c>
      <c r="J1140">
        <v>2</v>
      </c>
      <c r="K1140">
        <v>0</v>
      </c>
      <c r="L1140" s="2">
        <f t="shared" si="102"/>
        <v>45292</v>
      </c>
      <c r="M1140" s="2">
        <f t="shared" ca="1" si="103"/>
        <v>45315</v>
      </c>
      <c r="N1140" s="2" t="str">
        <f t="shared" ca="1" si="104"/>
        <v>N/A</v>
      </c>
      <c r="O1140" s="3">
        <f t="shared" ca="1" si="105"/>
        <v>23</v>
      </c>
      <c r="P1140" s="3" t="str">
        <f t="shared" ca="1" si="106"/>
        <v>N/A</v>
      </c>
      <c r="Q1140" s="1" t="str">
        <f>IF(K1140=1,"Joined",IF(H1140&gt;=70,"Dropped at Offer",IF(H1140&gt;=50,"Dropped at Interview","Dropped at Screening")))</f>
        <v>Dropped at Screening</v>
      </c>
      <c r="R1140" s="1" t="str">
        <f t="shared" ca="1" si="107"/>
        <v>Jan-2024</v>
      </c>
    </row>
    <row r="1141" spans="1:18">
      <c r="A1141">
        <v>23</v>
      </c>
      <c r="B1141">
        <v>1</v>
      </c>
      <c r="C1141">
        <v>2</v>
      </c>
      <c r="D1141">
        <v>3</v>
      </c>
      <c r="E1141">
        <v>5</v>
      </c>
      <c r="F1141">
        <v>10.7498368760509</v>
      </c>
      <c r="G1141">
        <v>67</v>
      </c>
      <c r="H1141">
        <v>58</v>
      </c>
      <c r="I1141">
        <v>95</v>
      </c>
      <c r="J1141">
        <v>1</v>
      </c>
      <c r="K1141">
        <v>1</v>
      </c>
      <c r="L1141" s="2">
        <f t="shared" si="102"/>
        <v>45292</v>
      </c>
      <c r="M1141" s="2">
        <f t="shared" ca="1" si="103"/>
        <v>45310</v>
      </c>
      <c r="N1141" s="2">
        <f t="shared" ca="1" si="104"/>
        <v>45334</v>
      </c>
      <c r="O1141" s="3">
        <f t="shared" ca="1" si="105"/>
        <v>18</v>
      </c>
      <c r="P1141" s="3">
        <f t="shared" ca="1" si="106"/>
        <v>24</v>
      </c>
      <c r="Q1141" s="1" t="str">
        <f>IF(K1141=1,"Joined",IF(H1141&gt;=70,"Dropped at Offer",IF(H1141&gt;=50,"Dropped at Interview","Dropped at Screening")))</f>
        <v>Joined</v>
      </c>
      <c r="R1141" s="1" t="str">
        <f t="shared" ca="1" si="107"/>
        <v>Jan-2024</v>
      </c>
    </row>
    <row r="1142" spans="1:18">
      <c r="A1142">
        <v>27</v>
      </c>
      <c r="B1142">
        <v>1</v>
      </c>
      <c r="C1142">
        <v>4</v>
      </c>
      <c r="D1142">
        <v>11</v>
      </c>
      <c r="E1142">
        <v>3</v>
      </c>
      <c r="F1142">
        <v>16.673867992322499</v>
      </c>
      <c r="G1142">
        <v>40</v>
      </c>
      <c r="H1142">
        <v>67</v>
      </c>
      <c r="I1142">
        <v>20</v>
      </c>
      <c r="J1142">
        <v>2</v>
      </c>
      <c r="K1142">
        <v>0</v>
      </c>
      <c r="L1142" s="2">
        <f t="shared" si="102"/>
        <v>45292</v>
      </c>
      <c r="M1142" s="2">
        <f t="shared" ca="1" si="103"/>
        <v>45335</v>
      </c>
      <c r="N1142" s="2" t="str">
        <f t="shared" ca="1" si="104"/>
        <v>N/A</v>
      </c>
      <c r="O1142" s="3">
        <f t="shared" ca="1" si="105"/>
        <v>43</v>
      </c>
      <c r="P1142" s="3" t="str">
        <f t="shared" ca="1" si="106"/>
        <v>N/A</v>
      </c>
      <c r="Q1142" s="1" t="str">
        <f>IF(K1142=1,"Joined",IF(H1142&gt;=70,"Dropped at Offer",IF(H1142&gt;=50,"Dropped at Interview","Dropped at Screening")))</f>
        <v>Dropped at Interview</v>
      </c>
      <c r="R1142" s="1" t="str">
        <f t="shared" ca="1" si="107"/>
        <v>Feb-2024</v>
      </c>
    </row>
    <row r="1143" spans="1:18">
      <c r="A1143">
        <v>23</v>
      </c>
      <c r="B1143">
        <v>1</v>
      </c>
      <c r="C1143">
        <v>1</v>
      </c>
      <c r="D1143">
        <v>6</v>
      </c>
      <c r="E1143">
        <v>5</v>
      </c>
      <c r="F1143">
        <v>32.0278423511729</v>
      </c>
      <c r="G1143">
        <v>36</v>
      </c>
      <c r="H1143">
        <v>8</v>
      </c>
      <c r="I1143">
        <v>23</v>
      </c>
      <c r="J1143">
        <v>2</v>
      </c>
      <c r="K1143">
        <v>0</v>
      </c>
      <c r="L1143" s="2">
        <f t="shared" si="102"/>
        <v>45292</v>
      </c>
      <c r="M1143" s="2">
        <f t="shared" ca="1" si="103"/>
        <v>45318</v>
      </c>
      <c r="N1143" s="2" t="str">
        <f t="shared" ca="1" si="104"/>
        <v>N/A</v>
      </c>
      <c r="O1143" s="3">
        <f t="shared" ca="1" si="105"/>
        <v>26</v>
      </c>
      <c r="P1143" s="3" t="str">
        <f t="shared" ca="1" si="106"/>
        <v>N/A</v>
      </c>
      <c r="Q1143" s="1" t="str">
        <f>IF(K1143=1,"Joined",IF(H1143&gt;=70,"Dropped at Offer",IF(H1143&gt;=50,"Dropped at Interview","Dropped at Screening")))</f>
        <v>Dropped at Screening</v>
      </c>
      <c r="R1143" s="1" t="str">
        <f t="shared" ca="1" si="107"/>
        <v>Jan-2024</v>
      </c>
    </row>
    <row r="1144" spans="1:18">
      <c r="A1144">
        <v>43</v>
      </c>
      <c r="B1144">
        <v>1</v>
      </c>
      <c r="C1144">
        <v>3</v>
      </c>
      <c r="D1144">
        <v>7</v>
      </c>
      <c r="E1144">
        <v>2</v>
      </c>
      <c r="F1144">
        <v>32.917503256536499</v>
      </c>
      <c r="G1144">
        <v>50</v>
      </c>
      <c r="H1144">
        <v>92</v>
      </c>
      <c r="I1144">
        <v>17</v>
      </c>
      <c r="J1144">
        <v>1</v>
      </c>
      <c r="K1144">
        <v>1</v>
      </c>
      <c r="L1144" s="2">
        <f t="shared" si="102"/>
        <v>45292</v>
      </c>
      <c r="M1144" s="2">
        <f t="shared" ca="1" si="103"/>
        <v>45317</v>
      </c>
      <c r="N1144" s="2">
        <f t="shared" ca="1" si="104"/>
        <v>45347</v>
      </c>
      <c r="O1144" s="3">
        <f t="shared" ca="1" si="105"/>
        <v>25</v>
      </c>
      <c r="P1144" s="3">
        <f t="shared" ca="1" si="106"/>
        <v>30</v>
      </c>
      <c r="Q1144" s="1" t="str">
        <f>IF(K1144=1,"Joined",IF(H1144&gt;=70,"Dropped at Offer",IF(H1144&gt;=50,"Dropped at Interview","Dropped at Screening")))</f>
        <v>Joined</v>
      </c>
      <c r="R1144" s="1" t="str">
        <f t="shared" ca="1" si="107"/>
        <v>Jan-2024</v>
      </c>
    </row>
    <row r="1145" spans="1:18">
      <c r="A1145">
        <v>44</v>
      </c>
      <c r="B1145">
        <v>1</v>
      </c>
      <c r="C1145">
        <v>4</v>
      </c>
      <c r="D1145">
        <v>8</v>
      </c>
      <c r="E1145">
        <v>2</v>
      </c>
      <c r="F1145">
        <v>35.969237049368303</v>
      </c>
      <c r="G1145">
        <v>14</v>
      </c>
      <c r="H1145">
        <v>21</v>
      </c>
      <c r="I1145">
        <v>20</v>
      </c>
      <c r="J1145">
        <v>1</v>
      </c>
      <c r="K1145">
        <v>1</v>
      </c>
      <c r="L1145" s="2">
        <f t="shared" si="102"/>
        <v>45292</v>
      </c>
      <c r="M1145" s="2">
        <f t="shared" ca="1" si="103"/>
        <v>45319</v>
      </c>
      <c r="N1145" s="2">
        <f t="shared" ca="1" si="104"/>
        <v>45332</v>
      </c>
      <c r="O1145" s="3">
        <f t="shared" ca="1" si="105"/>
        <v>27</v>
      </c>
      <c r="P1145" s="3">
        <f t="shared" ca="1" si="106"/>
        <v>13</v>
      </c>
      <c r="Q1145" s="1" t="str">
        <f>IF(K1145=1,"Joined",IF(H1145&gt;=70,"Dropped at Offer",IF(H1145&gt;=50,"Dropped at Interview","Dropped at Screening")))</f>
        <v>Joined</v>
      </c>
      <c r="R1145" s="1" t="str">
        <f t="shared" ca="1" si="107"/>
        <v>Jan-2024</v>
      </c>
    </row>
    <row r="1146" spans="1:18">
      <c r="A1146">
        <v>22</v>
      </c>
      <c r="B1146">
        <v>1</v>
      </c>
      <c r="C1146">
        <v>1</v>
      </c>
      <c r="D1146">
        <v>12</v>
      </c>
      <c r="E1146">
        <v>1</v>
      </c>
      <c r="F1146">
        <v>6.6005856534102803</v>
      </c>
      <c r="G1146">
        <v>7</v>
      </c>
      <c r="H1146">
        <v>26</v>
      </c>
      <c r="I1146">
        <v>53</v>
      </c>
      <c r="J1146">
        <v>2</v>
      </c>
      <c r="K1146">
        <v>0</v>
      </c>
      <c r="L1146" s="2">
        <f t="shared" si="102"/>
        <v>45292</v>
      </c>
      <c r="M1146" s="2">
        <f t="shared" ca="1" si="103"/>
        <v>45319</v>
      </c>
      <c r="N1146" s="2" t="str">
        <f t="shared" ca="1" si="104"/>
        <v>N/A</v>
      </c>
      <c r="O1146" s="3">
        <f t="shared" ca="1" si="105"/>
        <v>27</v>
      </c>
      <c r="P1146" s="3" t="str">
        <f t="shared" ca="1" si="106"/>
        <v>N/A</v>
      </c>
      <c r="Q1146" s="1" t="str">
        <f>IF(K1146=1,"Joined",IF(H1146&gt;=70,"Dropped at Offer",IF(H1146&gt;=50,"Dropped at Interview","Dropped at Screening")))</f>
        <v>Dropped at Screening</v>
      </c>
      <c r="R1146" s="1" t="str">
        <f t="shared" ca="1" si="107"/>
        <v>Jan-2024</v>
      </c>
    </row>
    <row r="1147" spans="1:18">
      <c r="A1147">
        <v>22</v>
      </c>
      <c r="B1147">
        <v>1</v>
      </c>
      <c r="C1147">
        <v>2</v>
      </c>
      <c r="D1147">
        <v>15</v>
      </c>
      <c r="E1147">
        <v>3</v>
      </c>
      <c r="F1147">
        <v>43.473221496427698</v>
      </c>
      <c r="G1147">
        <v>37</v>
      </c>
      <c r="H1147">
        <v>9</v>
      </c>
      <c r="I1147">
        <v>9</v>
      </c>
      <c r="J1147">
        <v>2</v>
      </c>
      <c r="K1147">
        <v>0</v>
      </c>
      <c r="L1147" s="2">
        <f t="shared" si="102"/>
        <v>45292</v>
      </c>
      <c r="M1147" s="2">
        <f t="shared" ca="1" si="103"/>
        <v>45312</v>
      </c>
      <c r="N1147" s="2" t="str">
        <f t="shared" ca="1" si="104"/>
        <v>N/A</v>
      </c>
      <c r="O1147" s="3">
        <f t="shared" ca="1" si="105"/>
        <v>20</v>
      </c>
      <c r="P1147" s="3" t="str">
        <f t="shared" ca="1" si="106"/>
        <v>N/A</v>
      </c>
      <c r="Q1147" s="1" t="str">
        <f>IF(K1147=1,"Joined",IF(H1147&gt;=70,"Dropped at Offer",IF(H1147&gt;=50,"Dropped at Interview","Dropped at Screening")))</f>
        <v>Dropped at Screening</v>
      </c>
      <c r="R1147" s="1" t="str">
        <f t="shared" ca="1" si="107"/>
        <v>Jan-2024</v>
      </c>
    </row>
    <row r="1148" spans="1:18">
      <c r="A1148">
        <v>46</v>
      </c>
      <c r="B1148">
        <v>1</v>
      </c>
      <c r="C1148">
        <v>2</v>
      </c>
      <c r="D1148">
        <v>10</v>
      </c>
      <c r="E1148">
        <v>1</v>
      </c>
      <c r="F1148">
        <v>27.6423566141629</v>
      </c>
      <c r="G1148">
        <v>82</v>
      </c>
      <c r="H1148">
        <v>79</v>
      </c>
      <c r="I1148">
        <v>23</v>
      </c>
      <c r="J1148">
        <v>3</v>
      </c>
      <c r="K1148">
        <v>0</v>
      </c>
      <c r="L1148" s="2">
        <f t="shared" si="102"/>
        <v>45292</v>
      </c>
      <c r="M1148" s="2">
        <f t="shared" ca="1" si="103"/>
        <v>45332</v>
      </c>
      <c r="N1148" s="2" t="str">
        <f t="shared" ca="1" si="104"/>
        <v>N/A</v>
      </c>
      <c r="O1148" s="3">
        <f t="shared" ca="1" si="105"/>
        <v>40</v>
      </c>
      <c r="P1148" s="3" t="str">
        <f t="shared" ca="1" si="106"/>
        <v>N/A</v>
      </c>
      <c r="Q1148" s="1" t="str">
        <f>IF(K1148=1,"Joined",IF(H1148&gt;=70,"Dropped at Offer",IF(H1148&gt;=50,"Dropped at Interview","Dropped at Screening")))</f>
        <v>Dropped at Offer</v>
      </c>
      <c r="R1148" s="1" t="str">
        <f t="shared" ca="1" si="107"/>
        <v>Feb-2024</v>
      </c>
    </row>
    <row r="1149" spans="1:18">
      <c r="A1149">
        <v>48</v>
      </c>
      <c r="B1149">
        <v>0</v>
      </c>
      <c r="C1149">
        <v>2</v>
      </c>
      <c r="D1149">
        <v>5</v>
      </c>
      <c r="E1149">
        <v>2</v>
      </c>
      <c r="F1149">
        <v>24.5660897052534</v>
      </c>
      <c r="G1149">
        <v>55</v>
      </c>
      <c r="H1149">
        <v>60</v>
      </c>
      <c r="I1149">
        <v>84</v>
      </c>
      <c r="J1149">
        <v>1</v>
      </c>
      <c r="K1149">
        <v>1</v>
      </c>
      <c r="L1149" s="2">
        <f t="shared" si="102"/>
        <v>45292</v>
      </c>
      <c r="M1149" s="2">
        <f t="shared" ca="1" si="103"/>
        <v>45323</v>
      </c>
      <c r="N1149" s="2">
        <f t="shared" ca="1" si="104"/>
        <v>45347</v>
      </c>
      <c r="O1149" s="3">
        <f t="shared" ca="1" si="105"/>
        <v>31</v>
      </c>
      <c r="P1149" s="3">
        <f t="shared" ca="1" si="106"/>
        <v>24</v>
      </c>
      <c r="Q1149" s="1" t="str">
        <f>IF(K1149=1,"Joined",IF(H1149&gt;=70,"Dropped at Offer",IF(H1149&gt;=50,"Dropped at Interview","Dropped at Screening")))</f>
        <v>Joined</v>
      </c>
      <c r="R1149" s="1" t="str">
        <f t="shared" ca="1" si="107"/>
        <v>Feb-2024</v>
      </c>
    </row>
    <row r="1150" spans="1:18">
      <c r="A1150">
        <v>37</v>
      </c>
      <c r="B1150">
        <v>0</v>
      </c>
      <c r="C1150">
        <v>1</v>
      </c>
      <c r="D1150">
        <v>14</v>
      </c>
      <c r="E1150">
        <v>2</v>
      </c>
      <c r="F1150">
        <v>50.054881225675402</v>
      </c>
      <c r="G1150">
        <v>46</v>
      </c>
      <c r="H1150">
        <v>50</v>
      </c>
      <c r="I1150">
        <v>88</v>
      </c>
      <c r="J1150">
        <v>1</v>
      </c>
      <c r="K1150">
        <v>1</v>
      </c>
      <c r="L1150" s="2">
        <f t="shared" si="102"/>
        <v>45292</v>
      </c>
      <c r="M1150" s="2">
        <f t="shared" ca="1" si="103"/>
        <v>45315</v>
      </c>
      <c r="N1150" s="2">
        <f t="shared" ca="1" si="104"/>
        <v>45334</v>
      </c>
      <c r="O1150" s="3">
        <f t="shared" ca="1" si="105"/>
        <v>23</v>
      </c>
      <c r="P1150" s="3">
        <f t="shared" ca="1" si="106"/>
        <v>19</v>
      </c>
      <c r="Q1150" s="1" t="str">
        <f>IF(K1150=1,"Joined",IF(H1150&gt;=70,"Dropped at Offer",IF(H1150&gt;=50,"Dropped at Interview","Dropped at Screening")))</f>
        <v>Joined</v>
      </c>
      <c r="R1150" s="1" t="str">
        <f t="shared" ca="1" si="107"/>
        <v>Jan-2024</v>
      </c>
    </row>
    <row r="1151" spans="1:18">
      <c r="A1151">
        <v>48</v>
      </c>
      <c r="B1151">
        <v>1</v>
      </c>
      <c r="C1151">
        <v>1</v>
      </c>
      <c r="D1151">
        <v>5</v>
      </c>
      <c r="E1151">
        <v>4</v>
      </c>
      <c r="F1151">
        <v>38.018914847050901</v>
      </c>
      <c r="G1151">
        <v>89</v>
      </c>
      <c r="H1151">
        <v>9</v>
      </c>
      <c r="I1151">
        <v>59</v>
      </c>
      <c r="J1151">
        <v>1</v>
      </c>
      <c r="K1151">
        <v>0</v>
      </c>
      <c r="L1151" s="2">
        <f t="shared" si="102"/>
        <v>45292</v>
      </c>
      <c r="M1151" s="2">
        <f t="shared" ca="1" si="103"/>
        <v>45311</v>
      </c>
      <c r="N1151" s="2" t="str">
        <f t="shared" ca="1" si="104"/>
        <v>N/A</v>
      </c>
      <c r="O1151" s="3">
        <f t="shared" ca="1" si="105"/>
        <v>19</v>
      </c>
      <c r="P1151" s="3" t="str">
        <f t="shared" ca="1" si="106"/>
        <v>N/A</v>
      </c>
      <c r="Q1151" s="1" t="str">
        <f>IF(K1151=1,"Joined",IF(H1151&gt;=70,"Dropped at Offer",IF(H1151&gt;=50,"Dropped at Interview","Dropped at Screening")))</f>
        <v>Dropped at Screening</v>
      </c>
      <c r="R1151" s="1" t="str">
        <f t="shared" ca="1" si="107"/>
        <v>Jan-2024</v>
      </c>
    </row>
    <row r="1152" spans="1:18">
      <c r="A1152">
        <v>45</v>
      </c>
      <c r="B1152">
        <v>0</v>
      </c>
      <c r="C1152">
        <v>2</v>
      </c>
      <c r="D1152">
        <v>7</v>
      </c>
      <c r="E1152">
        <v>5</v>
      </c>
      <c r="F1152">
        <v>6.9003013309687402</v>
      </c>
      <c r="G1152">
        <v>9</v>
      </c>
      <c r="H1152">
        <v>5</v>
      </c>
      <c r="I1152">
        <v>56</v>
      </c>
      <c r="J1152">
        <v>2</v>
      </c>
      <c r="K1152">
        <v>0</v>
      </c>
      <c r="L1152" s="2">
        <f t="shared" si="102"/>
        <v>45292</v>
      </c>
      <c r="M1152" s="2">
        <f t="shared" ca="1" si="103"/>
        <v>45329</v>
      </c>
      <c r="N1152" s="2" t="str">
        <f t="shared" ca="1" si="104"/>
        <v>N/A</v>
      </c>
      <c r="O1152" s="3">
        <f t="shared" ca="1" si="105"/>
        <v>37</v>
      </c>
      <c r="P1152" s="3" t="str">
        <f t="shared" ca="1" si="106"/>
        <v>N/A</v>
      </c>
      <c r="Q1152" s="1" t="str">
        <f>IF(K1152=1,"Joined",IF(H1152&gt;=70,"Dropped at Offer",IF(H1152&gt;=50,"Dropped at Interview","Dropped at Screening")))</f>
        <v>Dropped at Screening</v>
      </c>
      <c r="R1152" s="1" t="str">
        <f t="shared" ca="1" si="107"/>
        <v>Feb-2024</v>
      </c>
    </row>
    <row r="1153" spans="1:18">
      <c r="A1153">
        <v>38</v>
      </c>
      <c r="B1153">
        <v>1</v>
      </c>
      <c r="C1153">
        <v>3</v>
      </c>
      <c r="D1153">
        <v>11</v>
      </c>
      <c r="E1153">
        <v>2</v>
      </c>
      <c r="F1153">
        <v>38.826958361312002</v>
      </c>
      <c r="G1153">
        <v>77</v>
      </c>
      <c r="H1153">
        <v>61</v>
      </c>
      <c r="I1153">
        <v>22</v>
      </c>
      <c r="J1153">
        <v>2</v>
      </c>
      <c r="K1153">
        <v>1</v>
      </c>
      <c r="L1153" s="2">
        <f t="shared" si="102"/>
        <v>45292</v>
      </c>
      <c r="M1153" s="2">
        <f t="shared" ca="1" si="103"/>
        <v>45328</v>
      </c>
      <c r="N1153" s="2">
        <f t="shared" ca="1" si="104"/>
        <v>45354</v>
      </c>
      <c r="O1153" s="3">
        <f t="shared" ca="1" si="105"/>
        <v>36</v>
      </c>
      <c r="P1153" s="3">
        <f t="shared" ca="1" si="106"/>
        <v>26</v>
      </c>
      <c r="Q1153" s="1" t="str">
        <f>IF(K1153=1,"Joined",IF(H1153&gt;=70,"Dropped at Offer",IF(H1153&gt;=50,"Dropped at Interview","Dropped at Screening")))</f>
        <v>Joined</v>
      </c>
      <c r="R1153" s="1" t="str">
        <f t="shared" ca="1" si="107"/>
        <v>Feb-2024</v>
      </c>
    </row>
    <row r="1154" spans="1:18">
      <c r="A1154">
        <v>38</v>
      </c>
      <c r="B1154">
        <v>1</v>
      </c>
      <c r="C1154">
        <v>3</v>
      </c>
      <c r="D1154">
        <v>4</v>
      </c>
      <c r="E1154">
        <v>1</v>
      </c>
      <c r="F1154">
        <v>5.7624466986434699</v>
      </c>
      <c r="G1154">
        <v>48</v>
      </c>
      <c r="H1154">
        <v>4</v>
      </c>
      <c r="I1154">
        <v>21</v>
      </c>
      <c r="J1154">
        <v>3</v>
      </c>
      <c r="K1154">
        <v>0</v>
      </c>
      <c r="L1154" s="2">
        <f t="shared" ref="L1154:L1217" si="108">DATE(2024,1,1)</f>
        <v>45292</v>
      </c>
      <c r="M1154" s="2">
        <f t="shared" ref="M1154:M1217" ca="1" si="109">L1154+RANDBETWEEN(14,45)</f>
        <v>45333</v>
      </c>
      <c r="N1154" s="2" t="str">
        <f t="shared" ref="N1154:N1217" ca="1" si="110">IF(K1154=1, M1154+RANDBETWEEN(7,30), "N/A")</f>
        <v>N/A</v>
      </c>
      <c r="O1154" s="3">
        <f t="shared" ref="O1154:O1217" ca="1" si="111">IF(AND(M1154&lt;&gt;"",L1154&lt;&gt;""), M1154-L1154, "N/A")</f>
        <v>41</v>
      </c>
      <c r="P1154" s="3" t="str">
        <f t="shared" ref="P1154:Q1217" ca="1" si="112">IF(AND(K1154=1, N1154&lt;&gt;"", M1154&lt;&gt;""), N1154 - M1154, "N/A")</f>
        <v>N/A</v>
      </c>
      <c r="Q1154" s="1" t="str">
        <f>IF(K1154=1,"Joined",IF(H1154&gt;=70,"Dropped at Offer",IF(H1154&gt;=50,"Dropped at Interview","Dropped at Screening")))</f>
        <v>Dropped at Screening</v>
      </c>
      <c r="R1154" s="1" t="str">
        <f t="shared" ref="R1154:R1217" ca="1" si="113">TEXT(M1154,"MMM-YYYY")</f>
        <v>Feb-2024</v>
      </c>
    </row>
    <row r="1155" spans="1:18">
      <c r="A1155">
        <v>40</v>
      </c>
      <c r="B1155">
        <v>0</v>
      </c>
      <c r="C1155">
        <v>2</v>
      </c>
      <c r="D1155">
        <v>13</v>
      </c>
      <c r="E1155">
        <v>1</v>
      </c>
      <c r="F1155">
        <v>2.3735281256492402</v>
      </c>
      <c r="G1155">
        <v>40</v>
      </c>
      <c r="H1155">
        <v>69</v>
      </c>
      <c r="I1155">
        <v>67</v>
      </c>
      <c r="J1155">
        <v>2</v>
      </c>
      <c r="K1155">
        <v>0</v>
      </c>
      <c r="L1155" s="2">
        <f t="shared" si="108"/>
        <v>45292</v>
      </c>
      <c r="M1155" s="2">
        <f t="shared" ca="1" si="109"/>
        <v>45312</v>
      </c>
      <c r="N1155" s="2" t="str">
        <f t="shared" ca="1" si="110"/>
        <v>N/A</v>
      </c>
      <c r="O1155" s="3">
        <f t="shared" ca="1" si="111"/>
        <v>20</v>
      </c>
      <c r="P1155" s="3" t="str">
        <f t="shared" ca="1" si="112"/>
        <v>N/A</v>
      </c>
      <c r="Q1155" s="1" t="str">
        <f>IF(K1155=1,"Joined",IF(H1155&gt;=70,"Dropped at Offer",IF(H1155&gt;=50,"Dropped at Interview","Dropped at Screening")))</f>
        <v>Dropped at Interview</v>
      </c>
      <c r="R1155" s="1" t="str">
        <f t="shared" ca="1" si="113"/>
        <v>Jan-2024</v>
      </c>
    </row>
    <row r="1156" spans="1:18">
      <c r="A1156">
        <v>24</v>
      </c>
      <c r="B1156">
        <v>1</v>
      </c>
      <c r="C1156">
        <v>1</v>
      </c>
      <c r="D1156">
        <v>2</v>
      </c>
      <c r="E1156">
        <v>5</v>
      </c>
      <c r="F1156">
        <v>21.181294763494801</v>
      </c>
      <c r="G1156">
        <v>82</v>
      </c>
      <c r="H1156">
        <v>62</v>
      </c>
      <c r="I1156">
        <v>33</v>
      </c>
      <c r="J1156">
        <v>1</v>
      </c>
      <c r="K1156">
        <v>1</v>
      </c>
      <c r="L1156" s="2">
        <f t="shared" si="108"/>
        <v>45292</v>
      </c>
      <c r="M1156" s="2">
        <f t="shared" ca="1" si="109"/>
        <v>45336</v>
      </c>
      <c r="N1156" s="2">
        <f t="shared" ca="1" si="110"/>
        <v>45347</v>
      </c>
      <c r="O1156" s="3">
        <f t="shared" ca="1" si="111"/>
        <v>44</v>
      </c>
      <c r="P1156" s="3">
        <f t="shared" ca="1" si="112"/>
        <v>11</v>
      </c>
      <c r="Q1156" s="1" t="str">
        <f>IF(K1156=1,"Joined",IF(H1156&gt;=70,"Dropped at Offer",IF(H1156&gt;=50,"Dropped at Interview","Dropped at Screening")))</f>
        <v>Joined</v>
      </c>
      <c r="R1156" s="1" t="str">
        <f t="shared" ca="1" si="113"/>
        <v>Feb-2024</v>
      </c>
    </row>
    <row r="1157" spans="1:18">
      <c r="A1157">
        <v>37</v>
      </c>
      <c r="B1157">
        <v>1</v>
      </c>
      <c r="C1157">
        <v>2</v>
      </c>
      <c r="D1157">
        <v>11</v>
      </c>
      <c r="E1157">
        <v>5</v>
      </c>
      <c r="F1157">
        <v>50.678908640960898</v>
      </c>
      <c r="G1157">
        <v>29</v>
      </c>
      <c r="H1157">
        <v>55</v>
      </c>
      <c r="I1157">
        <v>69</v>
      </c>
      <c r="J1157">
        <v>2</v>
      </c>
      <c r="K1157">
        <v>0</v>
      </c>
      <c r="L1157" s="2">
        <f t="shared" si="108"/>
        <v>45292</v>
      </c>
      <c r="M1157" s="2">
        <f t="shared" ca="1" si="109"/>
        <v>45328</v>
      </c>
      <c r="N1157" s="2" t="str">
        <f t="shared" ca="1" si="110"/>
        <v>N/A</v>
      </c>
      <c r="O1157" s="3">
        <f t="shared" ca="1" si="111"/>
        <v>36</v>
      </c>
      <c r="P1157" s="3" t="str">
        <f t="shared" ca="1" si="112"/>
        <v>N/A</v>
      </c>
      <c r="Q1157" s="1" t="str">
        <f>IF(K1157=1,"Joined",IF(H1157&gt;=70,"Dropped at Offer",IF(H1157&gt;=50,"Dropped at Interview","Dropped at Screening")))</f>
        <v>Dropped at Interview</v>
      </c>
      <c r="R1157" s="1" t="str">
        <f t="shared" ca="1" si="113"/>
        <v>Feb-2024</v>
      </c>
    </row>
    <row r="1158" spans="1:18">
      <c r="A1158">
        <v>47</v>
      </c>
      <c r="B1158">
        <v>1</v>
      </c>
      <c r="C1158">
        <v>2</v>
      </c>
      <c r="D1158">
        <v>2</v>
      </c>
      <c r="E1158">
        <v>4</v>
      </c>
      <c r="F1158">
        <v>9.74419680974313</v>
      </c>
      <c r="G1158">
        <v>4</v>
      </c>
      <c r="H1158">
        <v>58</v>
      </c>
      <c r="I1158">
        <v>27</v>
      </c>
      <c r="J1158">
        <v>3</v>
      </c>
      <c r="K1158">
        <v>0</v>
      </c>
      <c r="L1158" s="2">
        <f t="shared" si="108"/>
        <v>45292</v>
      </c>
      <c r="M1158" s="2">
        <f t="shared" ca="1" si="109"/>
        <v>45308</v>
      </c>
      <c r="N1158" s="2" t="str">
        <f t="shared" ca="1" si="110"/>
        <v>N/A</v>
      </c>
      <c r="O1158" s="3">
        <f t="shared" ca="1" si="111"/>
        <v>16</v>
      </c>
      <c r="P1158" s="3" t="str">
        <f t="shared" ca="1" si="112"/>
        <v>N/A</v>
      </c>
      <c r="Q1158" s="1" t="str">
        <f>IF(K1158=1,"Joined",IF(H1158&gt;=70,"Dropped at Offer",IF(H1158&gt;=50,"Dropped at Interview","Dropped at Screening")))</f>
        <v>Dropped at Interview</v>
      </c>
      <c r="R1158" s="1" t="str">
        <f t="shared" ca="1" si="113"/>
        <v>Jan-2024</v>
      </c>
    </row>
    <row r="1159" spans="1:18">
      <c r="A1159">
        <v>29</v>
      </c>
      <c r="B1159">
        <v>1</v>
      </c>
      <c r="C1159">
        <v>4</v>
      </c>
      <c r="D1159">
        <v>12</v>
      </c>
      <c r="E1159">
        <v>3</v>
      </c>
      <c r="F1159">
        <v>34.632217176339502</v>
      </c>
      <c r="G1159">
        <v>94</v>
      </c>
      <c r="H1159">
        <v>62</v>
      </c>
      <c r="I1159">
        <v>94</v>
      </c>
      <c r="J1159">
        <v>2</v>
      </c>
      <c r="K1159">
        <v>1</v>
      </c>
      <c r="L1159" s="2">
        <f t="shared" si="108"/>
        <v>45292</v>
      </c>
      <c r="M1159" s="2">
        <f t="shared" ca="1" si="109"/>
        <v>45325</v>
      </c>
      <c r="N1159" s="2">
        <f t="shared" ca="1" si="110"/>
        <v>45333</v>
      </c>
      <c r="O1159" s="3">
        <f t="shared" ca="1" si="111"/>
        <v>33</v>
      </c>
      <c r="P1159" s="3">
        <f t="shared" ca="1" si="112"/>
        <v>8</v>
      </c>
      <c r="Q1159" s="1" t="str">
        <f>IF(K1159=1,"Joined",IF(H1159&gt;=70,"Dropped at Offer",IF(H1159&gt;=50,"Dropped at Interview","Dropped at Screening")))</f>
        <v>Joined</v>
      </c>
      <c r="R1159" s="1" t="str">
        <f t="shared" ca="1" si="113"/>
        <v>Feb-2024</v>
      </c>
    </row>
    <row r="1160" spans="1:18">
      <c r="A1160">
        <v>48</v>
      </c>
      <c r="B1160">
        <v>0</v>
      </c>
      <c r="C1160">
        <v>3</v>
      </c>
      <c r="D1160">
        <v>5</v>
      </c>
      <c r="E1160">
        <v>1</v>
      </c>
      <c r="F1160">
        <v>9.6698033103059604</v>
      </c>
      <c r="G1160">
        <v>70</v>
      </c>
      <c r="H1160">
        <v>88</v>
      </c>
      <c r="I1160">
        <v>98</v>
      </c>
      <c r="J1160">
        <v>2</v>
      </c>
      <c r="K1160">
        <v>0</v>
      </c>
      <c r="L1160" s="2">
        <f t="shared" si="108"/>
        <v>45292</v>
      </c>
      <c r="M1160" s="2">
        <f t="shared" ca="1" si="109"/>
        <v>45332</v>
      </c>
      <c r="N1160" s="2" t="str">
        <f t="shared" ca="1" si="110"/>
        <v>N/A</v>
      </c>
      <c r="O1160" s="3">
        <f t="shared" ca="1" si="111"/>
        <v>40</v>
      </c>
      <c r="P1160" s="3" t="str">
        <f t="shared" ca="1" si="112"/>
        <v>N/A</v>
      </c>
      <c r="Q1160" s="1" t="str">
        <f>IF(K1160=1,"Joined",IF(H1160&gt;=70,"Dropped at Offer",IF(H1160&gt;=50,"Dropped at Interview","Dropped at Screening")))</f>
        <v>Dropped at Offer</v>
      </c>
      <c r="R1160" s="1" t="str">
        <f t="shared" ca="1" si="113"/>
        <v>Feb-2024</v>
      </c>
    </row>
    <row r="1161" spans="1:18">
      <c r="A1161">
        <v>41</v>
      </c>
      <c r="B1161">
        <v>1</v>
      </c>
      <c r="C1161">
        <v>3</v>
      </c>
      <c r="D1161">
        <v>1</v>
      </c>
      <c r="E1161">
        <v>5</v>
      </c>
      <c r="F1161">
        <v>37.239348747919301</v>
      </c>
      <c r="G1161">
        <v>82</v>
      </c>
      <c r="H1161">
        <v>58</v>
      </c>
      <c r="I1161">
        <v>38</v>
      </c>
      <c r="J1161">
        <v>3</v>
      </c>
      <c r="K1161">
        <v>0</v>
      </c>
      <c r="L1161" s="2">
        <f t="shared" si="108"/>
        <v>45292</v>
      </c>
      <c r="M1161" s="2">
        <f t="shared" ca="1" si="109"/>
        <v>45335</v>
      </c>
      <c r="N1161" s="2" t="str">
        <f t="shared" ca="1" si="110"/>
        <v>N/A</v>
      </c>
      <c r="O1161" s="3">
        <f t="shared" ca="1" si="111"/>
        <v>43</v>
      </c>
      <c r="P1161" s="3" t="str">
        <f t="shared" ca="1" si="112"/>
        <v>N/A</v>
      </c>
      <c r="Q1161" s="1" t="str">
        <f>IF(K1161=1,"Joined",IF(H1161&gt;=70,"Dropped at Offer",IF(H1161&gt;=50,"Dropped at Interview","Dropped at Screening")))</f>
        <v>Dropped at Interview</v>
      </c>
      <c r="R1161" s="1" t="str">
        <f t="shared" ca="1" si="113"/>
        <v>Feb-2024</v>
      </c>
    </row>
    <row r="1162" spans="1:18">
      <c r="A1162">
        <v>40</v>
      </c>
      <c r="B1162">
        <v>1</v>
      </c>
      <c r="C1162">
        <v>4</v>
      </c>
      <c r="D1162">
        <v>15</v>
      </c>
      <c r="E1162">
        <v>1</v>
      </c>
      <c r="F1162">
        <v>26.267683411891301</v>
      </c>
      <c r="G1162">
        <v>30</v>
      </c>
      <c r="H1162">
        <v>50</v>
      </c>
      <c r="I1162">
        <v>41</v>
      </c>
      <c r="J1162">
        <v>2</v>
      </c>
      <c r="K1162">
        <v>0</v>
      </c>
      <c r="L1162" s="2">
        <f t="shared" si="108"/>
        <v>45292</v>
      </c>
      <c r="M1162" s="2">
        <f t="shared" ca="1" si="109"/>
        <v>45333</v>
      </c>
      <c r="N1162" s="2" t="str">
        <f t="shared" ca="1" si="110"/>
        <v>N/A</v>
      </c>
      <c r="O1162" s="3">
        <f t="shared" ca="1" si="111"/>
        <v>41</v>
      </c>
      <c r="P1162" s="3" t="str">
        <f t="shared" ca="1" si="112"/>
        <v>N/A</v>
      </c>
      <c r="Q1162" s="1" t="str">
        <f>IF(K1162=1,"Joined",IF(H1162&gt;=70,"Dropped at Offer",IF(H1162&gt;=50,"Dropped at Interview","Dropped at Screening")))</f>
        <v>Dropped at Interview</v>
      </c>
      <c r="R1162" s="1" t="str">
        <f t="shared" ca="1" si="113"/>
        <v>Feb-2024</v>
      </c>
    </row>
    <row r="1163" spans="1:18">
      <c r="A1163">
        <v>25</v>
      </c>
      <c r="B1163">
        <v>1</v>
      </c>
      <c r="C1163">
        <v>1</v>
      </c>
      <c r="D1163">
        <v>5</v>
      </c>
      <c r="E1163">
        <v>5</v>
      </c>
      <c r="F1163">
        <v>34.998585504468799</v>
      </c>
      <c r="G1163">
        <v>51</v>
      </c>
      <c r="H1163">
        <v>49</v>
      </c>
      <c r="I1163">
        <v>22</v>
      </c>
      <c r="J1163">
        <v>2</v>
      </c>
      <c r="K1163">
        <v>0</v>
      </c>
      <c r="L1163" s="2">
        <f t="shared" si="108"/>
        <v>45292</v>
      </c>
      <c r="M1163" s="2">
        <f t="shared" ca="1" si="109"/>
        <v>45315</v>
      </c>
      <c r="N1163" s="2" t="str">
        <f t="shared" ca="1" si="110"/>
        <v>N/A</v>
      </c>
      <c r="O1163" s="3">
        <f t="shared" ca="1" si="111"/>
        <v>23</v>
      </c>
      <c r="P1163" s="3" t="str">
        <f t="shared" ca="1" si="112"/>
        <v>N/A</v>
      </c>
      <c r="Q1163" s="1" t="str">
        <f>IF(K1163=1,"Joined",IF(H1163&gt;=70,"Dropped at Offer",IF(H1163&gt;=50,"Dropped at Interview","Dropped at Screening")))</f>
        <v>Dropped at Screening</v>
      </c>
      <c r="R1163" s="1" t="str">
        <f t="shared" ca="1" si="113"/>
        <v>Jan-2024</v>
      </c>
    </row>
    <row r="1164" spans="1:18">
      <c r="A1164">
        <v>20</v>
      </c>
      <c r="B1164">
        <v>0</v>
      </c>
      <c r="C1164">
        <v>3</v>
      </c>
      <c r="D1164">
        <v>15</v>
      </c>
      <c r="E1164">
        <v>2</v>
      </c>
      <c r="F1164">
        <v>11.143658795711699</v>
      </c>
      <c r="G1164">
        <v>87</v>
      </c>
      <c r="H1164">
        <v>3</v>
      </c>
      <c r="I1164">
        <v>69</v>
      </c>
      <c r="J1164">
        <v>1</v>
      </c>
      <c r="K1164">
        <v>1</v>
      </c>
      <c r="L1164" s="2">
        <f t="shared" si="108"/>
        <v>45292</v>
      </c>
      <c r="M1164" s="2">
        <f t="shared" ca="1" si="109"/>
        <v>45329</v>
      </c>
      <c r="N1164" s="2">
        <f t="shared" ca="1" si="110"/>
        <v>45355</v>
      </c>
      <c r="O1164" s="3">
        <f t="shared" ca="1" si="111"/>
        <v>37</v>
      </c>
      <c r="P1164" s="3">
        <f t="shared" ca="1" si="112"/>
        <v>26</v>
      </c>
      <c r="Q1164" s="1" t="str">
        <f>IF(K1164=1,"Joined",IF(H1164&gt;=70,"Dropped at Offer",IF(H1164&gt;=50,"Dropped at Interview","Dropped at Screening")))</f>
        <v>Joined</v>
      </c>
      <c r="R1164" s="1" t="str">
        <f t="shared" ca="1" si="113"/>
        <v>Feb-2024</v>
      </c>
    </row>
    <row r="1165" spans="1:18">
      <c r="A1165">
        <v>24</v>
      </c>
      <c r="B1165">
        <v>1</v>
      </c>
      <c r="C1165">
        <v>2</v>
      </c>
      <c r="D1165">
        <v>12</v>
      </c>
      <c r="E1165">
        <v>1</v>
      </c>
      <c r="F1165">
        <v>38.281416626025099</v>
      </c>
      <c r="G1165">
        <v>97</v>
      </c>
      <c r="H1165">
        <v>47</v>
      </c>
      <c r="I1165">
        <v>79</v>
      </c>
      <c r="J1165">
        <v>2</v>
      </c>
      <c r="K1165">
        <v>0</v>
      </c>
      <c r="L1165" s="2">
        <f t="shared" si="108"/>
        <v>45292</v>
      </c>
      <c r="M1165" s="2">
        <f t="shared" ca="1" si="109"/>
        <v>45331</v>
      </c>
      <c r="N1165" s="2" t="str">
        <f t="shared" ca="1" si="110"/>
        <v>N/A</v>
      </c>
      <c r="O1165" s="3">
        <f t="shared" ca="1" si="111"/>
        <v>39</v>
      </c>
      <c r="P1165" s="3" t="str">
        <f t="shared" ca="1" si="112"/>
        <v>N/A</v>
      </c>
      <c r="Q1165" s="1" t="str">
        <f>IF(K1165=1,"Joined",IF(H1165&gt;=70,"Dropped at Offer",IF(H1165&gt;=50,"Dropped at Interview","Dropped at Screening")))</f>
        <v>Dropped at Screening</v>
      </c>
      <c r="R1165" s="1" t="str">
        <f t="shared" ca="1" si="113"/>
        <v>Feb-2024</v>
      </c>
    </row>
    <row r="1166" spans="1:18">
      <c r="A1166">
        <v>28</v>
      </c>
      <c r="B1166">
        <v>0</v>
      </c>
      <c r="C1166">
        <v>4</v>
      </c>
      <c r="D1166">
        <v>5</v>
      </c>
      <c r="E1166">
        <v>2</v>
      </c>
      <c r="F1166">
        <v>50.7809529811353</v>
      </c>
      <c r="G1166">
        <v>22</v>
      </c>
      <c r="H1166">
        <v>31</v>
      </c>
      <c r="I1166">
        <v>1</v>
      </c>
      <c r="J1166">
        <v>1</v>
      </c>
      <c r="K1166">
        <v>0</v>
      </c>
      <c r="L1166" s="2">
        <f t="shared" si="108"/>
        <v>45292</v>
      </c>
      <c r="M1166" s="2">
        <f t="shared" ca="1" si="109"/>
        <v>45309</v>
      </c>
      <c r="N1166" s="2" t="str">
        <f t="shared" ca="1" si="110"/>
        <v>N/A</v>
      </c>
      <c r="O1166" s="3">
        <f t="shared" ca="1" si="111"/>
        <v>17</v>
      </c>
      <c r="P1166" s="3" t="str">
        <f t="shared" ca="1" si="112"/>
        <v>N/A</v>
      </c>
      <c r="Q1166" s="1" t="str">
        <f>IF(K1166=1,"Joined",IF(H1166&gt;=70,"Dropped at Offer",IF(H1166&gt;=50,"Dropped at Interview","Dropped at Screening")))</f>
        <v>Dropped at Screening</v>
      </c>
      <c r="R1166" s="1" t="str">
        <f t="shared" ca="1" si="113"/>
        <v>Jan-2024</v>
      </c>
    </row>
    <row r="1167" spans="1:18">
      <c r="A1167">
        <v>31</v>
      </c>
      <c r="B1167">
        <v>0</v>
      </c>
      <c r="C1167">
        <v>2</v>
      </c>
      <c r="D1167">
        <v>7</v>
      </c>
      <c r="E1167">
        <v>1</v>
      </c>
      <c r="F1167">
        <v>34.282525031297901</v>
      </c>
      <c r="G1167">
        <v>47</v>
      </c>
      <c r="H1167">
        <v>50</v>
      </c>
      <c r="I1167">
        <v>23</v>
      </c>
      <c r="J1167">
        <v>2</v>
      </c>
      <c r="K1167">
        <v>0</v>
      </c>
      <c r="L1167" s="2">
        <f t="shared" si="108"/>
        <v>45292</v>
      </c>
      <c r="M1167" s="2">
        <f t="shared" ca="1" si="109"/>
        <v>45325</v>
      </c>
      <c r="N1167" s="2" t="str">
        <f t="shared" ca="1" si="110"/>
        <v>N/A</v>
      </c>
      <c r="O1167" s="3">
        <f t="shared" ca="1" si="111"/>
        <v>33</v>
      </c>
      <c r="P1167" s="3" t="str">
        <f t="shared" ca="1" si="112"/>
        <v>N/A</v>
      </c>
      <c r="Q1167" s="1" t="str">
        <f>IF(K1167=1,"Joined",IF(H1167&gt;=70,"Dropped at Offer",IF(H1167&gt;=50,"Dropped at Interview","Dropped at Screening")))</f>
        <v>Dropped at Interview</v>
      </c>
      <c r="R1167" s="1" t="str">
        <f t="shared" ca="1" si="113"/>
        <v>Feb-2024</v>
      </c>
    </row>
    <row r="1168" spans="1:18">
      <c r="A1168">
        <v>45</v>
      </c>
      <c r="B1168">
        <v>1</v>
      </c>
      <c r="C1168">
        <v>3</v>
      </c>
      <c r="D1168">
        <v>6</v>
      </c>
      <c r="E1168">
        <v>3</v>
      </c>
      <c r="F1168">
        <v>25.6739999036438</v>
      </c>
      <c r="G1168">
        <v>39</v>
      </c>
      <c r="H1168">
        <v>51</v>
      </c>
      <c r="I1168">
        <v>16</v>
      </c>
      <c r="J1168">
        <v>1</v>
      </c>
      <c r="K1168">
        <v>1</v>
      </c>
      <c r="L1168" s="2">
        <f t="shared" si="108"/>
        <v>45292</v>
      </c>
      <c r="M1168" s="2">
        <f t="shared" ca="1" si="109"/>
        <v>45336</v>
      </c>
      <c r="N1168" s="2">
        <f t="shared" ca="1" si="110"/>
        <v>45354</v>
      </c>
      <c r="O1168" s="3">
        <f t="shared" ca="1" si="111"/>
        <v>44</v>
      </c>
      <c r="P1168" s="3">
        <f t="shared" ca="1" si="112"/>
        <v>18</v>
      </c>
      <c r="Q1168" s="1" t="str">
        <f>IF(K1168=1,"Joined",IF(H1168&gt;=70,"Dropped at Offer",IF(H1168&gt;=50,"Dropped at Interview","Dropped at Screening")))</f>
        <v>Joined</v>
      </c>
      <c r="R1168" s="1" t="str">
        <f t="shared" ca="1" si="113"/>
        <v>Feb-2024</v>
      </c>
    </row>
    <row r="1169" spans="1:18">
      <c r="A1169">
        <v>33</v>
      </c>
      <c r="B1169">
        <v>1</v>
      </c>
      <c r="C1169">
        <v>3</v>
      </c>
      <c r="D1169">
        <v>7</v>
      </c>
      <c r="E1169">
        <v>4</v>
      </c>
      <c r="F1169">
        <v>47.158699430963203</v>
      </c>
      <c r="G1169">
        <v>5</v>
      </c>
      <c r="H1169">
        <v>98</v>
      </c>
      <c r="I1169">
        <v>64</v>
      </c>
      <c r="J1169">
        <v>3</v>
      </c>
      <c r="K1169">
        <v>1</v>
      </c>
      <c r="L1169" s="2">
        <f t="shared" si="108"/>
        <v>45292</v>
      </c>
      <c r="M1169" s="2">
        <f t="shared" ca="1" si="109"/>
        <v>45318</v>
      </c>
      <c r="N1169" s="2">
        <f t="shared" ca="1" si="110"/>
        <v>45345</v>
      </c>
      <c r="O1169" s="3">
        <f t="shared" ca="1" si="111"/>
        <v>26</v>
      </c>
      <c r="P1169" s="3">
        <f t="shared" ca="1" si="112"/>
        <v>27</v>
      </c>
      <c r="Q1169" s="1" t="str">
        <f>IF(K1169=1,"Joined",IF(H1169&gt;=70,"Dropped at Offer",IF(H1169&gt;=50,"Dropped at Interview","Dropped at Screening")))</f>
        <v>Joined</v>
      </c>
      <c r="R1169" s="1" t="str">
        <f t="shared" ca="1" si="113"/>
        <v>Jan-2024</v>
      </c>
    </row>
    <row r="1170" spans="1:18">
      <c r="A1170">
        <v>21</v>
      </c>
      <c r="B1170">
        <v>0</v>
      </c>
      <c r="C1170">
        <v>1</v>
      </c>
      <c r="D1170">
        <v>13</v>
      </c>
      <c r="E1170">
        <v>2</v>
      </c>
      <c r="F1170">
        <v>1.7925921115938099</v>
      </c>
      <c r="G1170">
        <v>37</v>
      </c>
      <c r="H1170">
        <v>73</v>
      </c>
      <c r="I1170">
        <v>69</v>
      </c>
      <c r="J1170">
        <v>3</v>
      </c>
      <c r="K1170">
        <v>0</v>
      </c>
      <c r="L1170" s="2">
        <f t="shared" si="108"/>
        <v>45292</v>
      </c>
      <c r="M1170" s="2">
        <f t="shared" ca="1" si="109"/>
        <v>45330</v>
      </c>
      <c r="N1170" s="2" t="str">
        <f t="shared" ca="1" si="110"/>
        <v>N/A</v>
      </c>
      <c r="O1170" s="3">
        <f t="shared" ca="1" si="111"/>
        <v>38</v>
      </c>
      <c r="P1170" s="3" t="str">
        <f t="shared" ca="1" si="112"/>
        <v>N/A</v>
      </c>
      <c r="Q1170" s="1" t="str">
        <f>IF(K1170=1,"Joined",IF(H1170&gt;=70,"Dropped at Offer",IF(H1170&gt;=50,"Dropped at Interview","Dropped at Screening")))</f>
        <v>Dropped at Offer</v>
      </c>
      <c r="R1170" s="1" t="str">
        <f t="shared" ca="1" si="113"/>
        <v>Feb-2024</v>
      </c>
    </row>
    <row r="1171" spans="1:18">
      <c r="A1171">
        <v>36</v>
      </c>
      <c r="B1171">
        <v>1</v>
      </c>
      <c r="C1171">
        <v>2</v>
      </c>
      <c r="D1171">
        <v>8</v>
      </c>
      <c r="E1171">
        <v>5</v>
      </c>
      <c r="F1171">
        <v>37.496175964290998</v>
      </c>
      <c r="G1171">
        <v>40</v>
      </c>
      <c r="H1171">
        <v>33</v>
      </c>
      <c r="I1171">
        <v>68</v>
      </c>
      <c r="J1171">
        <v>2</v>
      </c>
      <c r="K1171">
        <v>0</v>
      </c>
      <c r="L1171" s="2">
        <f t="shared" si="108"/>
        <v>45292</v>
      </c>
      <c r="M1171" s="2">
        <f t="shared" ca="1" si="109"/>
        <v>45322</v>
      </c>
      <c r="N1171" s="2" t="str">
        <f t="shared" ca="1" si="110"/>
        <v>N/A</v>
      </c>
      <c r="O1171" s="3">
        <f t="shared" ca="1" si="111"/>
        <v>30</v>
      </c>
      <c r="P1171" s="3" t="str">
        <f t="shared" ca="1" si="112"/>
        <v>N/A</v>
      </c>
      <c r="Q1171" s="1" t="str">
        <f>IF(K1171=1,"Joined",IF(H1171&gt;=70,"Dropped at Offer",IF(H1171&gt;=50,"Dropped at Interview","Dropped at Screening")))</f>
        <v>Dropped at Screening</v>
      </c>
      <c r="R1171" s="1" t="str">
        <f t="shared" ca="1" si="113"/>
        <v>Jan-2024</v>
      </c>
    </row>
    <row r="1172" spans="1:18">
      <c r="A1172">
        <v>33</v>
      </c>
      <c r="B1172">
        <v>0</v>
      </c>
      <c r="C1172">
        <v>3</v>
      </c>
      <c r="D1172">
        <v>5</v>
      </c>
      <c r="E1172">
        <v>3</v>
      </c>
      <c r="F1172">
        <v>45.437325840690598</v>
      </c>
      <c r="G1172">
        <v>99</v>
      </c>
      <c r="H1172">
        <v>35</v>
      </c>
      <c r="I1172">
        <v>59</v>
      </c>
      <c r="J1172">
        <v>1</v>
      </c>
      <c r="K1172">
        <v>1</v>
      </c>
      <c r="L1172" s="2">
        <f t="shared" si="108"/>
        <v>45292</v>
      </c>
      <c r="M1172" s="2">
        <f t="shared" ca="1" si="109"/>
        <v>45329</v>
      </c>
      <c r="N1172" s="2">
        <f t="shared" ca="1" si="110"/>
        <v>45341</v>
      </c>
      <c r="O1172" s="3">
        <f t="shared" ca="1" si="111"/>
        <v>37</v>
      </c>
      <c r="P1172" s="3">
        <f t="shared" ca="1" si="112"/>
        <v>12</v>
      </c>
      <c r="Q1172" s="1" t="str">
        <f>IF(K1172=1,"Joined",IF(H1172&gt;=70,"Dropped at Offer",IF(H1172&gt;=50,"Dropped at Interview","Dropped at Screening")))</f>
        <v>Joined</v>
      </c>
      <c r="R1172" s="1" t="str">
        <f t="shared" ca="1" si="113"/>
        <v>Feb-2024</v>
      </c>
    </row>
    <row r="1173" spans="1:18">
      <c r="A1173">
        <v>45</v>
      </c>
      <c r="B1173">
        <v>0</v>
      </c>
      <c r="C1173">
        <v>2</v>
      </c>
      <c r="D1173">
        <v>13</v>
      </c>
      <c r="E1173">
        <v>1</v>
      </c>
      <c r="F1173">
        <v>4.08372918104787</v>
      </c>
      <c r="G1173">
        <v>26</v>
      </c>
      <c r="H1173">
        <v>69</v>
      </c>
      <c r="I1173">
        <v>49</v>
      </c>
      <c r="J1173">
        <v>1</v>
      </c>
      <c r="K1173">
        <v>1</v>
      </c>
      <c r="L1173" s="2">
        <f t="shared" si="108"/>
        <v>45292</v>
      </c>
      <c r="M1173" s="2">
        <f t="shared" ca="1" si="109"/>
        <v>45328</v>
      </c>
      <c r="N1173" s="2">
        <f t="shared" ca="1" si="110"/>
        <v>45349</v>
      </c>
      <c r="O1173" s="3">
        <f t="shared" ca="1" si="111"/>
        <v>36</v>
      </c>
      <c r="P1173" s="3">
        <f t="shared" ca="1" si="112"/>
        <v>21</v>
      </c>
      <c r="Q1173" s="1" t="str">
        <f>IF(K1173=1,"Joined",IF(H1173&gt;=70,"Dropped at Offer",IF(H1173&gt;=50,"Dropped at Interview","Dropped at Screening")))</f>
        <v>Joined</v>
      </c>
      <c r="R1173" s="1" t="str">
        <f t="shared" ca="1" si="113"/>
        <v>Feb-2024</v>
      </c>
    </row>
    <row r="1174" spans="1:18">
      <c r="A1174">
        <v>32</v>
      </c>
      <c r="B1174">
        <v>1</v>
      </c>
      <c r="C1174">
        <v>2</v>
      </c>
      <c r="D1174">
        <v>15</v>
      </c>
      <c r="E1174">
        <v>2</v>
      </c>
      <c r="F1174">
        <v>23.503208520787901</v>
      </c>
      <c r="G1174">
        <v>74</v>
      </c>
      <c r="H1174">
        <v>42</v>
      </c>
      <c r="I1174">
        <v>92</v>
      </c>
      <c r="J1174">
        <v>2</v>
      </c>
      <c r="K1174">
        <v>0</v>
      </c>
      <c r="L1174" s="2">
        <f t="shared" si="108"/>
        <v>45292</v>
      </c>
      <c r="M1174" s="2">
        <f t="shared" ca="1" si="109"/>
        <v>45324</v>
      </c>
      <c r="N1174" s="2" t="str">
        <f t="shared" ca="1" si="110"/>
        <v>N/A</v>
      </c>
      <c r="O1174" s="3">
        <f t="shared" ca="1" si="111"/>
        <v>32</v>
      </c>
      <c r="P1174" s="3" t="str">
        <f t="shared" ca="1" si="112"/>
        <v>N/A</v>
      </c>
      <c r="Q1174" s="1" t="str">
        <f>IF(K1174=1,"Joined",IF(H1174&gt;=70,"Dropped at Offer",IF(H1174&gt;=50,"Dropped at Interview","Dropped at Screening")))</f>
        <v>Dropped at Screening</v>
      </c>
      <c r="R1174" s="1" t="str">
        <f t="shared" ca="1" si="113"/>
        <v>Feb-2024</v>
      </c>
    </row>
    <row r="1175" spans="1:18">
      <c r="A1175">
        <v>46</v>
      </c>
      <c r="B1175">
        <v>1</v>
      </c>
      <c r="C1175">
        <v>2</v>
      </c>
      <c r="D1175">
        <v>2</v>
      </c>
      <c r="E1175">
        <v>1</v>
      </c>
      <c r="F1175">
        <v>11.2359726974999</v>
      </c>
      <c r="G1175">
        <v>68</v>
      </c>
      <c r="H1175">
        <v>15</v>
      </c>
      <c r="I1175">
        <v>11</v>
      </c>
      <c r="J1175">
        <v>2</v>
      </c>
      <c r="K1175">
        <v>0</v>
      </c>
      <c r="L1175" s="2">
        <f t="shared" si="108"/>
        <v>45292</v>
      </c>
      <c r="M1175" s="2">
        <f t="shared" ca="1" si="109"/>
        <v>45318</v>
      </c>
      <c r="N1175" s="2" t="str">
        <f t="shared" ca="1" si="110"/>
        <v>N/A</v>
      </c>
      <c r="O1175" s="3">
        <f t="shared" ca="1" si="111"/>
        <v>26</v>
      </c>
      <c r="P1175" s="3" t="str">
        <f t="shared" ca="1" si="112"/>
        <v>N/A</v>
      </c>
      <c r="Q1175" s="1" t="str">
        <f>IF(K1175=1,"Joined",IF(H1175&gt;=70,"Dropped at Offer",IF(H1175&gt;=50,"Dropped at Interview","Dropped at Screening")))</f>
        <v>Dropped at Screening</v>
      </c>
      <c r="R1175" s="1" t="str">
        <f t="shared" ca="1" si="113"/>
        <v>Jan-2024</v>
      </c>
    </row>
    <row r="1176" spans="1:18">
      <c r="A1176">
        <v>28</v>
      </c>
      <c r="B1176">
        <v>0</v>
      </c>
      <c r="C1176">
        <v>1</v>
      </c>
      <c r="D1176">
        <v>9</v>
      </c>
      <c r="E1176">
        <v>1</v>
      </c>
      <c r="F1176">
        <v>29.325908279391498</v>
      </c>
      <c r="G1176">
        <v>56</v>
      </c>
      <c r="H1176">
        <v>58</v>
      </c>
      <c r="I1176">
        <v>46</v>
      </c>
      <c r="J1176">
        <v>2</v>
      </c>
      <c r="K1176">
        <v>0</v>
      </c>
      <c r="L1176" s="2">
        <f t="shared" si="108"/>
        <v>45292</v>
      </c>
      <c r="M1176" s="2">
        <f t="shared" ca="1" si="109"/>
        <v>45331</v>
      </c>
      <c r="N1176" s="2" t="str">
        <f t="shared" ca="1" si="110"/>
        <v>N/A</v>
      </c>
      <c r="O1176" s="3">
        <f t="shared" ca="1" si="111"/>
        <v>39</v>
      </c>
      <c r="P1176" s="3" t="str">
        <f t="shared" ca="1" si="112"/>
        <v>N/A</v>
      </c>
      <c r="Q1176" s="1" t="str">
        <f>IF(K1176=1,"Joined",IF(H1176&gt;=70,"Dropped at Offer",IF(H1176&gt;=50,"Dropped at Interview","Dropped at Screening")))</f>
        <v>Dropped at Interview</v>
      </c>
      <c r="R1176" s="1" t="str">
        <f t="shared" ca="1" si="113"/>
        <v>Feb-2024</v>
      </c>
    </row>
    <row r="1177" spans="1:18">
      <c r="A1177">
        <v>45</v>
      </c>
      <c r="B1177">
        <v>0</v>
      </c>
      <c r="C1177">
        <v>3</v>
      </c>
      <c r="D1177">
        <v>2</v>
      </c>
      <c r="E1177">
        <v>1</v>
      </c>
      <c r="F1177">
        <v>33.477147930183001</v>
      </c>
      <c r="G1177">
        <v>16</v>
      </c>
      <c r="H1177">
        <v>52</v>
      </c>
      <c r="I1177">
        <v>66</v>
      </c>
      <c r="J1177">
        <v>2</v>
      </c>
      <c r="K1177">
        <v>0</v>
      </c>
      <c r="L1177" s="2">
        <f t="shared" si="108"/>
        <v>45292</v>
      </c>
      <c r="M1177" s="2">
        <f t="shared" ca="1" si="109"/>
        <v>45333</v>
      </c>
      <c r="N1177" s="2" t="str">
        <f t="shared" ca="1" si="110"/>
        <v>N/A</v>
      </c>
      <c r="O1177" s="3">
        <f t="shared" ca="1" si="111"/>
        <v>41</v>
      </c>
      <c r="P1177" s="3" t="str">
        <f t="shared" ca="1" si="112"/>
        <v>N/A</v>
      </c>
      <c r="Q1177" s="1" t="str">
        <f>IF(K1177=1,"Joined",IF(H1177&gt;=70,"Dropped at Offer",IF(H1177&gt;=50,"Dropped at Interview","Dropped at Screening")))</f>
        <v>Dropped at Interview</v>
      </c>
      <c r="R1177" s="1" t="str">
        <f t="shared" ca="1" si="113"/>
        <v>Feb-2024</v>
      </c>
    </row>
    <row r="1178" spans="1:18">
      <c r="A1178">
        <v>44</v>
      </c>
      <c r="B1178">
        <v>0</v>
      </c>
      <c r="C1178">
        <v>2</v>
      </c>
      <c r="D1178">
        <v>15</v>
      </c>
      <c r="E1178">
        <v>4</v>
      </c>
      <c r="F1178">
        <v>16.1311591464377</v>
      </c>
      <c r="G1178">
        <v>70</v>
      </c>
      <c r="H1178">
        <v>18</v>
      </c>
      <c r="I1178">
        <v>64</v>
      </c>
      <c r="J1178">
        <v>2</v>
      </c>
      <c r="K1178">
        <v>0</v>
      </c>
      <c r="L1178" s="2">
        <f t="shared" si="108"/>
        <v>45292</v>
      </c>
      <c r="M1178" s="2">
        <f t="shared" ca="1" si="109"/>
        <v>45329</v>
      </c>
      <c r="N1178" s="2" t="str">
        <f t="shared" ca="1" si="110"/>
        <v>N/A</v>
      </c>
      <c r="O1178" s="3">
        <f t="shared" ca="1" si="111"/>
        <v>37</v>
      </c>
      <c r="P1178" s="3" t="str">
        <f t="shared" ca="1" si="112"/>
        <v>N/A</v>
      </c>
      <c r="Q1178" s="1" t="str">
        <f>IF(K1178=1,"Joined",IF(H1178&gt;=70,"Dropped at Offer",IF(H1178&gt;=50,"Dropped at Interview","Dropped at Screening")))</f>
        <v>Dropped at Screening</v>
      </c>
      <c r="R1178" s="1" t="str">
        <f t="shared" ca="1" si="113"/>
        <v>Feb-2024</v>
      </c>
    </row>
    <row r="1179" spans="1:18">
      <c r="A1179">
        <v>34</v>
      </c>
      <c r="B1179">
        <v>0</v>
      </c>
      <c r="C1179">
        <v>1</v>
      </c>
      <c r="D1179">
        <v>10</v>
      </c>
      <c r="E1179">
        <v>4</v>
      </c>
      <c r="F1179">
        <v>23.999083483905</v>
      </c>
      <c r="G1179">
        <v>90</v>
      </c>
      <c r="H1179">
        <v>97</v>
      </c>
      <c r="I1179">
        <v>26</v>
      </c>
      <c r="J1179">
        <v>2</v>
      </c>
      <c r="K1179">
        <v>0</v>
      </c>
      <c r="L1179" s="2">
        <f t="shared" si="108"/>
        <v>45292</v>
      </c>
      <c r="M1179" s="2">
        <f t="shared" ca="1" si="109"/>
        <v>45308</v>
      </c>
      <c r="N1179" s="2" t="str">
        <f t="shared" ca="1" si="110"/>
        <v>N/A</v>
      </c>
      <c r="O1179" s="3">
        <f t="shared" ca="1" si="111"/>
        <v>16</v>
      </c>
      <c r="P1179" s="3" t="str">
        <f t="shared" ca="1" si="112"/>
        <v>N/A</v>
      </c>
      <c r="Q1179" s="1" t="str">
        <f>IF(K1179=1,"Joined",IF(H1179&gt;=70,"Dropped at Offer",IF(H1179&gt;=50,"Dropped at Interview","Dropped at Screening")))</f>
        <v>Dropped at Offer</v>
      </c>
      <c r="R1179" s="1" t="str">
        <f t="shared" ca="1" si="113"/>
        <v>Jan-2024</v>
      </c>
    </row>
    <row r="1180" spans="1:18">
      <c r="A1180">
        <v>44</v>
      </c>
      <c r="B1180">
        <v>1</v>
      </c>
      <c r="C1180">
        <v>2</v>
      </c>
      <c r="D1180">
        <v>11</v>
      </c>
      <c r="E1180">
        <v>5</v>
      </c>
      <c r="F1180">
        <v>14.9669742638279</v>
      </c>
      <c r="G1180">
        <v>46</v>
      </c>
      <c r="H1180">
        <v>88</v>
      </c>
      <c r="I1180">
        <v>47</v>
      </c>
      <c r="J1180">
        <v>2</v>
      </c>
      <c r="K1180">
        <v>0</v>
      </c>
      <c r="L1180" s="2">
        <f t="shared" si="108"/>
        <v>45292</v>
      </c>
      <c r="M1180" s="2">
        <f t="shared" ca="1" si="109"/>
        <v>45314</v>
      </c>
      <c r="N1180" s="2" t="str">
        <f t="shared" ca="1" si="110"/>
        <v>N/A</v>
      </c>
      <c r="O1180" s="3">
        <f t="shared" ca="1" si="111"/>
        <v>22</v>
      </c>
      <c r="P1180" s="3" t="str">
        <f t="shared" ca="1" si="112"/>
        <v>N/A</v>
      </c>
      <c r="Q1180" s="1" t="str">
        <f>IF(K1180=1,"Joined",IF(H1180&gt;=70,"Dropped at Offer",IF(H1180&gt;=50,"Dropped at Interview","Dropped at Screening")))</f>
        <v>Dropped at Offer</v>
      </c>
      <c r="R1180" s="1" t="str">
        <f t="shared" ca="1" si="113"/>
        <v>Jan-2024</v>
      </c>
    </row>
    <row r="1181" spans="1:18">
      <c r="A1181">
        <v>41</v>
      </c>
      <c r="B1181">
        <v>1</v>
      </c>
      <c r="C1181">
        <v>2</v>
      </c>
      <c r="D1181">
        <v>0</v>
      </c>
      <c r="E1181">
        <v>2</v>
      </c>
      <c r="F1181">
        <v>19.469558222755602</v>
      </c>
      <c r="G1181">
        <v>78</v>
      </c>
      <c r="H1181">
        <v>94</v>
      </c>
      <c r="I1181">
        <v>87</v>
      </c>
      <c r="J1181">
        <v>2</v>
      </c>
      <c r="K1181">
        <v>0</v>
      </c>
      <c r="L1181" s="2">
        <f t="shared" si="108"/>
        <v>45292</v>
      </c>
      <c r="M1181" s="2">
        <f t="shared" ca="1" si="109"/>
        <v>45333</v>
      </c>
      <c r="N1181" s="2" t="str">
        <f t="shared" ca="1" si="110"/>
        <v>N/A</v>
      </c>
      <c r="O1181" s="3">
        <f t="shared" ca="1" si="111"/>
        <v>41</v>
      </c>
      <c r="P1181" s="3" t="str">
        <f t="shared" ca="1" si="112"/>
        <v>N/A</v>
      </c>
      <c r="Q1181" s="1" t="str">
        <f>IF(K1181=1,"Joined",IF(H1181&gt;=70,"Dropped at Offer",IF(H1181&gt;=50,"Dropped at Interview","Dropped at Screening")))</f>
        <v>Dropped at Offer</v>
      </c>
      <c r="R1181" s="1" t="str">
        <f t="shared" ca="1" si="113"/>
        <v>Feb-2024</v>
      </c>
    </row>
    <row r="1182" spans="1:18">
      <c r="A1182">
        <v>34</v>
      </c>
      <c r="B1182">
        <v>1</v>
      </c>
      <c r="C1182">
        <v>1</v>
      </c>
      <c r="D1182">
        <v>10</v>
      </c>
      <c r="E1182">
        <v>3</v>
      </c>
      <c r="F1182">
        <v>8.97699783442118</v>
      </c>
      <c r="G1182">
        <v>12</v>
      </c>
      <c r="H1182">
        <v>40</v>
      </c>
      <c r="I1182">
        <v>61</v>
      </c>
      <c r="J1182">
        <v>2</v>
      </c>
      <c r="K1182">
        <v>0</v>
      </c>
      <c r="L1182" s="2">
        <f t="shared" si="108"/>
        <v>45292</v>
      </c>
      <c r="M1182" s="2">
        <f t="shared" ca="1" si="109"/>
        <v>45327</v>
      </c>
      <c r="N1182" s="2" t="str">
        <f t="shared" ca="1" si="110"/>
        <v>N/A</v>
      </c>
      <c r="O1182" s="3">
        <f t="shared" ca="1" si="111"/>
        <v>35</v>
      </c>
      <c r="P1182" s="3" t="str">
        <f t="shared" ca="1" si="112"/>
        <v>N/A</v>
      </c>
      <c r="Q1182" s="1" t="str">
        <f>IF(K1182=1,"Joined",IF(H1182&gt;=70,"Dropped at Offer",IF(H1182&gt;=50,"Dropped at Interview","Dropped at Screening")))</f>
        <v>Dropped at Screening</v>
      </c>
      <c r="R1182" s="1" t="str">
        <f t="shared" ca="1" si="113"/>
        <v>Feb-2024</v>
      </c>
    </row>
    <row r="1183" spans="1:18">
      <c r="A1183">
        <v>43</v>
      </c>
      <c r="B1183">
        <v>1</v>
      </c>
      <c r="C1183">
        <v>2</v>
      </c>
      <c r="D1183">
        <v>14</v>
      </c>
      <c r="E1183">
        <v>3</v>
      </c>
      <c r="F1183">
        <v>45.277972179281498</v>
      </c>
      <c r="G1183">
        <v>10</v>
      </c>
      <c r="H1183">
        <v>80</v>
      </c>
      <c r="I1183">
        <v>43</v>
      </c>
      <c r="J1183">
        <v>1</v>
      </c>
      <c r="K1183">
        <v>1</v>
      </c>
      <c r="L1183" s="2">
        <f t="shared" si="108"/>
        <v>45292</v>
      </c>
      <c r="M1183" s="2">
        <f t="shared" ca="1" si="109"/>
        <v>45318</v>
      </c>
      <c r="N1183" s="2">
        <f t="shared" ca="1" si="110"/>
        <v>45333</v>
      </c>
      <c r="O1183" s="3">
        <f t="shared" ca="1" si="111"/>
        <v>26</v>
      </c>
      <c r="P1183" s="3">
        <f t="shared" ca="1" si="112"/>
        <v>15</v>
      </c>
      <c r="Q1183" s="1" t="str">
        <f>IF(K1183=1,"Joined",IF(H1183&gt;=70,"Dropped at Offer",IF(H1183&gt;=50,"Dropped at Interview","Dropped at Screening")))</f>
        <v>Joined</v>
      </c>
      <c r="R1183" s="1" t="str">
        <f t="shared" ca="1" si="113"/>
        <v>Jan-2024</v>
      </c>
    </row>
    <row r="1184" spans="1:18">
      <c r="A1184">
        <v>49</v>
      </c>
      <c r="B1184">
        <v>1</v>
      </c>
      <c r="C1184">
        <v>2</v>
      </c>
      <c r="D1184">
        <v>12</v>
      </c>
      <c r="E1184">
        <v>3</v>
      </c>
      <c r="F1184">
        <v>1.5005205279568199</v>
      </c>
      <c r="G1184">
        <v>89</v>
      </c>
      <c r="H1184">
        <v>46</v>
      </c>
      <c r="I1184">
        <v>18</v>
      </c>
      <c r="J1184">
        <v>1</v>
      </c>
      <c r="K1184">
        <v>1</v>
      </c>
      <c r="L1184" s="2">
        <f t="shared" si="108"/>
        <v>45292</v>
      </c>
      <c r="M1184" s="2">
        <f t="shared" ca="1" si="109"/>
        <v>45334</v>
      </c>
      <c r="N1184" s="2">
        <f t="shared" ca="1" si="110"/>
        <v>45361</v>
      </c>
      <c r="O1184" s="3">
        <f t="shared" ca="1" si="111"/>
        <v>42</v>
      </c>
      <c r="P1184" s="3">
        <f t="shared" ca="1" si="112"/>
        <v>27</v>
      </c>
      <c r="Q1184" s="1" t="str">
        <f>IF(K1184=1,"Joined",IF(H1184&gt;=70,"Dropped at Offer",IF(H1184&gt;=50,"Dropped at Interview","Dropped at Screening")))</f>
        <v>Joined</v>
      </c>
      <c r="R1184" s="1" t="str">
        <f t="shared" ca="1" si="113"/>
        <v>Feb-2024</v>
      </c>
    </row>
    <row r="1185" spans="1:18">
      <c r="A1185">
        <v>30</v>
      </c>
      <c r="B1185">
        <v>0</v>
      </c>
      <c r="C1185">
        <v>2</v>
      </c>
      <c r="D1185">
        <v>14</v>
      </c>
      <c r="E1185">
        <v>1</v>
      </c>
      <c r="F1185">
        <v>45.120459322189397</v>
      </c>
      <c r="G1185">
        <v>85</v>
      </c>
      <c r="H1185">
        <v>93</v>
      </c>
      <c r="I1185">
        <v>58</v>
      </c>
      <c r="J1185">
        <v>2</v>
      </c>
      <c r="K1185">
        <v>0</v>
      </c>
      <c r="L1185" s="2">
        <f t="shared" si="108"/>
        <v>45292</v>
      </c>
      <c r="M1185" s="2">
        <f t="shared" ca="1" si="109"/>
        <v>45326</v>
      </c>
      <c r="N1185" s="2" t="str">
        <f t="shared" ca="1" si="110"/>
        <v>N/A</v>
      </c>
      <c r="O1185" s="3">
        <f t="shared" ca="1" si="111"/>
        <v>34</v>
      </c>
      <c r="P1185" s="3" t="str">
        <f t="shared" ca="1" si="112"/>
        <v>N/A</v>
      </c>
      <c r="Q1185" s="1" t="str">
        <f>IF(K1185=1,"Joined",IF(H1185&gt;=70,"Dropped at Offer",IF(H1185&gt;=50,"Dropped at Interview","Dropped at Screening")))</f>
        <v>Dropped at Offer</v>
      </c>
      <c r="R1185" s="1" t="str">
        <f t="shared" ca="1" si="113"/>
        <v>Feb-2024</v>
      </c>
    </row>
    <row r="1186" spans="1:18">
      <c r="A1186">
        <v>50</v>
      </c>
      <c r="B1186">
        <v>1</v>
      </c>
      <c r="C1186">
        <v>3</v>
      </c>
      <c r="D1186">
        <v>4</v>
      </c>
      <c r="E1186">
        <v>4</v>
      </c>
      <c r="F1186">
        <v>29.583943917486899</v>
      </c>
      <c r="G1186">
        <v>91</v>
      </c>
      <c r="H1186">
        <v>53</v>
      </c>
      <c r="I1186">
        <v>7</v>
      </c>
      <c r="J1186">
        <v>1</v>
      </c>
      <c r="K1186">
        <v>1</v>
      </c>
      <c r="L1186" s="2">
        <f t="shared" si="108"/>
        <v>45292</v>
      </c>
      <c r="M1186" s="2">
        <f t="shared" ca="1" si="109"/>
        <v>45329</v>
      </c>
      <c r="N1186" s="2">
        <f t="shared" ca="1" si="110"/>
        <v>45341</v>
      </c>
      <c r="O1186" s="3">
        <f t="shared" ca="1" si="111"/>
        <v>37</v>
      </c>
      <c r="P1186" s="3">
        <f t="shared" ca="1" si="112"/>
        <v>12</v>
      </c>
      <c r="Q1186" s="1" t="str">
        <f>IF(K1186=1,"Joined",IF(H1186&gt;=70,"Dropped at Offer",IF(H1186&gt;=50,"Dropped at Interview","Dropped at Screening")))</f>
        <v>Joined</v>
      </c>
      <c r="R1186" s="1" t="str">
        <f t="shared" ca="1" si="113"/>
        <v>Feb-2024</v>
      </c>
    </row>
    <row r="1187" spans="1:18">
      <c r="A1187">
        <v>35</v>
      </c>
      <c r="B1187">
        <v>1</v>
      </c>
      <c r="C1187">
        <v>2</v>
      </c>
      <c r="D1187">
        <v>13</v>
      </c>
      <c r="E1187">
        <v>2</v>
      </c>
      <c r="F1187">
        <v>17.582892208850801</v>
      </c>
      <c r="G1187">
        <v>23</v>
      </c>
      <c r="H1187">
        <v>54</v>
      </c>
      <c r="I1187">
        <v>54</v>
      </c>
      <c r="J1187">
        <v>2</v>
      </c>
      <c r="K1187">
        <v>0</v>
      </c>
      <c r="L1187" s="2">
        <f t="shared" si="108"/>
        <v>45292</v>
      </c>
      <c r="M1187" s="2">
        <f t="shared" ca="1" si="109"/>
        <v>45306</v>
      </c>
      <c r="N1187" s="2" t="str">
        <f t="shared" ca="1" si="110"/>
        <v>N/A</v>
      </c>
      <c r="O1187" s="3">
        <f t="shared" ca="1" si="111"/>
        <v>14</v>
      </c>
      <c r="P1187" s="3" t="str">
        <f t="shared" ca="1" si="112"/>
        <v>N/A</v>
      </c>
      <c r="Q1187" s="1" t="str">
        <f>IF(K1187=1,"Joined",IF(H1187&gt;=70,"Dropped at Offer",IF(H1187&gt;=50,"Dropped at Interview","Dropped at Screening")))</f>
        <v>Dropped at Interview</v>
      </c>
      <c r="R1187" s="1" t="str">
        <f t="shared" ca="1" si="113"/>
        <v>Jan-2024</v>
      </c>
    </row>
    <row r="1188" spans="1:18">
      <c r="A1188">
        <v>48</v>
      </c>
      <c r="B1188">
        <v>1</v>
      </c>
      <c r="C1188">
        <v>2</v>
      </c>
      <c r="D1188">
        <v>3</v>
      </c>
      <c r="E1188">
        <v>1</v>
      </c>
      <c r="F1188">
        <v>37.152856273016397</v>
      </c>
      <c r="G1188">
        <v>92</v>
      </c>
      <c r="H1188">
        <v>94</v>
      </c>
      <c r="I1188">
        <v>46</v>
      </c>
      <c r="J1188">
        <v>2</v>
      </c>
      <c r="K1188">
        <v>0</v>
      </c>
      <c r="L1188" s="2">
        <f t="shared" si="108"/>
        <v>45292</v>
      </c>
      <c r="M1188" s="2">
        <f t="shared" ca="1" si="109"/>
        <v>45325</v>
      </c>
      <c r="N1188" s="2" t="str">
        <f t="shared" ca="1" si="110"/>
        <v>N/A</v>
      </c>
      <c r="O1188" s="3">
        <f t="shared" ca="1" si="111"/>
        <v>33</v>
      </c>
      <c r="P1188" s="3" t="str">
        <f t="shared" ca="1" si="112"/>
        <v>N/A</v>
      </c>
      <c r="Q1188" s="1" t="str">
        <f>IF(K1188=1,"Joined",IF(H1188&gt;=70,"Dropped at Offer",IF(H1188&gt;=50,"Dropped at Interview","Dropped at Screening")))</f>
        <v>Dropped at Offer</v>
      </c>
      <c r="R1188" s="1" t="str">
        <f t="shared" ca="1" si="113"/>
        <v>Feb-2024</v>
      </c>
    </row>
    <row r="1189" spans="1:18">
      <c r="A1189">
        <v>36</v>
      </c>
      <c r="B1189">
        <v>1</v>
      </c>
      <c r="C1189">
        <v>2</v>
      </c>
      <c r="D1189">
        <v>8</v>
      </c>
      <c r="E1189">
        <v>4</v>
      </c>
      <c r="F1189">
        <v>26.3876075931332</v>
      </c>
      <c r="G1189">
        <v>72</v>
      </c>
      <c r="H1189">
        <v>18</v>
      </c>
      <c r="I1189">
        <v>1</v>
      </c>
      <c r="J1189">
        <v>3</v>
      </c>
      <c r="K1189">
        <v>0</v>
      </c>
      <c r="L1189" s="2">
        <f t="shared" si="108"/>
        <v>45292</v>
      </c>
      <c r="M1189" s="2">
        <f t="shared" ca="1" si="109"/>
        <v>45333</v>
      </c>
      <c r="N1189" s="2" t="str">
        <f t="shared" ca="1" si="110"/>
        <v>N/A</v>
      </c>
      <c r="O1189" s="3">
        <f t="shared" ca="1" si="111"/>
        <v>41</v>
      </c>
      <c r="P1189" s="3" t="str">
        <f t="shared" ca="1" si="112"/>
        <v>N/A</v>
      </c>
      <c r="Q1189" s="1" t="str">
        <f>IF(K1189=1,"Joined",IF(H1189&gt;=70,"Dropped at Offer",IF(H1189&gt;=50,"Dropped at Interview","Dropped at Screening")))</f>
        <v>Dropped at Screening</v>
      </c>
      <c r="R1189" s="1" t="str">
        <f t="shared" ca="1" si="113"/>
        <v>Feb-2024</v>
      </c>
    </row>
    <row r="1190" spans="1:18">
      <c r="A1190">
        <v>45</v>
      </c>
      <c r="B1190">
        <v>1</v>
      </c>
      <c r="C1190">
        <v>2</v>
      </c>
      <c r="D1190">
        <v>14</v>
      </c>
      <c r="E1190">
        <v>4</v>
      </c>
      <c r="F1190">
        <v>25.955432905380299</v>
      </c>
      <c r="G1190">
        <v>3</v>
      </c>
      <c r="H1190">
        <v>61</v>
      </c>
      <c r="I1190">
        <v>93</v>
      </c>
      <c r="J1190">
        <v>2</v>
      </c>
      <c r="K1190">
        <v>0</v>
      </c>
      <c r="L1190" s="2">
        <f t="shared" si="108"/>
        <v>45292</v>
      </c>
      <c r="M1190" s="2">
        <f t="shared" ca="1" si="109"/>
        <v>45319</v>
      </c>
      <c r="N1190" s="2" t="str">
        <f t="shared" ca="1" si="110"/>
        <v>N/A</v>
      </c>
      <c r="O1190" s="3">
        <f t="shared" ca="1" si="111"/>
        <v>27</v>
      </c>
      <c r="P1190" s="3" t="str">
        <f t="shared" ca="1" si="112"/>
        <v>N/A</v>
      </c>
      <c r="Q1190" s="1" t="str">
        <f>IF(K1190=1,"Joined",IF(H1190&gt;=70,"Dropped at Offer",IF(H1190&gt;=50,"Dropped at Interview","Dropped at Screening")))</f>
        <v>Dropped at Interview</v>
      </c>
      <c r="R1190" s="1" t="str">
        <f t="shared" ca="1" si="113"/>
        <v>Jan-2024</v>
      </c>
    </row>
    <row r="1191" spans="1:18">
      <c r="A1191">
        <v>23</v>
      </c>
      <c r="B1191">
        <v>0</v>
      </c>
      <c r="C1191">
        <v>2</v>
      </c>
      <c r="D1191">
        <v>8</v>
      </c>
      <c r="E1191">
        <v>2</v>
      </c>
      <c r="F1191">
        <v>6.5071141459483197</v>
      </c>
      <c r="G1191">
        <v>45</v>
      </c>
      <c r="H1191">
        <v>98</v>
      </c>
      <c r="I1191">
        <v>93</v>
      </c>
      <c r="J1191">
        <v>1</v>
      </c>
      <c r="K1191">
        <v>1</v>
      </c>
      <c r="L1191" s="2">
        <f t="shared" si="108"/>
        <v>45292</v>
      </c>
      <c r="M1191" s="2">
        <f t="shared" ca="1" si="109"/>
        <v>45315</v>
      </c>
      <c r="N1191" s="2">
        <f t="shared" ca="1" si="110"/>
        <v>45343</v>
      </c>
      <c r="O1191" s="3">
        <f t="shared" ca="1" si="111"/>
        <v>23</v>
      </c>
      <c r="P1191" s="3">
        <f t="shared" ca="1" si="112"/>
        <v>28</v>
      </c>
      <c r="Q1191" s="1" t="str">
        <f>IF(K1191=1,"Joined",IF(H1191&gt;=70,"Dropped at Offer",IF(H1191&gt;=50,"Dropped at Interview","Dropped at Screening")))</f>
        <v>Joined</v>
      </c>
      <c r="R1191" s="1" t="str">
        <f t="shared" ca="1" si="113"/>
        <v>Jan-2024</v>
      </c>
    </row>
    <row r="1192" spans="1:18">
      <c r="A1192">
        <v>20</v>
      </c>
      <c r="B1192">
        <v>0</v>
      </c>
      <c r="C1192">
        <v>2</v>
      </c>
      <c r="D1192">
        <v>14</v>
      </c>
      <c r="E1192">
        <v>2</v>
      </c>
      <c r="F1192">
        <v>20.475801297270401</v>
      </c>
      <c r="G1192">
        <v>17</v>
      </c>
      <c r="H1192">
        <v>92</v>
      </c>
      <c r="I1192">
        <v>38</v>
      </c>
      <c r="J1192">
        <v>1</v>
      </c>
      <c r="K1192">
        <v>1</v>
      </c>
      <c r="L1192" s="2">
        <f t="shared" si="108"/>
        <v>45292</v>
      </c>
      <c r="M1192" s="2">
        <f t="shared" ca="1" si="109"/>
        <v>45329</v>
      </c>
      <c r="N1192" s="2">
        <f t="shared" ca="1" si="110"/>
        <v>45340</v>
      </c>
      <c r="O1192" s="3">
        <f t="shared" ca="1" si="111"/>
        <v>37</v>
      </c>
      <c r="P1192" s="3">
        <f t="shared" ca="1" si="112"/>
        <v>11</v>
      </c>
      <c r="Q1192" s="1" t="str">
        <f>IF(K1192=1,"Joined",IF(H1192&gt;=70,"Dropped at Offer",IF(H1192&gt;=50,"Dropped at Interview","Dropped at Screening")))</f>
        <v>Joined</v>
      </c>
      <c r="R1192" s="1" t="str">
        <f t="shared" ca="1" si="113"/>
        <v>Feb-2024</v>
      </c>
    </row>
    <row r="1193" spans="1:18">
      <c r="A1193">
        <v>27</v>
      </c>
      <c r="B1193">
        <v>0</v>
      </c>
      <c r="C1193">
        <v>3</v>
      </c>
      <c r="D1193">
        <v>13</v>
      </c>
      <c r="E1193">
        <v>2</v>
      </c>
      <c r="F1193">
        <v>13.0532172928368</v>
      </c>
      <c r="G1193">
        <v>42</v>
      </c>
      <c r="H1193">
        <v>58</v>
      </c>
      <c r="I1193">
        <v>44</v>
      </c>
      <c r="J1193">
        <v>3</v>
      </c>
      <c r="K1193">
        <v>0</v>
      </c>
      <c r="L1193" s="2">
        <f t="shared" si="108"/>
        <v>45292</v>
      </c>
      <c r="M1193" s="2">
        <f t="shared" ca="1" si="109"/>
        <v>45320</v>
      </c>
      <c r="N1193" s="2" t="str">
        <f t="shared" ca="1" si="110"/>
        <v>N/A</v>
      </c>
      <c r="O1193" s="3">
        <f t="shared" ca="1" si="111"/>
        <v>28</v>
      </c>
      <c r="P1193" s="3" t="str">
        <f t="shared" ca="1" si="112"/>
        <v>N/A</v>
      </c>
      <c r="Q1193" s="1" t="str">
        <f>IF(K1193=1,"Joined",IF(H1193&gt;=70,"Dropped at Offer",IF(H1193&gt;=50,"Dropped at Interview","Dropped at Screening")))</f>
        <v>Dropped at Interview</v>
      </c>
      <c r="R1193" s="1" t="str">
        <f t="shared" ca="1" si="113"/>
        <v>Jan-2024</v>
      </c>
    </row>
    <row r="1194" spans="1:18">
      <c r="A1194">
        <v>36</v>
      </c>
      <c r="B1194">
        <v>1</v>
      </c>
      <c r="C1194">
        <v>2</v>
      </c>
      <c r="D1194">
        <v>4</v>
      </c>
      <c r="E1194">
        <v>1</v>
      </c>
      <c r="F1194">
        <v>1.7847952798139799</v>
      </c>
      <c r="G1194">
        <v>79</v>
      </c>
      <c r="H1194">
        <v>64</v>
      </c>
      <c r="I1194">
        <v>31</v>
      </c>
      <c r="J1194">
        <v>1</v>
      </c>
      <c r="K1194">
        <v>1</v>
      </c>
      <c r="L1194" s="2">
        <f t="shared" si="108"/>
        <v>45292</v>
      </c>
      <c r="M1194" s="2">
        <f t="shared" ca="1" si="109"/>
        <v>45335</v>
      </c>
      <c r="N1194" s="2">
        <f t="shared" ca="1" si="110"/>
        <v>45362</v>
      </c>
      <c r="O1194" s="3">
        <f t="shared" ca="1" si="111"/>
        <v>43</v>
      </c>
      <c r="P1194" s="3">
        <f t="shared" ca="1" si="112"/>
        <v>27</v>
      </c>
      <c r="Q1194" s="1" t="str">
        <f>IF(K1194=1,"Joined",IF(H1194&gt;=70,"Dropped at Offer",IF(H1194&gt;=50,"Dropped at Interview","Dropped at Screening")))</f>
        <v>Joined</v>
      </c>
      <c r="R1194" s="1" t="str">
        <f t="shared" ca="1" si="113"/>
        <v>Feb-2024</v>
      </c>
    </row>
    <row r="1195" spans="1:18">
      <c r="A1195">
        <v>22</v>
      </c>
      <c r="B1195">
        <v>0</v>
      </c>
      <c r="C1195">
        <v>2</v>
      </c>
      <c r="D1195">
        <v>9</v>
      </c>
      <c r="E1195">
        <v>5</v>
      </c>
      <c r="F1195">
        <v>19.0049815391056</v>
      </c>
      <c r="G1195">
        <v>32</v>
      </c>
      <c r="H1195">
        <v>67</v>
      </c>
      <c r="I1195">
        <v>64</v>
      </c>
      <c r="J1195">
        <v>2</v>
      </c>
      <c r="K1195">
        <v>0</v>
      </c>
      <c r="L1195" s="2">
        <f t="shared" si="108"/>
        <v>45292</v>
      </c>
      <c r="M1195" s="2">
        <f t="shared" ca="1" si="109"/>
        <v>45315</v>
      </c>
      <c r="N1195" s="2" t="str">
        <f t="shared" ca="1" si="110"/>
        <v>N/A</v>
      </c>
      <c r="O1195" s="3">
        <f t="shared" ca="1" si="111"/>
        <v>23</v>
      </c>
      <c r="P1195" s="3" t="str">
        <f t="shared" ca="1" si="112"/>
        <v>N/A</v>
      </c>
      <c r="Q1195" s="1" t="str">
        <f>IF(K1195=1,"Joined",IF(H1195&gt;=70,"Dropped at Offer",IF(H1195&gt;=50,"Dropped at Interview","Dropped at Screening")))</f>
        <v>Dropped at Interview</v>
      </c>
      <c r="R1195" s="1" t="str">
        <f t="shared" ca="1" si="113"/>
        <v>Jan-2024</v>
      </c>
    </row>
    <row r="1196" spans="1:18">
      <c r="A1196">
        <v>48</v>
      </c>
      <c r="B1196">
        <v>0</v>
      </c>
      <c r="C1196">
        <v>3</v>
      </c>
      <c r="D1196">
        <v>3</v>
      </c>
      <c r="E1196">
        <v>2</v>
      </c>
      <c r="F1196">
        <v>5.4911064712802302</v>
      </c>
      <c r="G1196">
        <v>92</v>
      </c>
      <c r="H1196">
        <v>27</v>
      </c>
      <c r="I1196">
        <v>37</v>
      </c>
      <c r="J1196">
        <v>2</v>
      </c>
      <c r="K1196">
        <v>0</v>
      </c>
      <c r="L1196" s="2">
        <f t="shared" si="108"/>
        <v>45292</v>
      </c>
      <c r="M1196" s="2">
        <f t="shared" ca="1" si="109"/>
        <v>45307</v>
      </c>
      <c r="N1196" s="2" t="str">
        <f t="shared" ca="1" si="110"/>
        <v>N/A</v>
      </c>
      <c r="O1196" s="3">
        <f t="shared" ca="1" si="111"/>
        <v>15</v>
      </c>
      <c r="P1196" s="3" t="str">
        <f t="shared" ca="1" si="112"/>
        <v>N/A</v>
      </c>
      <c r="Q1196" s="1" t="str">
        <f>IF(K1196=1,"Joined",IF(H1196&gt;=70,"Dropped at Offer",IF(H1196&gt;=50,"Dropped at Interview","Dropped at Screening")))</f>
        <v>Dropped at Screening</v>
      </c>
      <c r="R1196" s="1" t="str">
        <f t="shared" ca="1" si="113"/>
        <v>Jan-2024</v>
      </c>
    </row>
    <row r="1197" spans="1:18">
      <c r="A1197">
        <v>39</v>
      </c>
      <c r="B1197">
        <v>1</v>
      </c>
      <c r="C1197">
        <v>2</v>
      </c>
      <c r="D1197">
        <v>6</v>
      </c>
      <c r="E1197">
        <v>5</v>
      </c>
      <c r="F1197">
        <v>13.8415018862592</v>
      </c>
      <c r="G1197">
        <v>9</v>
      </c>
      <c r="H1197">
        <v>17</v>
      </c>
      <c r="I1197">
        <v>76</v>
      </c>
      <c r="J1197">
        <v>2</v>
      </c>
      <c r="K1197">
        <v>0</v>
      </c>
      <c r="L1197" s="2">
        <f t="shared" si="108"/>
        <v>45292</v>
      </c>
      <c r="M1197" s="2">
        <f t="shared" ca="1" si="109"/>
        <v>45327</v>
      </c>
      <c r="N1197" s="2" t="str">
        <f t="shared" ca="1" si="110"/>
        <v>N/A</v>
      </c>
      <c r="O1197" s="3">
        <f t="shared" ca="1" si="111"/>
        <v>35</v>
      </c>
      <c r="P1197" s="3" t="str">
        <f t="shared" ca="1" si="112"/>
        <v>N/A</v>
      </c>
      <c r="Q1197" s="1" t="str">
        <f>IF(K1197=1,"Joined",IF(H1197&gt;=70,"Dropped at Offer",IF(H1197&gt;=50,"Dropped at Interview","Dropped at Screening")))</f>
        <v>Dropped at Screening</v>
      </c>
      <c r="R1197" s="1" t="str">
        <f t="shared" ca="1" si="113"/>
        <v>Feb-2024</v>
      </c>
    </row>
    <row r="1198" spans="1:18">
      <c r="A1198">
        <v>34</v>
      </c>
      <c r="B1198">
        <v>1</v>
      </c>
      <c r="C1198">
        <v>2</v>
      </c>
      <c r="D1198">
        <v>14</v>
      </c>
      <c r="E1198">
        <v>1</v>
      </c>
      <c r="F1198">
        <v>5.62583105915472</v>
      </c>
      <c r="G1198">
        <v>72</v>
      </c>
      <c r="H1198">
        <v>25</v>
      </c>
      <c r="I1198">
        <v>10</v>
      </c>
      <c r="J1198">
        <v>2</v>
      </c>
      <c r="K1198">
        <v>0</v>
      </c>
      <c r="L1198" s="2">
        <f t="shared" si="108"/>
        <v>45292</v>
      </c>
      <c r="M1198" s="2">
        <f t="shared" ca="1" si="109"/>
        <v>45325</v>
      </c>
      <c r="N1198" s="2" t="str">
        <f t="shared" ca="1" si="110"/>
        <v>N/A</v>
      </c>
      <c r="O1198" s="3">
        <f t="shared" ca="1" si="111"/>
        <v>33</v>
      </c>
      <c r="P1198" s="3" t="str">
        <f t="shared" ca="1" si="112"/>
        <v>N/A</v>
      </c>
      <c r="Q1198" s="1" t="str">
        <f>IF(K1198=1,"Joined",IF(H1198&gt;=70,"Dropped at Offer",IF(H1198&gt;=50,"Dropped at Interview","Dropped at Screening")))</f>
        <v>Dropped at Screening</v>
      </c>
      <c r="R1198" s="1" t="str">
        <f t="shared" ca="1" si="113"/>
        <v>Feb-2024</v>
      </c>
    </row>
    <row r="1199" spans="1:18">
      <c r="A1199">
        <v>34</v>
      </c>
      <c r="B1199">
        <v>1</v>
      </c>
      <c r="C1199">
        <v>2</v>
      </c>
      <c r="D1199">
        <v>5</v>
      </c>
      <c r="E1199">
        <v>5</v>
      </c>
      <c r="F1199">
        <v>6.0470812778199399</v>
      </c>
      <c r="G1199">
        <v>58</v>
      </c>
      <c r="H1199">
        <v>18</v>
      </c>
      <c r="I1199">
        <v>9</v>
      </c>
      <c r="J1199">
        <v>2</v>
      </c>
      <c r="K1199">
        <v>0</v>
      </c>
      <c r="L1199" s="2">
        <f t="shared" si="108"/>
        <v>45292</v>
      </c>
      <c r="M1199" s="2">
        <f t="shared" ca="1" si="109"/>
        <v>45329</v>
      </c>
      <c r="N1199" s="2" t="str">
        <f t="shared" ca="1" si="110"/>
        <v>N/A</v>
      </c>
      <c r="O1199" s="3">
        <f t="shared" ca="1" si="111"/>
        <v>37</v>
      </c>
      <c r="P1199" s="3" t="str">
        <f t="shared" ca="1" si="112"/>
        <v>N/A</v>
      </c>
      <c r="Q1199" s="1" t="str">
        <f>IF(K1199=1,"Joined",IF(H1199&gt;=70,"Dropped at Offer",IF(H1199&gt;=50,"Dropped at Interview","Dropped at Screening")))</f>
        <v>Dropped at Screening</v>
      </c>
      <c r="R1199" s="1" t="str">
        <f t="shared" ca="1" si="113"/>
        <v>Feb-2024</v>
      </c>
    </row>
    <row r="1200" spans="1:18">
      <c r="A1200">
        <v>50</v>
      </c>
      <c r="B1200">
        <v>0</v>
      </c>
      <c r="C1200">
        <v>1</v>
      </c>
      <c r="D1200">
        <v>3</v>
      </c>
      <c r="E1200">
        <v>3</v>
      </c>
      <c r="F1200">
        <v>10.950564720759401</v>
      </c>
      <c r="G1200">
        <v>30</v>
      </c>
      <c r="H1200">
        <v>54</v>
      </c>
      <c r="I1200">
        <v>58</v>
      </c>
      <c r="J1200">
        <v>3</v>
      </c>
      <c r="K1200">
        <v>0</v>
      </c>
      <c r="L1200" s="2">
        <f t="shared" si="108"/>
        <v>45292</v>
      </c>
      <c r="M1200" s="2">
        <f t="shared" ca="1" si="109"/>
        <v>45314</v>
      </c>
      <c r="N1200" s="2" t="str">
        <f t="shared" ca="1" si="110"/>
        <v>N/A</v>
      </c>
      <c r="O1200" s="3">
        <f t="shared" ca="1" si="111"/>
        <v>22</v>
      </c>
      <c r="P1200" s="3" t="str">
        <f t="shared" ca="1" si="112"/>
        <v>N/A</v>
      </c>
      <c r="Q1200" s="1" t="str">
        <f>IF(K1200=1,"Joined",IF(H1200&gt;=70,"Dropped at Offer",IF(H1200&gt;=50,"Dropped at Interview","Dropped at Screening")))</f>
        <v>Dropped at Interview</v>
      </c>
      <c r="R1200" s="1" t="str">
        <f t="shared" ca="1" si="113"/>
        <v>Jan-2024</v>
      </c>
    </row>
    <row r="1201" spans="1:18">
      <c r="A1201">
        <v>43</v>
      </c>
      <c r="B1201">
        <v>0</v>
      </c>
      <c r="C1201">
        <v>3</v>
      </c>
      <c r="D1201">
        <v>12</v>
      </c>
      <c r="E1201">
        <v>5</v>
      </c>
      <c r="F1201">
        <v>50.992462224320001</v>
      </c>
      <c r="G1201">
        <v>27</v>
      </c>
      <c r="H1201">
        <v>56</v>
      </c>
      <c r="I1201">
        <v>89</v>
      </c>
      <c r="J1201">
        <v>1</v>
      </c>
      <c r="K1201">
        <v>1</v>
      </c>
      <c r="L1201" s="2">
        <f t="shared" si="108"/>
        <v>45292</v>
      </c>
      <c r="M1201" s="2">
        <f t="shared" ca="1" si="109"/>
        <v>45333</v>
      </c>
      <c r="N1201" s="2">
        <f t="shared" ca="1" si="110"/>
        <v>45361</v>
      </c>
      <c r="O1201" s="3">
        <f t="shared" ca="1" si="111"/>
        <v>41</v>
      </c>
      <c r="P1201" s="3">
        <f t="shared" ca="1" si="112"/>
        <v>28</v>
      </c>
      <c r="Q1201" s="1" t="str">
        <f>IF(K1201=1,"Joined",IF(H1201&gt;=70,"Dropped at Offer",IF(H1201&gt;=50,"Dropped at Interview","Dropped at Screening")))</f>
        <v>Joined</v>
      </c>
      <c r="R1201" s="1" t="str">
        <f t="shared" ca="1" si="113"/>
        <v>Feb-2024</v>
      </c>
    </row>
    <row r="1202" spans="1:18">
      <c r="A1202">
        <v>41</v>
      </c>
      <c r="B1202">
        <v>1</v>
      </c>
      <c r="C1202">
        <v>3</v>
      </c>
      <c r="D1202">
        <v>12</v>
      </c>
      <c r="E1202">
        <v>2</v>
      </c>
      <c r="F1202">
        <v>1.1092071428624299</v>
      </c>
      <c r="G1202">
        <v>59</v>
      </c>
      <c r="H1202">
        <v>5</v>
      </c>
      <c r="I1202">
        <v>54</v>
      </c>
      <c r="J1202">
        <v>3</v>
      </c>
      <c r="K1202">
        <v>0</v>
      </c>
      <c r="L1202" s="2">
        <f t="shared" si="108"/>
        <v>45292</v>
      </c>
      <c r="M1202" s="2">
        <f t="shared" ca="1" si="109"/>
        <v>45335</v>
      </c>
      <c r="N1202" s="2" t="str">
        <f t="shared" ca="1" si="110"/>
        <v>N/A</v>
      </c>
      <c r="O1202" s="3">
        <f t="shared" ca="1" si="111"/>
        <v>43</v>
      </c>
      <c r="P1202" s="3" t="str">
        <f t="shared" ca="1" si="112"/>
        <v>N/A</v>
      </c>
      <c r="Q1202" s="1" t="str">
        <f>IF(K1202=1,"Joined",IF(H1202&gt;=70,"Dropped at Offer",IF(H1202&gt;=50,"Dropped at Interview","Dropped at Screening")))</f>
        <v>Dropped at Screening</v>
      </c>
      <c r="R1202" s="1" t="str">
        <f t="shared" ca="1" si="113"/>
        <v>Feb-2024</v>
      </c>
    </row>
    <row r="1203" spans="1:18">
      <c r="A1203">
        <v>33</v>
      </c>
      <c r="B1203">
        <v>1</v>
      </c>
      <c r="C1203">
        <v>4</v>
      </c>
      <c r="D1203">
        <v>14</v>
      </c>
      <c r="E1203">
        <v>1</v>
      </c>
      <c r="F1203">
        <v>32.933631806020202</v>
      </c>
      <c r="G1203">
        <v>2</v>
      </c>
      <c r="H1203">
        <v>0</v>
      </c>
      <c r="I1203">
        <v>19</v>
      </c>
      <c r="J1203">
        <v>2</v>
      </c>
      <c r="K1203">
        <v>0</v>
      </c>
      <c r="L1203" s="2">
        <f t="shared" si="108"/>
        <v>45292</v>
      </c>
      <c r="M1203" s="2">
        <f t="shared" ca="1" si="109"/>
        <v>45323</v>
      </c>
      <c r="N1203" s="2" t="str">
        <f t="shared" ca="1" si="110"/>
        <v>N/A</v>
      </c>
      <c r="O1203" s="3">
        <f t="shared" ca="1" si="111"/>
        <v>31</v>
      </c>
      <c r="P1203" s="3" t="str">
        <f t="shared" ca="1" si="112"/>
        <v>N/A</v>
      </c>
      <c r="Q1203" s="1" t="str">
        <f>IF(K1203=1,"Joined",IF(H1203&gt;=70,"Dropped at Offer",IF(H1203&gt;=50,"Dropped at Interview","Dropped at Screening")))</f>
        <v>Dropped at Screening</v>
      </c>
      <c r="R1203" s="1" t="str">
        <f t="shared" ca="1" si="113"/>
        <v>Feb-2024</v>
      </c>
    </row>
    <row r="1204" spans="1:18">
      <c r="A1204">
        <v>45</v>
      </c>
      <c r="B1204">
        <v>0</v>
      </c>
      <c r="C1204">
        <v>2</v>
      </c>
      <c r="D1204">
        <v>9</v>
      </c>
      <c r="E1204">
        <v>2</v>
      </c>
      <c r="F1204">
        <v>8.0621849013278606</v>
      </c>
      <c r="G1204">
        <v>54</v>
      </c>
      <c r="H1204">
        <v>7</v>
      </c>
      <c r="I1204">
        <v>80</v>
      </c>
      <c r="J1204">
        <v>3</v>
      </c>
      <c r="K1204">
        <v>0</v>
      </c>
      <c r="L1204" s="2">
        <f t="shared" si="108"/>
        <v>45292</v>
      </c>
      <c r="M1204" s="2">
        <f t="shared" ca="1" si="109"/>
        <v>45311</v>
      </c>
      <c r="N1204" s="2" t="str">
        <f t="shared" ca="1" si="110"/>
        <v>N/A</v>
      </c>
      <c r="O1204" s="3">
        <f t="shared" ca="1" si="111"/>
        <v>19</v>
      </c>
      <c r="P1204" s="3" t="str">
        <f t="shared" ca="1" si="112"/>
        <v>N/A</v>
      </c>
      <c r="Q1204" s="1" t="str">
        <f>IF(K1204=1,"Joined",IF(H1204&gt;=70,"Dropped at Offer",IF(H1204&gt;=50,"Dropped at Interview","Dropped at Screening")))</f>
        <v>Dropped at Screening</v>
      </c>
      <c r="R1204" s="1" t="str">
        <f t="shared" ca="1" si="113"/>
        <v>Jan-2024</v>
      </c>
    </row>
    <row r="1205" spans="1:18">
      <c r="A1205">
        <v>47</v>
      </c>
      <c r="B1205">
        <v>0</v>
      </c>
      <c r="C1205">
        <v>2</v>
      </c>
      <c r="D1205">
        <v>1</v>
      </c>
      <c r="E1205">
        <v>3</v>
      </c>
      <c r="F1205">
        <v>47.031406835538696</v>
      </c>
      <c r="G1205">
        <v>13</v>
      </c>
      <c r="H1205">
        <v>96</v>
      </c>
      <c r="I1205">
        <v>16</v>
      </c>
      <c r="J1205">
        <v>1</v>
      </c>
      <c r="K1205">
        <v>0</v>
      </c>
      <c r="L1205" s="2">
        <f t="shared" si="108"/>
        <v>45292</v>
      </c>
      <c r="M1205" s="2">
        <f t="shared" ca="1" si="109"/>
        <v>45308</v>
      </c>
      <c r="N1205" s="2" t="str">
        <f t="shared" ca="1" si="110"/>
        <v>N/A</v>
      </c>
      <c r="O1205" s="3">
        <f t="shared" ca="1" si="111"/>
        <v>16</v>
      </c>
      <c r="P1205" s="3" t="str">
        <f t="shared" ca="1" si="112"/>
        <v>N/A</v>
      </c>
      <c r="Q1205" s="1" t="str">
        <f>IF(K1205=1,"Joined",IF(H1205&gt;=70,"Dropped at Offer",IF(H1205&gt;=50,"Dropped at Interview","Dropped at Screening")))</f>
        <v>Dropped at Offer</v>
      </c>
      <c r="R1205" s="1" t="str">
        <f t="shared" ca="1" si="113"/>
        <v>Jan-2024</v>
      </c>
    </row>
    <row r="1206" spans="1:18">
      <c r="A1206">
        <v>42</v>
      </c>
      <c r="B1206">
        <v>1</v>
      </c>
      <c r="C1206">
        <v>1</v>
      </c>
      <c r="D1206">
        <v>0</v>
      </c>
      <c r="E1206">
        <v>2</v>
      </c>
      <c r="F1206">
        <v>5.6816446666814597</v>
      </c>
      <c r="G1206">
        <v>57</v>
      </c>
      <c r="H1206">
        <v>50</v>
      </c>
      <c r="I1206">
        <v>67</v>
      </c>
      <c r="J1206">
        <v>1</v>
      </c>
      <c r="K1206">
        <v>0</v>
      </c>
      <c r="L1206" s="2">
        <f t="shared" si="108"/>
        <v>45292</v>
      </c>
      <c r="M1206" s="2">
        <f t="shared" ca="1" si="109"/>
        <v>45329</v>
      </c>
      <c r="N1206" s="2" t="str">
        <f t="shared" ca="1" si="110"/>
        <v>N/A</v>
      </c>
      <c r="O1206" s="3">
        <f t="shared" ca="1" si="111"/>
        <v>37</v>
      </c>
      <c r="P1206" s="3" t="str">
        <f t="shared" ca="1" si="112"/>
        <v>N/A</v>
      </c>
      <c r="Q1206" s="1" t="str">
        <f>IF(K1206=1,"Joined",IF(H1206&gt;=70,"Dropped at Offer",IF(H1206&gt;=50,"Dropped at Interview","Dropped at Screening")))</f>
        <v>Dropped at Interview</v>
      </c>
      <c r="R1206" s="1" t="str">
        <f t="shared" ca="1" si="113"/>
        <v>Feb-2024</v>
      </c>
    </row>
    <row r="1207" spans="1:18">
      <c r="A1207">
        <v>33</v>
      </c>
      <c r="B1207">
        <v>1</v>
      </c>
      <c r="C1207">
        <v>2</v>
      </c>
      <c r="D1207">
        <v>3</v>
      </c>
      <c r="E1207">
        <v>2</v>
      </c>
      <c r="F1207">
        <v>48.753159356311798</v>
      </c>
      <c r="G1207">
        <v>88</v>
      </c>
      <c r="H1207">
        <v>84</v>
      </c>
      <c r="I1207">
        <v>4</v>
      </c>
      <c r="J1207">
        <v>3</v>
      </c>
      <c r="K1207">
        <v>0</v>
      </c>
      <c r="L1207" s="2">
        <f t="shared" si="108"/>
        <v>45292</v>
      </c>
      <c r="M1207" s="2">
        <f t="shared" ca="1" si="109"/>
        <v>45306</v>
      </c>
      <c r="N1207" s="2" t="str">
        <f t="shared" ca="1" si="110"/>
        <v>N/A</v>
      </c>
      <c r="O1207" s="3">
        <f t="shared" ca="1" si="111"/>
        <v>14</v>
      </c>
      <c r="P1207" s="3" t="str">
        <f t="shared" ca="1" si="112"/>
        <v>N/A</v>
      </c>
      <c r="Q1207" s="1" t="str">
        <f>IF(K1207=1,"Joined",IF(H1207&gt;=70,"Dropped at Offer",IF(H1207&gt;=50,"Dropped at Interview","Dropped at Screening")))</f>
        <v>Dropped at Offer</v>
      </c>
      <c r="R1207" s="1" t="str">
        <f t="shared" ca="1" si="113"/>
        <v>Jan-2024</v>
      </c>
    </row>
    <row r="1208" spans="1:18">
      <c r="A1208">
        <v>43</v>
      </c>
      <c r="B1208">
        <v>0</v>
      </c>
      <c r="C1208">
        <v>2</v>
      </c>
      <c r="D1208">
        <v>3</v>
      </c>
      <c r="E1208">
        <v>2</v>
      </c>
      <c r="F1208">
        <v>31.546319374173802</v>
      </c>
      <c r="G1208">
        <v>14</v>
      </c>
      <c r="H1208">
        <v>87</v>
      </c>
      <c r="I1208">
        <v>59</v>
      </c>
      <c r="J1208">
        <v>3</v>
      </c>
      <c r="K1208">
        <v>0</v>
      </c>
      <c r="L1208" s="2">
        <f t="shared" si="108"/>
        <v>45292</v>
      </c>
      <c r="M1208" s="2">
        <f t="shared" ca="1" si="109"/>
        <v>45313</v>
      </c>
      <c r="N1208" s="2" t="str">
        <f t="shared" ca="1" si="110"/>
        <v>N/A</v>
      </c>
      <c r="O1208" s="3">
        <f t="shared" ca="1" si="111"/>
        <v>21</v>
      </c>
      <c r="P1208" s="3" t="str">
        <f t="shared" ca="1" si="112"/>
        <v>N/A</v>
      </c>
      <c r="Q1208" s="1" t="str">
        <f>IF(K1208=1,"Joined",IF(H1208&gt;=70,"Dropped at Offer",IF(H1208&gt;=50,"Dropped at Interview","Dropped at Screening")))</f>
        <v>Dropped at Offer</v>
      </c>
      <c r="R1208" s="1" t="str">
        <f t="shared" ca="1" si="113"/>
        <v>Jan-2024</v>
      </c>
    </row>
    <row r="1209" spans="1:18">
      <c r="A1209">
        <v>21</v>
      </c>
      <c r="B1209">
        <v>1</v>
      </c>
      <c r="C1209">
        <v>4</v>
      </c>
      <c r="D1209">
        <v>12</v>
      </c>
      <c r="E1209">
        <v>4</v>
      </c>
      <c r="F1209">
        <v>1.0634038457745101</v>
      </c>
      <c r="G1209">
        <v>1</v>
      </c>
      <c r="H1209">
        <v>24</v>
      </c>
      <c r="I1209">
        <v>22</v>
      </c>
      <c r="J1209">
        <v>2</v>
      </c>
      <c r="K1209">
        <v>0</v>
      </c>
      <c r="L1209" s="2">
        <f t="shared" si="108"/>
        <v>45292</v>
      </c>
      <c r="M1209" s="2">
        <f t="shared" ca="1" si="109"/>
        <v>45320</v>
      </c>
      <c r="N1209" s="2" t="str">
        <f t="shared" ca="1" si="110"/>
        <v>N/A</v>
      </c>
      <c r="O1209" s="3">
        <f t="shared" ca="1" si="111"/>
        <v>28</v>
      </c>
      <c r="P1209" s="3" t="str">
        <f t="shared" ca="1" si="112"/>
        <v>N/A</v>
      </c>
      <c r="Q1209" s="1" t="str">
        <f>IF(K1209=1,"Joined",IF(H1209&gt;=70,"Dropped at Offer",IF(H1209&gt;=50,"Dropped at Interview","Dropped at Screening")))</f>
        <v>Dropped at Screening</v>
      </c>
      <c r="R1209" s="1" t="str">
        <f t="shared" ca="1" si="113"/>
        <v>Jan-2024</v>
      </c>
    </row>
    <row r="1210" spans="1:18">
      <c r="A1210">
        <v>32</v>
      </c>
      <c r="B1210">
        <v>0</v>
      </c>
      <c r="C1210">
        <v>2</v>
      </c>
      <c r="D1210">
        <v>0</v>
      </c>
      <c r="E1210">
        <v>3</v>
      </c>
      <c r="F1210">
        <v>45.7003598958403</v>
      </c>
      <c r="G1210">
        <v>23</v>
      </c>
      <c r="H1210">
        <v>46</v>
      </c>
      <c r="I1210">
        <v>45</v>
      </c>
      <c r="J1210">
        <v>2</v>
      </c>
      <c r="K1210">
        <v>0</v>
      </c>
      <c r="L1210" s="2">
        <f t="shared" si="108"/>
        <v>45292</v>
      </c>
      <c r="M1210" s="2">
        <f t="shared" ca="1" si="109"/>
        <v>45313</v>
      </c>
      <c r="N1210" s="2" t="str">
        <f t="shared" ca="1" si="110"/>
        <v>N/A</v>
      </c>
      <c r="O1210" s="3">
        <f t="shared" ca="1" si="111"/>
        <v>21</v>
      </c>
      <c r="P1210" s="3" t="str">
        <f t="shared" ca="1" si="112"/>
        <v>N/A</v>
      </c>
      <c r="Q1210" s="1" t="str">
        <f>IF(K1210=1,"Joined",IF(H1210&gt;=70,"Dropped at Offer",IF(H1210&gt;=50,"Dropped at Interview","Dropped at Screening")))</f>
        <v>Dropped at Screening</v>
      </c>
      <c r="R1210" s="1" t="str">
        <f t="shared" ca="1" si="113"/>
        <v>Jan-2024</v>
      </c>
    </row>
    <row r="1211" spans="1:18">
      <c r="A1211">
        <v>45</v>
      </c>
      <c r="B1211">
        <v>0</v>
      </c>
      <c r="C1211">
        <v>2</v>
      </c>
      <c r="D1211">
        <v>5</v>
      </c>
      <c r="E1211">
        <v>2</v>
      </c>
      <c r="F1211">
        <v>27.085590068345901</v>
      </c>
      <c r="G1211">
        <v>77</v>
      </c>
      <c r="H1211">
        <v>54</v>
      </c>
      <c r="I1211">
        <v>51</v>
      </c>
      <c r="J1211">
        <v>3</v>
      </c>
      <c r="K1211">
        <v>0</v>
      </c>
      <c r="L1211" s="2">
        <f t="shared" si="108"/>
        <v>45292</v>
      </c>
      <c r="M1211" s="2">
        <f t="shared" ca="1" si="109"/>
        <v>45314</v>
      </c>
      <c r="N1211" s="2" t="str">
        <f t="shared" ca="1" si="110"/>
        <v>N/A</v>
      </c>
      <c r="O1211" s="3">
        <f t="shared" ca="1" si="111"/>
        <v>22</v>
      </c>
      <c r="P1211" s="3" t="str">
        <f t="shared" ca="1" si="112"/>
        <v>N/A</v>
      </c>
      <c r="Q1211" s="1" t="str">
        <f>IF(K1211=1,"Joined",IF(H1211&gt;=70,"Dropped at Offer",IF(H1211&gt;=50,"Dropped at Interview","Dropped at Screening")))</f>
        <v>Dropped at Interview</v>
      </c>
      <c r="R1211" s="1" t="str">
        <f t="shared" ca="1" si="113"/>
        <v>Jan-2024</v>
      </c>
    </row>
    <row r="1212" spans="1:18">
      <c r="A1212">
        <v>33</v>
      </c>
      <c r="B1212">
        <v>0</v>
      </c>
      <c r="C1212">
        <v>2</v>
      </c>
      <c r="D1212">
        <v>3</v>
      </c>
      <c r="E1212">
        <v>2</v>
      </c>
      <c r="F1212">
        <v>14.1334867665242</v>
      </c>
      <c r="G1212">
        <v>63</v>
      </c>
      <c r="H1212">
        <v>63</v>
      </c>
      <c r="I1212">
        <v>9</v>
      </c>
      <c r="J1212">
        <v>1</v>
      </c>
      <c r="K1212">
        <v>0</v>
      </c>
      <c r="L1212" s="2">
        <f t="shared" si="108"/>
        <v>45292</v>
      </c>
      <c r="M1212" s="2">
        <f t="shared" ca="1" si="109"/>
        <v>45317</v>
      </c>
      <c r="N1212" s="2" t="str">
        <f t="shared" ca="1" si="110"/>
        <v>N/A</v>
      </c>
      <c r="O1212" s="3">
        <f t="shared" ca="1" si="111"/>
        <v>25</v>
      </c>
      <c r="P1212" s="3" t="str">
        <f t="shared" ca="1" si="112"/>
        <v>N/A</v>
      </c>
      <c r="Q1212" s="1" t="str">
        <f>IF(K1212=1,"Joined",IF(H1212&gt;=70,"Dropped at Offer",IF(H1212&gt;=50,"Dropped at Interview","Dropped at Screening")))</f>
        <v>Dropped at Interview</v>
      </c>
      <c r="R1212" s="1" t="str">
        <f t="shared" ca="1" si="113"/>
        <v>Jan-2024</v>
      </c>
    </row>
    <row r="1213" spans="1:18">
      <c r="A1213">
        <v>46</v>
      </c>
      <c r="B1213">
        <v>0</v>
      </c>
      <c r="C1213">
        <v>2</v>
      </c>
      <c r="D1213">
        <v>0</v>
      </c>
      <c r="E1213">
        <v>2</v>
      </c>
      <c r="F1213">
        <v>39.363958875781499</v>
      </c>
      <c r="G1213">
        <v>70</v>
      </c>
      <c r="H1213">
        <v>82</v>
      </c>
      <c r="I1213">
        <v>45</v>
      </c>
      <c r="J1213">
        <v>2</v>
      </c>
      <c r="K1213">
        <v>0</v>
      </c>
      <c r="L1213" s="2">
        <f t="shared" si="108"/>
        <v>45292</v>
      </c>
      <c r="M1213" s="2">
        <f t="shared" ca="1" si="109"/>
        <v>45332</v>
      </c>
      <c r="N1213" s="2" t="str">
        <f t="shared" ca="1" si="110"/>
        <v>N/A</v>
      </c>
      <c r="O1213" s="3">
        <f t="shared" ca="1" si="111"/>
        <v>40</v>
      </c>
      <c r="P1213" s="3" t="str">
        <f t="shared" ca="1" si="112"/>
        <v>N/A</v>
      </c>
      <c r="Q1213" s="1" t="str">
        <f>IF(K1213=1,"Joined",IF(H1213&gt;=70,"Dropped at Offer",IF(H1213&gt;=50,"Dropped at Interview","Dropped at Screening")))</f>
        <v>Dropped at Offer</v>
      </c>
      <c r="R1213" s="1" t="str">
        <f t="shared" ca="1" si="113"/>
        <v>Feb-2024</v>
      </c>
    </row>
    <row r="1214" spans="1:18">
      <c r="A1214">
        <v>43</v>
      </c>
      <c r="B1214">
        <v>1</v>
      </c>
      <c r="C1214">
        <v>2</v>
      </c>
      <c r="D1214">
        <v>0</v>
      </c>
      <c r="E1214">
        <v>1</v>
      </c>
      <c r="F1214">
        <v>47.333277694343501</v>
      </c>
      <c r="G1214">
        <v>99</v>
      </c>
      <c r="H1214">
        <v>92</v>
      </c>
      <c r="I1214">
        <v>27</v>
      </c>
      <c r="J1214">
        <v>3</v>
      </c>
      <c r="K1214">
        <v>0</v>
      </c>
      <c r="L1214" s="2">
        <f t="shared" si="108"/>
        <v>45292</v>
      </c>
      <c r="M1214" s="2">
        <f t="shared" ca="1" si="109"/>
        <v>45325</v>
      </c>
      <c r="N1214" s="2" t="str">
        <f t="shared" ca="1" si="110"/>
        <v>N/A</v>
      </c>
      <c r="O1214" s="3">
        <f t="shared" ca="1" si="111"/>
        <v>33</v>
      </c>
      <c r="P1214" s="3" t="str">
        <f t="shared" ca="1" si="112"/>
        <v>N/A</v>
      </c>
      <c r="Q1214" s="1" t="str">
        <f>IF(K1214=1,"Joined",IF(H1214&gt;=70,"Dropped at Offer",IF(H1214&gt;=50,"Dropped at Interview","Dropped at Screening")))</f>
        <v>Dropped at Offer</v>
      </c>
      <c r="R1214" s="1" t="str">
        <f t="shared" ca="1" si="113"/>
        <v>Feb-2024</v>
      </c>
    </row>
    <row r="1215" spans="1:18">
      <c r="A1215">
        <v>38</v>
      </c>
      <c r="B1215">
        <v>1</v>
      </c>
      <c r="C1215">
        <v>3</v>
      </c>
      <c r="D1215">
        <v>14</v>
      </c>
      <c r="E1215">
        <v>4</v>
      </c>
      <c r="F1215">
        <v>25.184541157339599</v>
      </c>
      <c r="G1215">
        <v>23</v>
      </c>
      <c r="H1215">
        <v>9</v>
      </c>
      <c r="I1215">
        <v>96</v>
      </c>
      <c r="J1215">
        <v>2</v>
      </c>
      <c r="K1215">
        <v>0</v>
      </c>
      <c r="L1215" s="2">
        <f t="shared" si="108"/>
        <v>45292</v>
      </c>
      <c r="M1215" s="2">
        <f t="shared" ca="1" si="109"/>
        <v>45310</v>
      </c>
      <c r="N1215" s="2" t="str">
        <f t="shared" ca="1" si="110"/>
        <v>N/A</v>
      </c>
      <c r="O1215" s="3">
        <f t="shared" ca="1" si="111"/>
        <v>18</v>
      </c>
      <c r="P1215" s="3" t="str">
        <f t="shared" ca="1" si="112"/>
        <v>N/A</v>
      </c>
      <c r="Q1215" s="1" t="str">
        <f>IF(K1215=1,"Joined",IF(H1215&gt;=70,"Dropped at Offer",IF(H1215&gt;=50,"Dropped at Interview","Dropped at Screening")))</f>
        <v>Dropped at Screening</v>
      </c>
      <c r="R1215" s="1" t="str">
        <f t="shared" ca="1" si="113"/>
        <v>Jan-2024</v>
      </c>
    </row>
    <row r="1216" spans="1:18">
      <c r="A1216">
        <v>26</v>
      </c>
      <c r="B1216">
        <v>0</v>
      </c>
      <c r="C1216">
        <v>2</v>
      </c>
      <c r="D1216">
        <v>12</v>
      </c>
      <c r="E1216">
        <v>1</v>
      </c>
      <c r="F1216">
        <v>16.777673722155502</v>
      </c>
      <c r="G1216">
        <v>26</v>
      </c>
      <c r="H1216">
        <v>55</v>
      </c>
      <c r="I1216">
        <v>42</v>
      </c>
      <c r="J1216">
        <v>2</v>
      </c>
      <c r="K1216">
        <v>0</v>
      </c>
      <c r="L1216" s="2">
        <f t="shared" si="108"/>
        <v>45292</v>
      </c>
      <c r="M1216" s="2">
        <f t="shared" ca="1" si="109"/>
        <v>45330</v>
      </c>
      <c r="N1216" s="2" t="str">
        <f t="shared" ca="1" si="110"/>
        <v>N/A</v>
      </c>
      <c r="O1216" s="3">
        <f t="shared" ca="1" si="111"/>
        <v>38</v>
      </c>
      <c r="P1216" s="3" t="str">
        <f t="shared" ca="1" si="112"/>
        <v>N/A</v>
      </c>
      <c r="Q1216" s="1" t="str">
        <f>IF(K1216=1,"Joined",IF(H1216&gt;=70,"Dropped at Offer",IF(H1216&gt;=50,"Dropped at Interview","Dropped at Screening")))</f>
        <v>Dropped at Interview</v>
      </c>
      <c r="R1216" s="1" t="str">
        <f t="shared" ca="1" si="113"/>
        <v>Feb-2024</v>
      </c>
    </row>
    <row r="1217" spans="1:18">
      <c r="A1217">
        <v>22</v>
      </c>
      <c r="B1217">
        <v>0</v>
      </c>
      <c r="C1217">
        <v>3</v>
      </c>
      <c r="D1217">
        <v>0</v>
      </c>
      <c r="E1217">
        <v>4</v>
      </c>
      <c r="F1217">
        <v>40.447256196746302</v>
      </c>
      <c r="G1217">
        <v>36</v>
      </c>
      <c r="H1217">
        <v>11</v>
      </c>
      <c r="I1217">
        <v>25</v>
      </c>
      <c r="J1217">
        <v>2</v>
      </c>
      <c r="K1217">
        <v>0</v>
      </c>
      <c r="L1217" s="2">
        <f t="shared" si="108"/>
        <v>45292</v>
      </c>
      <c r="M1217" s="2">
        <f t="shared" ca="1" si="109"/>
        <v>45317</v>
      </c>
      <c r="N1217" s="2" t="str">
        <f t="shared" ca="1" si="110"/>
        <v>N/A</v>
      </c>
      <c r="O1217" s="3">
        <f t="shared" ca="1" si="111"/>
        <v>25</v>
      </c>
      <c r="P1217" s="3" t="str">
        <f t="shared" ca="1" si="112"/>
        <v>N/A</v>
      </c>
      <c r="Q1217" s="1" t="str">
        <f>IF(K1217=1,"Joined",IF(H1217&gt;=70,"Dropped at Offer",IF(H1217&gt;=50,"Dropped at Interview","Dropped at Screening")))</f>
        <v>Dropped at Screening</v>
      </c>
      <c r="R1217" s="1" t="str">
        <f t="shared" ca="1" si="113"/>
        <v>Jan-2024</v>
      </c>
    </row>
    <row r="1218" spans="1:18">
      <c r="A1218">
        <v>34</v>
      </c>
      <c r="B1218">
        <v>0</v>
      </c>
      <c r="C1218">
        <v>2</v>
      </c>
      <c r="D1218">
        <v>7</v>
      </c>
      <c r="E1218">
        <v>2</v>
      </c>
      <c r="F1218">
        <v>35.089274889422697</v>
      </c>
      <c r="G1218">
        <v>93</v>
      </c>
      <c r="H1218">
        <v>32</v>
      </c>
      <c r="I1218">
        <v>54</v>
      </c>
      <c r="J1218">
        <v>2</v>
      </c>
      <c r="K1218">
        <v>0</v>
      </c>
      <c r="L1218" s="2">
        <f t="shared" ref="L1218:L1281" si="114">DATE(2024,1,1)</f>
        <v>45292</v>
      </c>
      <c r="M1218" s="2">
        <f t="shared" ref="M1218:M1281" ca="1" si="115">L1218+RANDBETWEEN(14,45)</f>
        <v>45325</v>
      </c>
      <c r="N1218" s="2" t="str">
        <f t="shared" ref="N1218:N1281" ca="1" si="116">IF(K1218=1, M1218+RANDBETWEEN(7,30), "N/A")</f>
        <v>N/A</v>
      </c>
      <c r="O1218" s="3">
        <f t="shared" ref="O1218:O1281" ca="1" si="117">IF(AND(M1218&lt;&gt;"",L1218&lt;&gt;""), M1218-L1218, "N/A")</f>
        <v>33</v>
      </c>
      <c r="P1218" s="3" t="str">
        <f t="shared" ref="P1218:Q1281" ca="1" si="118">IF(AND(K1218=1, N1218&lt;&gt;"", M1218&lt;&gt;""), N1218 - M1218, "N/A")</f>
        <v>N/A</v>
      </c>
      <c r="Q1218" s="1" t="str">
        <f>IF(K1218=1,"Joined",IF(H1218&gt;=70,"Dropped at Offer",IF(H1218&gt;=50,"Dropped at Interview","Dropped at Screening")))</f>
        <v>Dropped at Screening</v>
      </c>
      <c r="R1218" s="1" t="str">
        <f t="shared" ref="R1218:R1281" ca="1" si="119">TEXT(M1218,"MMM-YYYY")</f>
        <v>Feb-2024</v>
      </c>
    </row>
    <row r="1219" spans="1:18">
      <c r="A1219">
        <v>42</v>
      </c>
      <c r="B1219">
        <v>0</v>
      </c>
      <c r="C1219">
        <v>3</v>
      </c>
      <c r="D1219">
        <v>9</v>
      </c>
      <c r="E1219">
        <v>3</v>
      </c>
      <c r="F1219">
        <v>45.437624187513599</v>
      </c>
      <c r="G1219">
        <v>90</v>
      </c>
      <c r="H1219">
        <v>70</v>
      </c>
      <c r="I1219">
        <v>47</v>
      </c>
      <c r="J1219">
        <v>1</v>
      </c>
      <c r="K1219">
        <v>1</v>
      </c>
      <c r="L1219" s="2">
        <f t="shared" si="114"/>
        <v>45292</v>
      </c>
      <c r="M1219" s="2">
        <f t="shared" ca="1" si="115"/>
        <v>45336</v>
      </c>
      <c r="N1219" s="2">
        <f t="shared" ca="1" si="116"/>
        <v>45355</v>
      </c>
      <c r="O1219" s="3">
        <f t="shared" ca="1" si="117"/>
        <v>44</v>
      </c>
      <c r="P1219" s="3">
        <f t="shared" ca="1" si="118"/>
        <v>19</v>
      </c>
      <c r="Q1219" s="1" t="str">
        <f>IF(K1219=1,"Joined",IF(H1219&gt;=70,"Dropped at Offer",IF(H1219&gt;=50,"Dropped at Interview","Dropped at Screening")))</f>
        <v>Joined</v>
      </c>
      <c r="R1219" s="1" t="str">
        <f t="shared" ca="1" si="119"/>
        <v>Feb-2024</v>
      </c>
    </row>
    <row r="1220" spans="1:18">
      <c r="A1220">
        <v>33</v>
      </c>
      <c r="B1220">
        <v>0</v>
      </c>
      <c r="C1220">
        <v>3</v>
      </c>
      <c r="D1220">
        <v>7</v>
      </c>
      <c r="E1220">
        <v>5</v>
      </c>
      <c r="F1220">
        <v>35.625700638059598</v>
      </c>
      <c r="G1220">
        <v>38</v>
      </c>
      <c r="H1220">
        <v>16</v>
      </c>
      <c r="I1220">
        <v>28</v>
      </c>
      <c r="J1220">
        <v>3</v>
      </c>
      <c r="K1220">
        <v>0</v>
      </c>
      <c r="L1220" s="2">
        <f t="shared" si="114"/>
        <v>45292</v>
      </c>
      <c r="M1220" s="2">
        <f t="shared" ca="1" si="115"/>
        <v>45309</v>
      </c>
      <c r="N1220" s="2" t="str">
        <f t="shared" ca="1" si="116"/>
        <v>N/A</v>
      </c>
      <c r="O1220" s="3">
        <f t="shared" ca="1" si="117"/>
        <v>17</v>
      </c>
      <c r="P1220" s="3" t="str">
        <f t="shared" ca="1" si="118"/>
        <v>N/A</v>
      </c>
      <c r="Q1220" s="1" t="str">
        <f>IF(K1220=1,"Joined",IF(H1220&gt;=70,"Dropped at Offer",IF(H1220&gt;=50,"Dropped at Interview","Dropped at Screening")))</f>
        <v>Dropped at Screening</v>
      </c>
      <c r="R1220" s="1" t="str">
        <f t="shared" ca="1" si="119"/>
        <v>Jan-2024</v>
      </c>
    </row>
    <row r="1221" spans="1:18">
      <c r="A1221">
        <v>30</v>
      </c>
      <c r="B1221">
        <v>1</v>
      </c>
      <c r="C1221">
        <v>2</v>
      </c>
      <c r="D1221">
        <v>1</v>
      </c>
      <c r="E1221">
        <v>5</v>
      </c>
      <c r="F1221">
        <v>13.1764169449768</v>
      </c>
      <c r="G1221">
        <v>62</v>
      </c>
      <c r="H1221">
        <v>60</v>
      </c>
      <c r="I1221">
        <v>26</v>
      </c>
      <c r="J1221">
        <v>2</v>
      </c>
      <c r="K1221">
        <v>0</v>
      </c>
      <c r="L1221" s="2">
        <f t="shared" si="114"/>
        <v>45292</v>
      </c>
      <c r="M1221" s="2">
        <f t="shared" ca="1" si="115"/>
        <v>45322</v>
      </c>
      <c r="N1221" s="2" t="str">
        <f t="shared" ca="1" si="116"/>
        <v>N/A</v>
      </c>
      <c r="O1221" s="3">
        <f t="shared" ca="1" si="117"/>
        <v>30</v>
      </c>
      <c r="P1221" s="3" t="str">
        <f t="shared" ca="1" si="118"/>
        <v>N/A</v>
      </c>
      <c r="Q1221" s="1" t="str">
        <f>IF(K1221=1,"Joined",IF(H1221&gt;=70,"Dropped at Offer",IF(H1221&gt;=50,"Dropped at Interview","Dropped at Screening")))</f>
        <v>Dropped at Interview</v>
      </c>
      <c r="R1221" s="1" t="str">
        <f t="shared" ca="1" si="119"/>
        <v>Jan-2024</v>
      </c>
    </row>
    <row r="1222" spans="1:18">
      <c r="A1222">
        <v>34</v>
      </c>
      <c r="B1222">
        <v>1</v>
      </c>
      <c r="C1222">
        <v>2</v>
      </c>
      <c r="D1222">
        <v>10</v>
      </c>
      <c r="E1222">
        <v>2</v>
      </c>
      <c r="F1222">
        <v>47.582962487950901</v>
      </c>
      <c r="G1222">
        <v>78</v>
      </c>
      <c r="H1222">
        <v>9</v>
      </c>
      <c r="I1222">
        <v>17</v>
      </c>
      <c r="J1222">
        <v>3</v>
      </c>
      <c r="K1222">
        <v>0</v>
      </c>
      <c r="L1222" s="2">
        <f t="shared" si="114"/>
        <v>45292</v>
      </c>
      <c r="M1222" s="2">
        <f t="shared" ca="1" si="115"/>
        <v>45335</v>
      </c>
      <c r="N1222" s="2" t="str">
        <f t="shared" ca="1" si="116"/>
        <v>N/A</v>
      </c>
      <c r="O1222" s="3">
        <f t="shared" ca="1" si="117"/>
        <v>43</v>
      </c>
      <c r="P1222" s="3" t="str">
        <f t="shared" ca="1" si="118"/>
        <v>N/A</v>
      </c>
      <c r="Q1222" s="1" t="str">
        <f>IF(K1222=1,"Joined",IF(H1222&gt;=70,"Dropped at Offer",IF(H1222&gt;=50,"Dropped at Interview","Dropped at Screening")))</f>
        <v>Dropped at Screening</v>
      </c>
      <c r="R1222" s="1" t="str">
        <f t="shared" ca="1" si="119"/>
        <v>Feb-2024</v>
      </c>
    </row>
    <row r="1223" spans="1:18">
      <c r="A1223">
        <v>47</v>
      </c>
      <c r="B1223">
        <v>1</v>
      </c>
      <c r="C1223">
        <v>4</v>
      </c>
      <c r="D1223">
        <v>12</v>
      </c>
      <c r="E1223">
        <v>1</v>
      </c>
      <c r="F1223">
        <v>6.2417873602995604</v>
      </c>
      <c r="G1223">
        <v>25</v>
      </c>
      <c r="H1223">
        <v>30</v>
      </c>
      <c r="I1223">
        <v>59</v>
      </c>
      <c r="J1223">
        <v>3</v>
      </c>
      <c r="K1223">
        <v>0</v>
      </c>
      <c r="L1223" s="2">
        <f t="shared" si="114"/>
        <v>45292</v>
      </c>
      <c r="M1223" s="2">
        <f t="shared" ca="1" si="115"/>
        <v>45332</v>
      </c>
      <c r="N1223" s="2" t="str">
        <f t="shared" ca="1" si="116"/>
        <v>N/A</v>
      </c>
      <c r="O1223" s="3">
        <f t="shared" ca="1" si="117"/>
        <v>40</v>
      </c>
      <c r="P1223" s="3" t="str">
        <f t="shared" ca="1" si="118"/>
        <v>N/A</v>
      </c>
      <c r="Q1223" s="1" t="str">
        <f>IF(K1223=1,"Joined",IF(H1223&gt;=70,"Dropped at Offer",IF(H1223&gt;=50,"Dropped at Interview","Dropped at Screening")))</f>
        <v>Dropped at Screening</v>
      </c>
      <c r="R1223" s="1" t="str">
        <f t="shared" ca="1" si="119"/>
        <v>Feb-2024</v>
      </c>
    </row>
    <row r="1224" spans="1:18">
      <c r="A1224">
        <v>32</v>
      </c>
      <c r="B1224">
        <v>1</v>
      </c>
      <c r="C1224">
        <v>2</v>
      </c>
      <c r="D1224">
        <v>6</v>
      </c>
      <c r="E1224">
        <v>3</v>
      </c>
      <c r="F1224">
        <v>14.3971375053423</v>
      </c>
      <c r="G1224">
        <v>64</v>
      </c>
      <c r="H1224">
        <v>59</v>
      </c>
      <c r="I1224">
        <v>73</v>
      </c>
      <c r="J1224">
        <v>1</v>
      </c>
      <c r="K1224">
        <v>1</v>
      </c>
      <c r="L1224" s="2">
        <f t="shared" si="114"/>
        <v>45292</v>
      </c>
      <c r="M1224" s="2">
        <f t="shared" ca="1" si="115"/>
        <v>45328</v>
      </c>
      <c r="N1224" s="2">
        <f t="shared" ca="1" si="116"/>
        <v>45350</v>
      </c>
      <c r="O1224" s="3">
        <f t="shared" ca="1" si="117"/>
        <v>36</v>
      </c>
      <c r="P1224" s="3">
        <f t="shared" ca="1" si="118"/>
        <v>22</v>
      </c>
      <c r="Q1224" s="1" t="str">
        <f>IF(K1224=1,"Joined",IF(H1224&gt;=70,"Dropped at Offer",IF(H1224&gt;=50,"Dropped at Interview","Dropped at Screening")))</f>
        <v>Joined</v>
      </c>
      <c r="R1224" s="1" t="str">
        <f t="shared" ca="1" si="119"/>
        <v>Feb-2024</v>
      </c>
    </row>
    <row r="1225" spans="1:18">
      <c r="A1225">
        <v>37</v>
      </c>
      <c r="B1225">
        <v>0</v>
      </c>
      <c r="C1225">
        <v>4</v>
      </c>
      <c r="D1225">
        <v>13</v>
      </c>
      <c r="E1225">
        <v>4</v>
      </c>
      <c r="F1225">
        <v>27.0097303861942</v>
      </c>
      <c r="G1225">
        <v>3</v>
      </c>
      <c r="H1225">
        <v>69</v>
      </c>
      <c r="I1225">
        <v>68</v>
      </c>
      <c r="J1225">
        <v>1</v>
      </c>
      <c r="K1225">
        <v>1</v>
      </c>
      <c r="L1225" s="2">
        <f t="shared" si="114"/>
        <v>45292</v>
      </c>
      <c r="M1225" s="2">
        <f t="shared" ca="1" si="115"/>
        <v>45325</v>
      </c>
      <c r="N1225" s="2">
        <f t="shared" ca="1" si="116"/>
        <v>45350</v>
      </c>
      <c r="O1225" s="3">
        <f t="shared" ca="1" si="117"/>
        <v>33</v>
      </c>
      <c r="P1225" s="3">
        <f t="shared" ca="1" si="118"/>
        <v>25</v>
      </c>
      <c r="Q1225" s="1" t="str">
        <f>IF(K1225=1,"Joined",IF(H1225&gt;=70,"Dropped at Offer",IF(H1225&gt;=50,"Dropped at Interview","Dropped at Screening")))</f>
        <v>Joined</v>
      </c>
      <c r="R1225" s="1" t="str">
        <f t="shared" ca="1" si="119"/>
        <v>Feb-2024</v>
      </c>
    </row>
    <row r="1226" spans="1:18">
      <c r="A1226">
        <v>45</v>
      </c>
      <c r="B1226">
        <v>0</v>
      </c>
      <c r="C1226">
        <v>1</v>
      </c>
      <c r="D1226">
        <v>7</v>
      </c>
      <c r="E1226">
        <v>2</v>
      </c>
      <c r="F1226">
        <v>29.287101303545001</v>
      </c>
      <c r="G1226">
        <v>28</v>
      </c>
      <c r="H1226">
        <v>16</v>
      </c>
      <c r="I1226">
        <v>73</v>
      </c>
      <c r="J1226">
        <v>2</v>
      </c>
      <c r="K1226">
        <v>0</v>
      </c>
      <c r="L1226" s="2">
        <f t="shared" si="114"/>
        <v>45292</v>
      </c>
      <c r="M1226" s="2">
        <f t="shared" ca="1" si="115"/>
        <v>45327</v>
      </c>
      <c r="N1226" s="2" t="str">
        <f t="shared" ca="1" si="116"/>
        <v>N/A</v>
      </c>
      <c r="O1226" s="3">
        <f t="shared" ca="1" si="117"/>
        <v>35</v>
      </c>
      <c r="P1226" s="3" t="str">
        <f t="shared" ca="1" si="118"/>
        <v>N/A</v>
      </c>
      <c r="Q1226" s="1" t="str">
        <f>IF(K1226=1,"Joined",IF(H1226&gt;=70,"Dropped at Offer",IF(H1226&gt;=50,"Dropped at Interview","Dropped at Screening")))</f>
        <v>Dropped at Screening</v>
      </c>
      <c r="R1226" s="1" t="str">
        <f t="shared" ca="1" si="119"/>
        <v>Feb-2024</v>
      </c>
    </row>
    <row r="1227" spans="1:18">
      <c r="A1227">
        <v>25</v>
      </c>
      <c r="B1227">
        <v>0</v>
      </c>
      <c r="C1227">
        <v>2</v>
      </c>
      <c r="D1227">
        <v>7</v>
      </c>
      <c r="E1227">
        <v>3</v>
      </c>
      <c r="F1227">
        <v>1.76552933134527</v>
      </c>
      <c r="G1227">
        <v>0</v>
      </c>
      <c r="H1227">
        <v>49</v>
      </c>
      <c r="I1227">
        <v>20</v>
      </c>
      <c r="J1227">
        <v>2</v>
      </c>
      <c r="K1227">
        <v>0</v>
      </c>
      <c r="L1227" s="2">
        <f t="shared" si="114"/>
        <v>45292</v>
      </c>
      <c r="M1227" s="2">
        <f t="shared" ca="1" si="115"/>
        <v>45334</v>
      </c>
      <c r="N1227" s="2" t="str">
        <f t="shared" ca="1" si="116"/>
        <v>N/A</v>
      </c>
      <c r="O1227" s="3">
        <f t="shared" ca="1" si="117"/>
        <v>42</v>
      </c>
      <c r="P1227" s="3" t="str">
        <f t="shared" ca="1" si="118"/>
        <v>N/A</v>
      </c>
      <c r="Q1227" s="1" t="str">
        <f>IF(K1227=1,"Joined",IF(H1227&gt;=70,"Dropped at Offer",IF(H1227&gt;=50,"Dropped at Interview","Dropped at Screening")))</f>
        <v>Dropped at Screening</v>
      </c>
      <c r="R1227" s="1" t="str">
        <f t="shared" ca="1" si="119"/>
        <v>Feb-2024</v>
      </c>
    </row>
    <row r="1228" spans="1:18">
      <c r="A1228">
        <v>22</v>
      </c>
      <c r="B1228">
        <v>0</v>
      </c>
      <c r="C1228">
        <v>3</v>
      </c>
      <c r="D1228">
        <v>10</v>
      </c>
      <c r="E1228">
        <v>3</v>
      </c>
      <c r="F1228">
        <v>40.028636291047</v>
      </c>
      <c r="G1228">
        <v>49</v>
      </c>
      <c r="H1228">
        <v>36</v>
      </c>
      <c r="I1228">
        <v>23</v>
      </c>
      <c r="J1228">
        <v>2</v>
      </c>
      <c r="K1228">
        <v>0</v>
      </c>
      <c r="L1228" s="2">
        <f t="shared" si="114"/>
        <v>45292</v>
      </c>
      <c r="M1228" s="2">
        <f t="shared" ca="1" si="115"/>
        <v>45311</v>
      </c>
      <c r="N1228" s="2" t="str">
        <f t="shared" ca="1" si="116"/>
        <v>N/A</v>
      </c>
      <c r="O1228" s="3">
        <f t="shared" ca="1" si="117"/>
        <v>19</v>
      </c>
      <c r="P1228" s="3" t="str">
        <f t="shared" ca="1" si="118"/>
        <v>N/A</v>
      </c>
      <c r="Q1228" s="1" t="str">
        <f>IF(K1228=1,"Joined",IF(H1228&gt;=70,"Dropped at Offer",IF(H1228&gt;=50,"Dropped at Interview","Dropped at Screening")))</f>
        <v>Dropped at Screening</v>
      </c>
      <c r="R1228" s="1" t="str">
        <f t="shared" ca="1" si="119"/>
        <v>Jan-2024</v>
      </c>
    </row>
    <row r="1229" spans="1:18">
      <c r="A1229">
        <v>38</v>
      </c>
      <c r="B1229">
        <v>0</v>
      </c>
      <c r="C1229">
        <v>4</v>
      </c>
      <c r="D1229">
        <v>9</v>
      </c>
      <c r="E1229">
        <v>4</v>
      </c>
      <c r="F1229">
        <v>19.080365921269401</v>
      </c>
      <c r="G1229">
        <v>85</v>
      </c>
      <c r="H1229">
        <v>81</v>
      </c>
      <c r="I1229">
        <v>2</v>
      </c>
      <c r="J1229">
        <v>2</v>
      </c>
      <c r="K1229">
        <v>1</v>
      </c>
      <c r="L1229" s="2">
        <f t="shared" si="114"/>
        <v>45292</v>
      </c>
      <c r="M1229" s="2">
        <f t="shared" ca="1" si="115"/>
        <v>45320</v>
      </c>
      <c r="N1229" s="2">
        <f t="shared" ca="1" si="116"/>
        <v>45342</v>
      </c>
      <c r="O1229" s="3">
        <f t="shared" ca="1" si="117"/>
        <v>28</v>
      </c>
      <c r="P1229" s="3">
        <f t="shared" ca="1" si="118"/>
        <v>22</v>
      </c>
      <c r="Q1229" s="1" t="str">
        <f>IF(K1229=1,"Joined",IF(H1229&gt;=70,"Dropped at Offer",IF(H1229&gt;=50,"Dropped at Interview","Dropped at Screening")))</f>
        <v>Joined</v>
      </c>
      <c r="R1229" s="1" t="str">
        <f t="shared" ca="1" si="119"/>
        <v>Jan-2024</v>
      </c>
    </row>
    <row r="1230" spans="1:18">
      <c r="A1230">
        <v>34</v>
      </c>
      <c r="B1230">
        <v>1</v>
      </c>
      <c r="C1230">
        <v>2</v>
      </c>
      <c r="D1230">
        <v>14</v>
      </c>
      <c r="E1230">
        <v>3</v>
      </c>
      <c r="F1230">
        <v>21.3209270501068</v>
      </c>
      <c r="G1230">
        <v>10</v>
      </c>
      <c r="H1230">
        <v>61</v>
      </c>
      <c r="I1230">
        <v>94</v>
      </c>
      <c r="J1230">
        <v>2</v>
      </c>
      <c r="K1230">
        <v>0</v>
      </c>
      <c r="L1230" s="2">
        <f t="shared" si="114"/>
        <v>45292</v>
      </c>
      <c r="M1230" s="2">
        <f t="shared" ca="1" si="115"/>
        <v>45322</v>
      </c>
      <c r="N1230" s="2" t="str">
        <f t="shared" ca="1" si="116"/>
        <v>N/A</v>
      </c>
      <c r="O1230" s="3">
        <f t="shared" ca="1" si="117"/>
        <v>30</v>
      </c>
      <c r="P1230" s="3" t="str">
        <f t="shared" ca="1" si="118"/>
        <v>N/A</v>
      </c>
      <c r="Q1230" s="1" t="str">
        <f>IF(K1230=1,"Joined",IF(H1230&gt;=70,"Dropped at Offer",IF(H1230&gt;=50,"Dropped at Interview","Dropped at Screening")))</f>
        <v>Dropped at Interview</v>
      </c>
      <c r="R1230" s="1" t="str">
        <f t="shared" ca="1" si="119"/>
        <v>Jan-2024</v>
      </c>
    </row>
    <row r="1231" spans="1:18">
      <c r="A1231">
        <v>44</v>
      </c>
      <c r="B1231">
        <v>0</v>
      </c>
      <c r="C1231">
        <v>3</v>
      </c>
      <c r="D1231">
        <v>10</v>
      </c>
      <c r="E1231">
        <v>1</v>
      </c>
      <c r="F1231">
        <v>41.468477221847202</v>
      </c>
      <c r="G1231">
        <v>73</v>
      </c>
      <c r="H1231">
        <v>89</v>
      </c>
      <c r="I1231">
        <v>61</v>
      </c>
      <c r="J1231">
        <v>1</v>
      </c>
      <c r="K1231">
        <v>1</v>
      </c>
      <c r="L1231" s="2">
        <f t="shared" si="114"/>
        <v>45292</v>
      </c>
      <c r="M1231" s="2">
        <f t="shared" ca="1" si="115"/>
        <v>45311</v>
      </c>
      <c r="N1231" s="2">
        <f t="shared" ca="1" si="116"/>
        <v>45341</v>
      </c>
      <c r="O1231" s="3">
        <f t="shared" ca="1" si="117"/>
        <v>19</v>
      </c>
      <c r="P1231" s="3">
        <f t="shared" ca="1" si="118"/>
        <v>30</v>
      </c>
      <c r="Q1231" s="1" t="str">
        <f>IF(K1231=1,"Joined",IF(H1231&gt;=70,"Dropped at Offer",IF(H1231&gt;=50,"Dropped at Interview","Dropped at Screening")))</f>
        <v>Joined</v>
      </c>
      <c r="R1231" s="1" t="str">
        <f t="shared" ca="1" si="119"/>
        <v>Jan-2024</v>
      </c>
    </row>
    <row r="1232" spans="1:18">
      <c r="A1232">
        <v>42</v>
      </c>
      <c r="B1232">
        <v>1</v>
      </c>
      <c r="C1232">
        <v>2</v>
      </c>
      <c r="D1232">
        <v>12</v>
      </c>
      <c r="E1232">
        <v>1</v>
      </c>
      <c r="F1232">
        <v>19.964169586377199</v>
      </c>
      <c r="G1232">
        <v>58</v>
      </c>
      <c r="H1232">
        <v>79</v>
      </c>
      <c r="I1232">
        <v>100</v>
      </c>
      <c r="J1232">
        <v>2</v>
      </c>
      <c r="K1232">
        <v>0</v>
      </c>
      <c r="L1232" s="2">
        <f t="shared" si="114"/>
        <v>45292</v>
      </c>
      <c r="M1232" s="2">
        <f t="shared" ca="1" si="115"/>
        <v>45332</v>
      </c>
      <c r="N1232" s="2" t="str">
        <f t="shared" ca="1" si="116"/>
        <v>N/A</v>
      </c>
      <c r="O1232" s="3">
        <f t="shared" ca="1" si="117"/>
        <v>40</v>
      </c>
      <c r="P1232" s="3" t="str">
        <f t="shared" ca="1" si="118"/>
        <v>N/A</v>
      </c>
      <c r="Q1232" s="1" t="str">
        <f>IF(K1232=1,"Joined",IF(H1232&gt;=70,"Dropped at Offer",IF(H1232&gt;=50,"Dropped at Interview","Dropped at Screening")))</f>
        <v>Dropped at Offer</v>
      </c>
      <c r="R1232" s="1" t="str">
        <f t="shared" ca="1" si="119"/>
        <v>Feb-2024</v>
      </c>
    </row>
    <row r="1233" spans="1:18">
      <c r="A1233">
        <v>24</v>
      </c>
      <c r="B1233">
        <v>1</v>
      </c>
      <c r="C1233">
        <v>1</v>
      </c>
      <c r="D1233">
        <v>6</v>
      </c>
      <c r="E1233">
        <v>1</v>
      </c>
      <c r="F1233">
        <v>3.3612438247377399</v>
      </c>
      <c r="G1233">
        <v>61</v>
      </c>
      <c r="H1233">
        <v>71</v>
      </c>
      <c r="I1233">
        <v>1</v>
      </c>
      <c r="J1233">
        <v>2</v>
      </c>
      <c r="K1233">
        <v>0</v>
      </c>
      <c r="L1233" s="2">
        <f t="shared" si="114"/>
        <v>45292</v>
      </c>
      <c r="M1233" s="2">
        <f t="shared" ca="1" si="115"/>
        <v>45308</v>
      </c>
      <c r="N1233" s="2" t="str">
        <f t="shared" ca="1" si="116"/>
        <v>N/A</v>
      </c>
      <c r="O1233" s="3">
        <f t="shared" ca="1" si="117"/>
        <v>16</v>
      </c>
      <c r="P1233" s="3" t="str">
        <f t="shared" ca="1" si="118"/>
        <v>N/A</v>
      </c>
      <c r="Q1233" s="1" t="str">
        <f>IF(K1233=1,"Joined",IF(H1233&gt;=70,"Dropped at Offer",IF(H1233&gt;=50,"Dropped at Interview","Dropped at Screening")))</f>
        <v>Dropped at Offer</v>
      </c>
      <c r="R1233" s="1" t="str">
        <f t="shared" ca="1" si="119"/>
        <v>Jan-2024</v>
      </c>
    </row>
    <row r="1234" spans="1:18">
      <c r="A1234">
        <v>47</v>
      </c>
      <c r="B1234">
        <v>1</v>
      </c>
      <c r="C1234">
        <v>2</v>
      </c>
      <c r="D1234">
        <v>4</v>
      </c>
      <c r="E1234">
        <v>3</v>
      </c>
      <c r="F1234">
        <v>9.8219885235175095</v>
      </c>
      <c r="G1234">
        <v>80</v>
      </c>
      <c r="H1234">
        <v>87</v>
      </c>
      <c r="I1234">
        <v>65</v>
      </c>
      <c r="J1234">
        <v>2</v>
      </c>
      <c r="K1234">
        <v>0</v>
      </c>
      <c r="L1234" s="2">
        <f t="shared" si="114"/>
        <v>45292</v>
      </c>
      <c r="M1234" s="2">
        <f t="shared" ca="1" si="115"/>
        <v>45333</v>
      </c>
      <c r="N1234" s="2" t="str">
        <f t="shared" ca="1" si="116"/>
        <v>N/A</v>
      </c>
      <c r="O1234" s="3">
        <f t="shared" ca="1" si="117"/>
        <v>41</v>
      </c>
      <c r="P1234" s="3" t="str">
        <f t="shared" ca="1" si="118"/>
        <v>N/A</v>
      </c>
      <c r="Q1234" s="1" t="str">
        <f>IF(K1234=1,"Joined",IF(H1234&gt;=70,"Dropped at Offer",IF(H1234&gt;=50,"Dropped at Interview","Dropped at Screening")))</f>
        <v>Dropped at Offer</v>
      </c>
      <c r="R1234" s="1" t="str">
        <f t="shared" ca="1" si="119"/>
        <v>Feb-2024</v>
      </c>
    </row>
    <row r="1235" spans="1:18">
      <c r="A1235">
        <v>29</v>
      </c>
      <c r="B1235">
        <v>1</v>
      </c>
      <c r="C1235">
        <v>2</v>
      </c>
      <c r="D1235">
        <v>0</v>
      </c>
      <c r="E1235">
        <v>1</v>
      </c>
      <c r="F1235">
        <v>48.795158619409101</v>
      </c>
      <c r="G1235">
        <v>35</v>
      </c>
      <c r="H1235">
        <v>76</v>
      </c>
      <c r="I1235">
        <v>41</v>
      </c>
      <c r="J1235">
        <v>1</v>
      </c>
      <c r="K1235">
        <v>0</v>
      </c>
      <c r="L1235" s="2">
        <f t="shared" si="114"/>
        <v>45292</v>
      </c>
      <c r="M1235" s="2">
        <f t="shared" ca="1" si="115"/>
        <v>45317</v>
      </c>
      <c r="N1235" s="2" t="str">
        <f t="shared" ca="1" si="116"/>
        <v>N/A</v>
      </c>
      <c r="O1235" s="3">
        <f t="shared" ca="1" si="117"/>
        <v>25</v>
      </c>
      <c r="P1235" s="3" t="str">
        <f t="shared" ca="1" si="118"/>
        <v>N/A</v>
      </c>
      <c r="Q1235" s="1" t="str">
        <f>IF(K1235=1,"Joined",IF(H1235&gt;=70,"Dropped at Offer",IF(H1235&gt;=50,"Dropped at Interview","Dropped at Screening")))</f>
        <v>Dropped at Offer</v>
      </c>
      <c r="R1235" s="1" t="str">
        <f t="shared" ca="1" si="119"/>
        <v>Jan-2024</v>
      </c>
    </row>
    <row r="1236" spans="1:18">
      <c r="A1236">
        <v>26</v>
      </c>
      <c r="B1236">
        <v>0</v>
      </c>
      <c r="C1236">
        <v>4</v>
      </c>
      <c r="D1236">
        <v>11</v>
      </c>
      <c r="E1236">
        <v>4</v>
      </c>
      <c r="F1236">
        <v>4.5202681201257002</v>
      </c>
      <c r="G1236">
        <v>55</v>
      </c>
      <c r="H1236">
        <v>28</v>
      </c>
      <c r="I1236">
        <v>33</v>
      </c>
      <c r="J1236">
        <v>2</v>
      </c>
      <c r="K1236">
        <v>0</v>
      </c>
      <c r="L1236" s="2">
        <f t="shared" si="114"/>
        <v>45292</v>
      </c>
      <c r="M1236" s="2">
        <f t="shared" ca="1" si="115"/>
        <v>45314</v>
      </c>
      <c r="N1236" s="2" t="str">
        <f t="shared" ca="1" si="116"/>
        <v>N/A</v>
      </c>
      <c r="O1236" s="3">
        <f t="shared" ca="1" si="117"/>
        <v>22</v>
      </c>
      <c r="P1236" s="3" t="str">
        <f t="shared" ca="1" si="118"/>
        <v>N/A</v>
      </c>
      <c r="Q1236" s="1" t="str">
        <f>IF(K1236=1,"Joined",IF(H1236&gt;=70,"Dropped at Offer",IF(H1236&gt;=50,"Dropped at Interview","Dropped at Screening")))</f>
        <v>Dropped at Screening</v>
      </c>
      <c r="R1236" s="1" t="str">
        <f t="shared" ca="1" si="119"/>
        <v>Jan-2024</v>
      </c>
    </row>
    <row r="1237" spans="1:18">
      <c r="A1237">
        <v>44</v>
      </c>
      <c r="B1237">
        <v>1</v>
      </c>
      <c r="C1237">
        <v>2</v>
      </c>
      <c r="D1237">
        <v>8</v>
      </c>
      <c r="E1237">
        <v>3</v>
      </c>
      <c r="F1237">
        <v>18.746560048400799</v>
      </c>
      <c r="G1237">
        <v>89</v>
      </c>
      <c r="H1237">
        <v>31</v>
      </c>
      <c r="I1237">
        <v>41</v>
      </c>
      <c r="J1237">
        <v>1</v>
      </c>
      <c r="K1237">
        <v>1</v>
      </c>
      <c r="L1237" s="2">
        <f t="shared" si="114"/>
        <v>45292</v>
      </c>
      <c r="M1237" s="2">
        <f t="shared" ca="1" si="115"/>
        <v>45316</v>
      </c>
      <c r="N1237" s="2">
        <f t="shared" ca="1" si="116"/>
        <v>45335</v>
      </c>
      <c r="O1237" s="3">
        <f t="shared" ca="1" si="117"/>
        <v>24</v>
      </c>
      <c r="P1237" s="3">
        <f t="shared" ca="1" si="118"/>
        <v>19</v>
      </c>
      <c r="Q1237" s="1" t="str">
        <f>IF(K1237=1,"Joined",IF(H1237&gt;=70,"Dropped at Offer",IF(H1237&gt;=50,"Dropped at Interview","Dropped at Screening")))</f>
        <v>Joined</v>
      </c>
      <c r="R1237" s="1" t="str">
        <f t="shared" ca="1" si="119"/>
        <v>Jan-2024</v>
      </c>
    </row>
    <row r="1238" spans="1:18">
      <c r="A1238">
        <v>36</v>
      </c>
      <c r="B1238">
        <v>1</v>
      </c>
      <c r="C1238">
        <v>2</v>
      </c>
      <c r="D1238">
        <v>12</v>
      </c>
      <c r="E1238">
        <v>5</v>
      </c>
      <c r="F1238">
        <v>26.1589583525672</v>
      </c>
      <c r="G1238">
        <v>20</v>
      </c>
      <c r="H1238">
        <v>87</v>
      </c>
      <c r="I1238">
        <v>19</v>
      </c>
      <c r="J1238">
        <v>2</v>
      </c>
      <c r="K1238">
        <v>0</v>
      </c>
      <c r="L1238" s="2">
        <f t="shared" si="114"/>
        <v>45292</v>
      </c>
      <c r="M1238" s="2">
        <f t="shared" ca="1" si="115"/>
        <v>45319</v>
      </c>
      <c r="N1238" s="2" t="str">
        <f t="shared" ca="1" si="116"/>
        <v>N/A</v>
      </c>
      <c r="O1238" s="3">
        <f t="shared" ca="1" si="117"/>
        <v>27</v>
      </c>
      <c r="P1238" s="3" t="str">
        <f t="shared" ca="1" si="118"/>
        <v>N/A</v>
      </c>
      <c r="Q1238" s="1" t="str">
        <f>IF(K1238=1,"Joined",IF(H1238&gt;=70,"Dropped at Offer",IF(H1238&gt;=50,"Dropped at Interview","Dropped at Screening")))</f>
        <v>Dropped at Offer</v>
      </c>
      <c r="R1238" s="1" t="str">
        <f t="shared" ca="1" si="119"/>
        <v>Jan-2024</v>
      </c>
    </row>
    <row r="1239" spans="1:18">
      <c r="A1239">
        <v>26</v>
      </c>
      <c r="B1239">
        <v>1</v>
      </c>
      <c r="C1239">
        <v>1</v>
      </c>
      <c r="D1239">
        <v>15</v>
      </c>
      <c r="E1239">
        <v>3</v>
      </c>
      <c r="F1239">
        <v>25.664041366928</v>
      </c>
      <c r="G1239">
        <v>12</v>
      </c>
      <c r="H1239">
        <v>79</v>
      </c>
      <c r="I1239">
        <v>96</v>
      </c>
      <c r="J1239">
        <v>2</v>
      </c>
      <c r="K1239">
        <v>0</v>
      </c>
      <c r="L1239" s="2">
        <f t="shared" si="114"/>
        <v>45292</v>
      </c>
      <c r="M1239" s="2">
        <f t="shared" ca="1" si="115"/>
        <v>45308</v>
      </c>
      <c r="N1239" s="2" t="str">
        <f t="shared" ca="1" si="116"/>
        <v>N/A</v>
      </c>
      <c r="O1239" s="3">
        <f t="shared" ca="1" si="117"/>
        <v>16</v>
      </c>
      <c r="P1239" s="3" t="str">
        <f t="shared" ca="1" si="118"/>
        <v>N/A</v>
      </c>
      <c r="Q1239" s="1" t="str">
        <f>IF(K1239=1,"Joined",IF(H1239&gt;=70,"Dropped at Offer",IF(H1239&gt;=50,"Dropped at Interview","Dropped at Screening")))</f>
        <v>Dropped at Offer</v>
      </c>
      <c r="R1239" s="1" t="str">
        <f t="shared" ca="1" si="119"/>
        <v>Jan-2024</v>
      </c>
    </row>
    <row r="1240" spans="1:18">
      <c r="A1240">
        <v>41</v>
      </c>
      <c r="B1240">
        <v>0</v>
      </c>
      <c r="C1240">
        <v>2</v>
      </c>
      <c r="D1240">
        <v>6</v>
      </c>
      <c r="E1240">
        <v>4</v>
      </c>
      <c r="F1240">
        <v>1.1979971506071301</v>
      </c>
      <c r="G1240">
        <v>8</v>
      </c>
      <c r="H1240">
        <v>10</v>
      </c>
      <c r="I1240">
        <v>67</v>
      </c>
      <c r="J1240">
        <v>1</v>
      </c>
      <c r="K1240">
        <v>1</v>
      </c>
      <c r="L1240" s="2">
        <f t="shared" si="114"/>
        <v>45292</v>
      </c>
      <c r="M1240" s="2">
        <f t="shared" ca="1" si="115"/>
        <v>45332</v>
      </c>
      <c r="N1240" s="2">
        <f t="shared" ca="1" si="116"/>
        <v>45357</v>
      </c>
      <c r="O1240" s="3">
        <f t="shared" ca="1" si="117"/>
        <v>40</v>
      </c>
      <c r="P1240" s="3">
        <f t="shared" ca="1" si="118"/>
        <v>25</v>
      </c>
      <c r="Q1240" s="1" t="str">
        <f>IF(K1240=1,"Joined",IF(H1240&gt;=70,"Dropped at Offer",IF(H1240&gt;=50,"Dropped at Interview","Dropped at Screening")))</f>
        <v>Joined</v>
      </c>
      <c r="R1240" s="1" t="str">
        <f t="shared" ca="1" si="119"/>
        <v>Feb-2024</v>
      </c>
    </row>
    <row r="1241" spans="1:18">
      <c r="A1241">
        <v>45</v>
      </c>
      <c r="B1241">
        <v>0</v>
      </c>
      <c r="C1241">
        <v>2</v>
      </c>
      <c r="D1241">
        <v>1</v>
      </c>
      <c r="E1241">
        <v>5</v>
      </c>
      <c r="F1241">
        <v>26.058136572874499</v>
      </c>
      <c r="G1241">
        <v>10</v>
      </c>
      <c r="H1241">
        <v>95</v>
      </c>
      <c r="I1241">
        <v>44</v>
      </c>
      <c r="J1241">
        <v>2</v>
      </c>
      <c r="K1241">
        <v>0</v>
      </c>
      <c r="L1241" s="2">
        <f t="shared" si="114"/>
        <v>45292</v>
      </c>
      <c r="M1241" s="2">
        <f t="shared" ca="1" si="115"/>
        <v>45326</v>
      </c>
      <c r="N1241" s="2" t="str">
        <f t="shared" ca="1" si="116"/>
        <v>N/A</v>
      </c>
      <c r="O1241" s="3">
        <f t="shared" ca="1" si="117"/>
        <v>34</v>
      </c>
      <c r="P1241" s="3" t="str">
        <f t="shared" ca="1" si="118"/>
        <v>N/A</v>
      </c>
      <c r="Q1241" s="1" t="str">
        <f>IF(K1241=1,"Joined",IF(H1241&gt;=70,"Dropped at Offer",IF(H1241&gt;=50,"Dropped at Interview","Dropped at Screening")))</f>
        <v>Dropped at Offer</v>
      </c>
      <c r="R1241" s="1" t="str">
        <f t="shared" ca="1" si="119"/>
        <v>Feb-2024</v>
      </c>
    </row>
    <row r="1242" spans="1:18">
      <c r="A1242">
        <v>49</v>
      </c>
      <c r="B1242">
        <v>0</v>
      </c>
      <c r="C1242">
        <v>3</v>
      </c>
      <c r="D1242">
        <v>5</v>
      </c>
      <c r="E1242">
        <v>3</v>
      </c>
      <c r="F1242">
        <v>20.188622898870399</v>
      </c>
      <c r="G1242">
        <v>74</v>
      </c>
      <c r="H1242">
        <v>5</v>
      </c>
      <c r="I1242">
        <v>74</v>
      </c>
      <c r="J1242">
        <v>2</v>
      </c>
      <c r="K1242">
        <v>0</v>
      </c>
      <c r="L1242" s="2">
        <f t="shared" si="114"/>
        <v>45292</v>
      </c>
      <c r="M1242" s="2">
        <f t="shared" ca="1" si="115"/>
        <v>45327</v>
      </c>
      <c r="N1242" s="2" t="str">
        <f t="shared" ca="1" si="116"/>
        <v>N/A</v>
      </c>
      <c r="O1242" s="3">
        <f t="shared" ca="1" si="117"/>
        <v>35</v>
      </c>
      <c r="P1242" s="3" t="str">
        <f t="shared" ca="1" si="118"/>
        <v>N/A</v>
      </c>
      <c r="Q1242" s="1" t="str">
        <f>IF(K1242=1,"Joined",IF(H1242&gt;=70,"Dropped at Offer",IF(H1242&gt;=50,"Dropped at Interview","Dropped at Screening")))</f>
        <v>Dropped at Screening</v>
      </c>
      <c r="R1242" s="1" t="str">
        <f t="shared" ca="1" si="119"/>
        <v>Feb-2024</v>
      </c>
    </row>
    <row r="1243" spans="1:18">
      <c r="A1243">
        <v>31</v>
      </c>
      <c r="B1243">
        <v>1</v>
      </c>
      <c r="C1243">
        <v>2</v>
      </c>
      <c r="D1243">
        <v>1</v>
      </c>
      <c r="E1243">
        <v>1</v>
      </c>
      <c r="F1243">
        <v>49.603966773727798</v>
      </c>
      <c r="G1243">
        <v>69</v>
      </c>
      <c r="H1243">
        <v>34</v>
      </c>
      <c r="I1243">
        <v>41</v>
      </c>
      <c r="J1243">
        <v>1</v>
      </c>
      <c r="K1243">
        <v>0</v>
      </c>
      <c r="L1243" s="2">
        <f t="shared" si="114"/>
        <v>45292</v>
      </c>
      <c r="M1243" s="2">
        <f t="shared" ca="1" si="115"/>
        <v>45331</v>
      </c>
      <c r="N1243" s="2" t="str">
        <f t="shared" ca="1" si="116"/>
        <v>N/A</v>
      </c>
      <c r="O1243" s="3">
        <f t="shared" ca="1" si="117"/>
        <v>39</v>
      </c>
      <c r="P1243" s="3" t="str">
        <f t="shared" ca="1" si="118"/>
        <v>N/A</v>
      </c>
      <c r="Q1243" s="1" t="str">
        <f>IF(K1243=1,"Joined",IF(H1243&gt;=70,"Dropped at Offer",IF(H1243&gt;=50,"Dropped at Interview","Dropped at Screening")))</f>
        <v>Dropped at Screening</v>
      </c>
      <c r="R1243" s="1" t="str">
        <f t="shared" ca="1" si="119"/>
        <v>Feb-2024</v>
      </c>
    </row>
    <row r="1244" spans="1:18">
      <c r="A1244">
        <v>44</v>
      </c>
      <c r="B1244">
        <v>1</v>
      </c>
      <c r="C1244">
        <v>4</v>
      </c>
      <c r="D1244">
        <v>14</v>
      </c>
      <c r="E1244">
        <v>2</v>
      </c>
      <c r="F1244">
        <v>8.9579541996914909</v>
      </c>
      <c r="G1244">
        <v>0</v>
      </c>
      <c r="H1244">
        <v>32</v>
      </c>
      <c r="I1244">
        <v>46</v>
      </c>
      <c r="J1244">
        <v>1</v>
      </c>
      <c r="K1244">
        <v>1</v>
      </c>
      <c r="L1244" s="2">
        <f t="shared" si="114"/>
        <v>45292</v>
      </c>
      <c r="M1244" s="2">
        <f t="shared" ca="1" si="115"/>
        <v>45333</v>
      </c>
      <c r="N1244" s="2">
        <f t="shared" ca="1" si="116"/>
        <v>45345</v>
      </c>
      <c r="O1244" s="3">
        <f t="shared" ca="1" si="117"/>
        <v>41</v>
      </c>
      <c r="P1244" s="3">
        <f t="shared" ca="1" si="118"/>
        <v>12</v>
      </c>
      <c r="Q1244" s="1" t="str">
        <f>IF(K1244=1,"Joined",IF(H1244&gt;=70,"Dropped at Offer",IF(H1244&gt;=50,"Dropped at Interview","Dropped at Screening")))</f>
        <v>Joined</v>
      </c>
      <c r="R1244" s="1" t="str">
        <f t="shared" ca="1" si="119"/>
        <v>Feb-2024</v>
      </c>
    </row>
    <row r="1245" spans="1:18">
      <c r="A1245">
        <v>36</v>
      </c>
      <c r="B1245">
        <v>0</v>
      </c>
      <c r="C1245">
        <v>4</v>
      </c>
      <c r="D1245">
        <v>0</v>
      </c>
      <c r="E1245">
        <v>2</v>
      </c>
      <c r="F1245">
        <v>18.707709837974701</v>
      </c>
      <c r="G1245">
        <v>69</v>
      </c>
      <c r="H1245">
        <v>17</v>
      </c>
      <c r="I1245">
        <v>4</v>
      </c>
      <c r="J1245">
        <v>3</v>
      </c>
      <c r="K1245">
        <v>0</v>
      </c>
      <c r="L1245" s="2">
        <f t="shared" si="114"/>
        <v>45292</v>
      </c>
      <c r="M1245" s="2">
        <f t="shared" ca="1" si="115"/>
        <v>45330</v>
      </c>
      <c r="N1245" s="2" t="str">
        <f t="shared" ca="1" si="116"/>
        <v>N/A</v>
      </c>
      <c r="O1245" s="3">
        <f t="shared" ca="1" si="117"/>
        <v>38</v>
      </c>
      <c r="P1245" s="3" t="str">
        <f t="shared" ca="1" si="118"/>
        <v>N/A</v>
      </c>
      <c r="Q1245" s="1" t="str">
        <f>IF(K1245=1,"Joined",IF(H1245&gt;=70,"Dropped at Offer",IF(H1245&gt;=50,"Dropped at Interview","Dropped at Screening")))</f>
        <v>Dropped at Screening</v>
      </c>
      <c r="R1245" s="1" t="str">
        <f t="shared" ca="1" si="119"/>
        <v>Feb-2024</v>
      </c>
    </row>
    <row r="1246" spans="1:18">
      <c r="A1246">
        <v>32</v>
      </c>
      <c r="B1246">
        <v>1</v>
      </c>
      <c r="C1246">
        <v>2</v>
      </c>
      <c r="D1246">
        <v>13</v>
      </c>
      <c r="E1246">
        <v>1</v>
      </c>
      <c r="F1246">
        <v>21.974074254490901</v>
      </c>
      <c r="G1246">
        <v>76</v>
      </c>
      <c r="H1246">
        <v>36</v>
      </c>
      <c r="I1246">
        <v>88</v>
      </c>
      <c r="J1246">
        <v>2</v>
      </c>
      <c r="K1246">
        <v>0</v>
      </c>
      <c r="L1246" s="2">
        <f t="shared" si="114"/>
        <v>45292</v>
      </c>
      <c r="M1246" s="2">
        <f t="shared" ca="1" si="115"/>
        <v>45336</v>
      </c>
      <c r="N1246" s="2" t="str">
        <f t="shared" ca="1" si="116"/>
        <v>N/A</v>
      </c>
      <c r="O1246" s="3">
        <f t="shared" ca="1" si="117"/>
        <v>44</v>
      </c>
      <c r="P1246" s="3" t="str">
        <f t="shared" ca="1" si="118"/>
        <v>N/A</v>
      </c>
      <c r="Q1246" s="1" t="str">
        <f>IF(K1246=1,"Joined",IF(H1246&gt;=70,"Dropped at Offer",IF(H1246&gt;=50,"Dropped at Interview","Dropped at Screening")))</f>
        <v>Dropped at Screening</v>
      </c>
      <c r="R1246" s="1" t="str">
        <f t="shared" ca="1" si="119"/>
        <v>Feb-2024</v>
      </c>
    </row>
    <row r="1247" spans="1:18">
      <c r="A1247">
        <v>39</v>
      </c>
      <c r="B1247">
        <v>0</v>
      </c>
      <c r="C1247">
        <v>4</v>
      </c>
      <c r="D1247">
        <v>6</v>
      </c>
      <c r="E1247">
        <v>2</v>
      </c>
      <c r="F1247">
        <v>20.534676855047401</v>
      </c>
      <c r="G1247">
        <v>85</v>
      </c>
      <c r="H1247">
        <v>12</v>
      </c>
      <c r="I1247">
        <v>48</v>
      </c>
      <c r="J1247">
        <v>3</v>
      </c>
      <c r="K1247">
        <v>0</v>
      </c>
      <c r="L1247" s="2">
        <f t="shared" si="114"/>
        <v>45292</v>
      </c>
      <c r="M1247" s="2">
        <f t="shared" ca="1" si="115"/>
        <v>45331</v>
      </c>
      <c r="N1247" s="2" t="str">
        <f t="shared" ca="1" si="116"/>
        <v>N/A</v>
      </c>
      <c r="O1247" s="3">
        <f t="shared" ca="1" si="117"/>
        <v>39</v>
      </c>
      <c r="P1247" s="3" t="str">
        <f t="shared" ca="1" si="118"/>
        <v>N/A</v>
      </c>
      <c r="Q1247" s="1" t="str">
        <f>IF(K1247=1,"Joined",IF(H1247&gt;=70,"Dropped at Offer",IF(H1247&gt;=50,"Dropped at Interview","Dropped at Screening")))</f>
        <v>Dropped at Screening</v>
      </c>
      <c r="R1247" s="1" t="str">
        <f t="shared" ca="1" si="119"/>
        <v>Feb-2024</v>
      </c>
    </row>
    <row r="1248" spans="1:18">
      <c r="A1248">
        <v>44</v>
      </c>
      <c r="B1248">
        <v>0</v>
      </c>
      <c r="C1248">
        <v>3</v>
      </c>
      <c r="D1248">
        <v>12</v>
      </c>
      <c r="E1248">
        <v>2</v>
      </c>
      <c r="F1248">
        <v>34.291541382593103</v>
      </c>
      <c r="G1248">
        <v>55</v>
      </c>
      <c r="H1248">
        <v>73</v>
      </c>
      <c r="I1248">
        <v>36</v>
      </c>
      <c r="J1248">
        <v>2</v>
      </c>
      <c r="K1248">
        <v>0</v>
      </c>
      <c r="L1248" s="2">
        <f t="shared" si="114"/>
        <v>45292</v>
      </c>
      <c r="M1248" s="2">
        <f t="shared" ca="1" si="115"/>
        <v>45332</v>
      </c>
      <c r="N1248" s="2" t="str">
        <f t="shared" ca="1" si="116"/>
        <v>N/A</v>
      </c>
      <c r="O1248" s="3">
        <f t="shared" ca="1" si="117"/>
        <v>40</v>
      </c>
      <c r="P1248" s="3" t="str">
        <f t="shared" ca="1" si="118"/>
        <v>N/A</v>
      </c>
      <c r="Q1248" s="1" t="str">
        <f>IF(K1248=1,"Joined",IF(H1248&gt;=70,"Dropped at Offer",IF(H1248&gt;=50,"Dropped at Interview","Dropped at Screening")))</f>
        <v>Dropped at Offer</v>
      </c>
      <c r="R1248" s="1" t="str">
        <f t="shared" ca="1" si="119"/>
        <v>Feb-2024</v>
      </c>
    </row>
    <row r="1249" spans="1:18">
      <c r="A1249">
        <v>23</v>
      </c>
      <c r="B1249">
        <v>1</v>
      </c>
      <c r="C1249">
        <v>2</v>
      </c>
      <c r="D1249">
        <v>15</v>
      </c>
      <c r="E1249">
        <v>1</v>
      </c>
      <c r="F1249">
        <v>11.7756428773884</v>
      </c>
      <c r="G1249">
        <v>30</v>
      </c>
      <c r="H1249">
        <v>100</v>
      </c>
      <c r="I1249">
        <v>33</v>
      </c>
      <c r="J1249">
        <v>2</v>
      </c>
      <c r="K1249">
        <v>0</v>
      </c>
      <c r="L1249" s="2">
        <f t="shared" si="114"/>
        <v>45292</v>
      </c>
      <c r="M1249" s="2">
        <f t="shared" ca="1" si="115"/>
        <v>45310</v>
      </c>
      <c r="N1249" s="2" t="str">
        <f t="shared" ca="1" si="116"/>
        <v>N/A</v>
      </c>
      <c r="O1249" s="3">
        <f t="shared" ca="1" si="117"/>
        <v>18</v>
      </c>
      <c r="P1249" s="3" t="str">
        <f t="shared" ca="1" si="118"/>
        <v>N/A</v>
      </c>
      <c r="Q1249" s="1" t="str">
        <f>IF(K1249=1,"Joined",IF(H1249&gt;=70,"Dropped at Offer",IF(H1249&gt;=50,"Dropped at Interview","Dropped at Screening")))</f>
        <v>Dropped at Offer</v>
      </c>
      <c r="R1249" s="1" t="str">
        <f t="shared" ca="1" si="119"/>
        <v>Jan-2024</v>
      </c>
    </row>
    <row r="1250" spans="1:18">
      <c r="A1250">
        <v>29</v>
      </c>
      <c r="B1250">
        <v>1</v>
      </c>
      <c r="C1250">
        <v>1</v>
      </c>
      <c r="D1250">
        <v>1</v>
      </c>
      <c r="E1250">
        <v>1</v>
      </c>
      <c r="F1250">
        <v>12.053577640699499</v>
      </c>
      <c r="G1250">
        <v>85</v>
      </c>
      <c r="H1250">
        <v>89</v>
      </c>
      <c r="I1250">
        <v>72</v>
      </c>
      <c r="J1250">
        <v>2</v>
      </c>
      <c r="K1250">
        <v>0</v>
      </c>
      <c r="L1250" s="2">
        <f t="shared" si="114"/>
        <v>45292</v>
      </c>
      <c r="M1250" s="2">
        <f t="shared" ca="1" si="115"/>
        <v>45319</v>
      </c>
      <c r="N1250" s="2" t="str">
        <f t="shared" ca="1" si="116"/>
        <v>N/A</v>
      </c>
      <c r="O1250" s="3">
        <f t="shared" ca="1" si="117"/>
        <v>27</v>
      </c>
      <c r="P1250" s="3" t="str">
        <f t="shared" ca="1" si="118"/>
        <v>N/A</v>
      </c>
      <c r="Q1250" s="1" t="str">
        <f>IF(K1250=1,"Joined",IF(H1250&gt;=70,"Dropped at Offer",IF(H1250&gt;=50,"Dropped at Interview","Dropped at Screening")))</f>
        <v>Dropped at Offer</v>
      </c>
      <c r="R1250" s="1" t="str">
        <f t="shared" ca="1" si="119"/>
        <v>Jan-2024</v>
      </c>
    </row>
    <row r="1251" spans="1:18">
      <c r="A1251">
        <v>22</v>
      </c>
      <c r="B1251">
        <v>1</v>
      </c>
      <c r="C1251">
        <v>2</v>
      </c>
      <c r="D1251">
        <v>12</v>
      </c>
      <c r="E1251">
        <v>3</v>
      </c>
      <c r="F1251">
        <v>37.460547425042598</v>
      </c>
      <c r="G1251">
        <v>36</v>
      </c>
      <c r="H1251">
        <v>80</v>
      </c>
      <c r="I1251">
        <v>69</v>
      </c>
      <c r="J1251">
        <v>2</v>
      </c>
      <c r="K1251">
        <v>0</v>
      </c>
      <c r="L1251" s="2">
        <f t="shared" si="114"/>
        <v>45292</v>
      </c>
      <c r="M1251" s="2">
        <f t="shared" ca="1" si="115"/>
        <v>45322</v>
      </c>
      <c r="N1251" s="2" t="str">
        <f t="shared" ca="1" si="116"/>
        <v>N/A</v>
      </c>
      <c r="O1251" s="3">
        <f t="shared" ca="1" si="117"/>
        <v>30</v>
      </c>
      <c r="P1251" s="3" t="str">
        <f t="shared" ca="1" si="118"/>
        <v>N/A</v>
      </c>
      <c r="Q1251" s="1" t="str">
        <f>IF(K1251=1,"Joined",IF(H1251&gt;=70,"Dropped at Offer",IF(H1251&gt;=50,"Dropped at Interview","Dropped at Screening")))</f>
        <v>Dropped at Offer</v>
      </c>
      <c r="R1251" s="1" t="str">
        <f t="shared" ca="1" si="119"/>
        <v>Jan-2024</v>
      </c>
    </row>
    <row r="1252" spans="1:18">
      <c r="A1252">
        <v>28</v>
      </c>
      <c r="B1252">
        <v>1</v>
      </c>
      <c r="C1252">
        <v>2</v>
      </c>
      <c r="D1252">
        <v>13</v>
      </c>
      <c r="E1252">
        <v>3</v>
      </c>
      <c r="F1252">
        <v>26.014525933908899</v>
      </c>
      <c r="G1252">
        <v>46</v>
      </c>
      <c r="H1252">
        <v>63</v>
      </c>
      <c r="I1252">
        <v>17</v>
      </c>
      <c r="J1252">
        <v>1</v>
      </c>
      <c r="K1252">
        <v>1</v>
      </c>
      <c r="L1252" s="2">
        <f t="shared" si="114"/>
        <v>45292</v>
      </c>
      <c r="M1252" s="2">
        <f t="shared" ca="1" si="115"/>
        <v>45314</v>
      </c>
      <c r="N1252" s="2">
        <f t="shared" ca="1" si="116"/>
        <v>45324</v>
      </c>
      <c r="O1252" s="3">
        <f t="shared" ca="1" si="117"/>
        <v>22</v>
      </c>
      <c r="P1252" s="3">
        <f t="shared" ca="1" si="118"/>
        <v>10</v>
      </c>
      <c r="Q1252" s="1" t="str">
        <f>IF(K1252=1,"Joined",IF(H1252&gt;=70,"Dropped at Offer",IF(H1252&gt;=50,"Dropped at Interview","Dropped at Screening")))</f>
        <v>Joined</v>
      </c>
      <c r="R1252" s="1" t="str">
        <f t="shared" ca="1" si="119"/>
        <v>Jan-2024</v>
      </c>
    </row>
    <row r="1253" spans="1:18">
      <c r="A1253">
        <v>32</v>
      </c>
      <c r="B1253">
        <v>0</v>
      </c>
      <c r="C1253">
        <v>3</v>
      </c>
      <c r="D1253">
        <v>13</v>
      </c>
      <c r="E1253">
        <v>1</v>
      </c>
      <c r="F1253">
        <v>21.7577838028655</v>
      </c>
      <c r="G1253">
        <v>90</v>
      </c>
      <c r="H1253">
        <v>0</v>
      </c>
      <c r="I1253">
        <v>77</v>
      </c>
      <c r="J1253">
        <v>2</v>
      </c>
      <c r="K1253">
        <v>1</v>
      </c>
      <c r="L1253" s="2">
        <f t="shared" si="114"/>
        <v>45292</v>
      </c>
      <c r="M1253" s="2">
        <f t="shared" ca="1" si="115"/>
        <v>45315</v>
      </c>
      <c r="N1253" s="2">
        <f t="shared" ca="1" si="116"/>
        <v>45324</v>
      </c>
      <c r="O1253" s="3">
        <f t="shared" ca="1" si="117"/>
        <v>23</v>
      </c>
      <c r="P1253" s="3">
        <f t="shared" ca="1" si="118"/>
        <v>9</v>
      </c>
      <c r="Q1253" s="1" t="str">
        <f>IF(K1253=1,"Joined",IF(H1253&gt;=70,"Dropped at Offer",IF(H1253&gt;=50,"Dropped at Interview","Dropped at Screening")))</f>
        <v>Joined</v>
      </c>
      <c r="R1253" s="1" t="str">
        <f t="shared" ca="1" si="119"/>
        <v>Jan-2024</v>
      </c>
    </row>
    <row r="1254" spans="1:18">
      <c r="A1254">
        <v>37</v>
      </c>
      <c r="B1254">
        <v>0</v>
      </c>
      <c r="C1254">
        <v>2</v>
      </c>
      <c r="D1254">
        <v>1</v>
      </c>
      <c r="E1254">
        <v>4</v>
      </c>
      <c r="F1254">
        <v>9.4601525838625893</v>
      </c>
      <c r="G1254">
        <v>77</v>
      </c>
      <c r="H1254">
        <v>62</v>
      </c>
      <c r="I1254">
        <v>18</v>
      </c>
      <c r="J1254">
        <v>2</v>
      </c>
      <c r="K1254">
        <v>0</v>
      </c>
      <c r="L1254" s="2">
        <f t="shared" si="114"/>
        <v>45292</v>
      </c>
      <c r="M1254" s="2">
        <f t="shared" ca="1" si="115"/>
        <v>45328</v>
      </c>
      <c r="N1254" s="2" t="str">
        <f t="shared" ca="1" si="116"/>
        <v>N/A</v>
      </c>
      <c r="O1254" s="3">
        <f t="shared" ca="1" si="117"/>
        <v>36</v>
      </c>
      <c r="P1254" s="3" t="str">
        <f t="shared" ca="1" si="118"/>
        <v>N/A</v>
      </c>
      <c r="Q1254" s="1" t="str">
        <f>IF(K1254=1,"Joined",IF(H1254&gt;=70,"Dropped at Offer",IF(H1254&gt;=50,"Dropped at Interview","Dropped at Screening")))</f>
        <v>Dropped at Interview</v>
      </c>
      <c r="R1254" s="1" t="str">
        <f t="shared" ca="1" si="119"/>
        <v>Feb-2024</v>
      </c>
    </row>
    <row r="1255" spans="1:18">
      <c r="A1255">
        <v>34</v>
      </c>
      <c r="B1255">
        <v>0</v>
      </c>
      <c r="C1255">
        <v>3</v>
      </c>
      <c r="D1255">
        <v>12</v>
      </c>
      <c r="E1255">
        <v>2</v>
      </c>
      <c r="F1255">
        <v>10.3763611456083</v>
      </c>
      <c r="G1255">
        <v>46</v>
      </c>
      <c r="H1255">
        <v>88</v>
      </c>
      <c r="I1255">
        <v>77</v>
      </c>
      <c r="J1255">
        <v>1</v>
      </c>
      <c r="K1255">
        <v>1</v>
      </c>
      <c r="L1255" s="2">
        <f t="shared" si="114"/>
        <v>45292</v>
      </c>
      <c r="M1255" s="2">
        <f t="shared" ca="1" si="115"/>
        <v>45326</v>
      </c>
      <c r="N1255" s="2">
        <f t="shared" ca="1" si="116"/>
        <v>45355</v>
      </c>
      <c r="O1255" s="3">
        <f t="shared" ca="1" si="117"/>
        <v>34</v>
      </c>
      <c r="P1255" s="3">
        <f t="shared" ca="1" si="118"/>
        <v>29</v>
      </c>
      <c r="Q1255" s="1" t="str">
        <f>IF(K1255=1,"Joined",IF(H1255&gt;=70,"Dropped at Offer",IF(H1255&gt;=50,"Dropped at Interview","Dropped at Screening")))</f>
        <v>Joined</v>
      </c>
      <c r="R1255" s="1" t="str">
        <f t="shared" ca="1" si="119"/>
        <v>Feb-2024</v>
      </c>
    </row>
    <row r="1256" spans="1:18">
      <c r="A1256">
        <v>23</v>
      </c>
      <c r="B1256">
        <v>0</v>
      </c>
      <c r="C1256">
        <v>2</v>
      </c>
      <c r="D1256">
        <v>10</v>
      </c>
      <c r="E1256">
        <v>3</v>
      </c>
      <c r="F1256">
        <v>1.5275818407950199</v>
      </c>
      <c r="G1256">
        <v>68</v>
      </c>
      <c r="H1256">
        <v>33</v>
      </c>
      <c r="I1256">
        <v>39</v>
      </c>
      <c r="J1256">
        <v>1</v>
      </c>
      <c r="K1256">
        <v>0</v>
      </c>
      <c r="L1256" s="2">
        <f t="shared" si="114"/>
        <v>45292</v>
      </c>
      <c r="M1256" s="2">
        <f t="shared" ca="1" si="115"/>
        <v>45323</v>
      </c>
      <c r="N1256" s="2" t="str">
        <f t="shared" ca="1" si="116"/>
        <v>N/A</v>
      </c>
      <c r="O1256" s="3">
        <f t="shared" ca="1" si="117"/>
        <v>31</v>
      </c>
      <c r="P1256" s="3" t="str">
        <f t="shared" ca="1" si="118"/>
        <v>N/A</v>
      </c>
      <c r="Q1256" s="1" t="str">
        <f>IF(K1256=1,"Joined",IF(H1256&gt;=70,"Dropped at Offer",IF(H1256&gt;=50,"Dropped at Interview","Dropped at Screening")))</f>
        <v>Dropped at Screening</v>
      </c>
      <c r="R1256" s="1" t="str">
        <f t="shared" ca="1" si="119"/>
        <v>Feb-2024</v>
      </c>
    </row>
    <row r="1257" spans="1:18">
      <c r="A1257">
        <v>34</v>
      </c>
      <c r="B1257">
        <v>0</v>
      </c>
      <c r="C1257">
        <v>1</v>
      </c>
      <c r="D1257">
        <v>4</v>
      </c>
      <c r="E1257">
        <v>2</v>
      </c>
      <c r="F1257">
        <v>5.5713134430854598</v>
      </c>
      <c r="G1257">
        <v>57</v>
      </c>
      <c r="H1257">
        <v>9</v>
      </c>
      <c r="I1257">
        <v>16</v>
      </c>
      <c r="J1257">
        <v>1</v>
      </c>
      <c r="K1257">
        <v>0</v>
      </c>
      <c r="L1257" s="2">
        <f t="shared" si="114"/>
        <v>45292</v>
      </c>
      <c r="M1257" s="2">
        <f t="shared" ca="1" si="115"/>
        <v>45333</v>
      </c>
      <c r="N1257" s="2" t="str">
        <f t="shared" ca="1" si="116"/>
        <v>N/A</v>
      </c>
      <c r="O1257" s="3">
        <f t="shared" ca="1" si="117"/>
        <v>41</v>
      </c>
      <c r="P1257" s="3" t="str">
        <f t="shared" ca="1" si="118"/>
        <v>N/A</v>
      </c>
      <c r="Q1257" s="1" t="str">
        <f>IF(K1257=1,"Joined",IF(H1257&gt;=70,"Dropped at Offer",IF(H1257&gt;=50,"Dropped at Interview","Dropped at Screening")))</f>
        <v>Dropped at Screening</v>
      </c>
      <c r="R1257" s="1" t="str">
        <f t="shared" ca="1" si="119"/>
        <v>Feb-2024</v>
      </c>
    </row>
    <row r="1258" spans="1:18">
      <c r="A1258">
        <v>41</v>
      </c>
      <c r="B1258">
        <v>1</v>
      </c>
      <c r="C1258">
        <v>4</v>
      </c>
      <c r="D1258">
        <v>13</v>
      </c>
      <c r="E1258">
        <v>5</v>
      </c>
      <c r="F1258">
        <v>28.841934734512002</v>
      </c>
      <c r="G1258">
        <v>35</v>
      </c>
      <c r="H1258">
        <v>83</v>
      </c>
      <c r="I1258">
        <v>59</v>
      </c>
      <c r="J1258">
        <v>2</v>
      </c>
      <c r="K1258">
        <v>0</v>
      </c>
      <c r="L1258" s="2">
        <f t="shared" si="114"/>
        <v>45292</v>
      </c>
      <c r="M1258" s="2">
        <f t="shared" ca="1" si="115"/>
        <v>45321</v>
      </c>
      <c r="N1258" s="2" t="str">
        <f t="shared" ca="1" si="116"/>
        <v>N/A</v>
      </c>
      <c r="O1258" s="3">
        <f t="shared" ca="1" si="117"/>
        <v>29</v>
      </c>
      <c r="P1258" s="3" t="str">
        <f t="shared" ca="1" si="118"/>
        <v>N/A</v>
      </c>
      <c r="Q1258" s="1" t="str">
        <f>IF(K1258=1,"Joined",IF(H1258&gt;=70,"Dropped at Offer",IF(H1258&gt;=50,"Dropped at Interview","Dropped at Screening")))</f>
        <v>Dropped at Offer</v>
      </c>
      <c r="R1258" s="1" t="str">
        <f t="shared" ca="1" si="119"/>
        <v>Jan-2024</v>
      </c>
    </row>
    <row r="1259" spans="1:18">
      <c r="A1259">
        <v>21</v>
      </c>
      <c r="B1259">
        <v>0</v>
      </c>
      <c r="C1259">
        <v>2</v>
      </c>
      <c r="D1259">
        <v>4</v>
      </c>
      <c r="E1259">
        <v>1</v>
      </c>
      <c r="F1259">
        <v>45.593656500420401</v>
      </c>
      <c r="G1259">
        <v>31</v>
      </c>
      <c r="H1259">
        <v>6</v>
      </c>
      <c r="I1259">
        <v>98</v>
      </c>
      <c r="J1259">
        <v>2</v>
      </c>
      <c r="K1259">
        <v>0</v>
      </c>
      <c r="L1259" s="2">
        <f t="shared" si="114"/>
        <v>45292</v>
      </c>
      <c r="M1259" s="2">
        <f t="shared" ca="1" si="115"/>
        <v>45321</v>
      </c>
      <c r="N1259" s="2" t="str">
        <f t="shared" ca="1" si="116"/>
        <v>N/A</v>
      </c>
      <c r="O1259" s="3">
        <f t="shared" ca="1" si="117"/>
        <v>29</v>
      </c>
      <c r="P1259" s="3" t="str">
        <f t="shared" ca="1" si="118"/>
        <v>N/A</v>
      </c>
      <c r="Q1259" s="1" t="str">
        <f>IF(K1259=1,"Joined",IF(H1259&gt;=70,"Dropped at Offer",IF(H1259&gt;=50,"Dropped at Interview","Dropped at Screening")))</f>
        <v>Dropped at Screening</v>
      </c>
      <c r="R1259" s="1" t="str">
        <f t="shared" ca="1" si="119"/>
        <v>Jan-2024</v>
      </c>
    </row>
    <row r="1260" spans="1:18">
      <c r="A1260">
        <v>34</v>
      </c>
      <c r="B1260">
        <v>0</v>
      </c>
      <c r="C1260">
        <v>2</v>
      </c>
      <c r="D1260">
        <v>15</v>
      </c>
      <c r="E1260">
        <v>4</v>
      </c>
      <c r="F1260">
        <v>15.3582382565278</v>
      </c>
      <c r="G1260">
        <v>97</v>
      </c>
      <c r="H1260">
        <v>55</v>
      </c>
      <c r="I1260">
        <v>92</v>
      </c>
      <c r="J1260">
        <v>3</v>
      </c>
      <c r="K1260">
        <v>1</v>
      </c>
      <c r="L1260" s="2">
        <f t="shared" si="114"/>
        <v>45292</v>
      </c>
      <c r="M1260" s="2">
        <f t="shared" ca="1" si="115"/>
        <v>45335</v>
      </c>
      <c r="N1260" s="2">
        <f t="shared" ca="1" si="116"/>
        <v>45365</v>
      </c>
      <c r="O1260" s="3">
        <f t="shared" ca="1" si="117"/>
        <v>43</v>
      </c>
      <c r="P1260" s="3">
        <f t="shared" ca="1" si="118"/>
        <v>30</v>
      </c>
      <c r="Q1260" s="1" t="str">
        <f>IF(K1260=1,"Joined",IF(H1260&gt;=70,"Dropped at Offer",IF(H1260&gt;=50,"Dropped at Interview","Dropped at Screening")))</f>
        <v>Joined</v>
      </c>
      <c r="R1260" s="1" t="str">
        <f t="shared" ca="1" si="119"/>
        <v>Feb-2024</v>
      </c>
    </row>
    <row r="1261" spans="1:18">
      <c r="A1261">
        <v>27</v>
      </c>
      <c r="B1261">
        <v>0</v>
      </c>
      <c r="C1261">
        <v>2</v>
      </c>
      <c r="D1261">
        <v>6</v>
      </c>
      <c r="E1261">
        <v>5</v>
      </c>
      <c r="F1261">
        <v>17.3873612948064</v>
      </c>
      <c r="G1261">
        <v>63</v>
      </c>
      <c r="H1261">
        <v>79</v>
      </c>
      <c r="I1261">
        <v>41</v>
      </c>
      <c r="J1261">
        <v>1</v>
      </c>
      <c r="K1261">
        <v>1</v>
      </c>
      <c r="L1261" s="2">
        <f t="shared" si="114"/>
        <v>45292</v>
      </c>
      <c r="M1261" s="2">
        <f t="shared" ca="1" si="115"/>
        <v>45308</v>
      </c>
      <c r="N1261" s="2">
        <f t="shared" ca="1" si="116"/>
        <v>45320</v>
      </c>
      <c r="O1261" s="3">
        <f t="shared" ca="1" si="117"/>
        <v>16</v>
      </c>
      <c r="P1261" s="3">
        <f t="shared" ca="1" si="118"/>
        <v>12</v>
      </c>
      <c r="Q1261" s="1" t="str">
        <f>IF(K1261=1,"Joined",IF(H1261&gt;=70,"Dropped at Offer",IF(H1261&gt;=50,"Dropped at Interview","Dropped at Screening")))</f>
        <v>Joined</v>
      </c>
      <c r="R1261" s="1" t="str">
        <f t="shared" ca="1" si="119"/>
        <v>Jan-2024</v>
      </c>
    </row>
    <row r="1262" spans="1:18">
      <c r="A1262">
        <v>27</v>
      </c>
      <c r="B1262">
        <v>1</v>
      </c>
      <c r="C1262">
        <v>1</v>
      </c>
      <c r="D1262">
        <v>0</v>
      </c>
      <c r="E1262">
        <v>5</v>
      </c>
      <c r="F1262">
        <v>6.7802805305755998</v>
      </c>
      <c r="G1262">
        <v>70</v>
      </c>
      <c r="H1262">
        <v>36</v>
      </c>
      <c r="I1262">
        <v>80</v>
      </c>
      <c r="J1262">
        <v>1</v>
      </c>
      <c r="K1262">
        <v>0</v>
      </c>
      <c r="L1262" s="2">
        <f t="shared" si="114"/>
        <v>45292</v>
      </c>
      <c r="M1262" s="2">
        <f t="shared" ca="1" si="115"/>
        <v>45330</v>
      </c>
      <c r="N1262" s="2" t="str">
        <f t="shared" ca="1" si="116"/>
        <v>N/A</v>
      </c>
      <c r="O1262" s="3">
        <f t="shared" ca="1" si="117"/>
        <v>38</v>
      </c>
      <c r="P1262" s="3" t="str">
        <f t="shared" ca="1" si="118"/>
        <v>N/A</v>
      </c>
      <c r="Q1262" s="1" t="str">
        <f>IF(K1262=1,"Joined",IF(H1262&gt;=70,"Dropped at Offer",IF(H1262&gt;=50,"Dropped at Interview","Dropped at Screening")))</f>
        <v>Dropped at Screening</v>
      </c>
      <c r="R1262" s="1" t="str">
        <f t="shared" ca="1" si="119"/>
        <v>Feb-2024</v>
      </c>
    </row>
    <row r="1263" spans="1:18">
      <c r="A1263">
        <v>36</v>
      </c>
      <c r="B1263">
        <v>1</v>
      </c>
      <c r="C1263">
        <v>2</v>
      </c>
      <c r="D1263">
        <v>7</v>
      </c>
      <c r="E1263">
        <v>5</v>
      </c>
      <c r="F1263">
        <v>20.431547280355101</v>
      </c>
      <c r="G1263">
        <v>41</v>
      </c>
      <c r="H1263">
        <v>28</v>
      </c>
      <c r="I1263">
        <v>71</v>
      </c>
      <c r="J1263">
        <v>2</v>
      </c>
      <c r="K1263">
        <v>0</v>
      </c>
      <c r="L1263" s="2">
        <f t="shared" si="114"/>
        <v>45292</v>
      </c>
      <c r="M1263" s="2">
        <f t="shared" ca="1" si="115"/>
        <v>45311</v>
      </c>
      <c r="N1263" s="2" t="str">
        <f t="shared" ca="1" si="116"/>
        <v>N/A</v>
      </c>
      <c r="O1263" s="3">
        <f t="shared" ca="1" si="117"/>
        <v>19</v>
      </c>
      <c r="P1263" s="3" t="str">
        <f t="shared" ca="1" si="118"/>
        <v>N/A</v>
      </c>
      <c r="Q1263" s="1" t="str">
        <f>IF(K1263=1,"Joined",IF(H1263&gt;=70,"Dropped at Offer",IF(H1263&gt;=50,"Dropped at Interview","Dropped at Screening")))</f>
        <v>Dropped at Screening</v>
      </c>
      <c r="R1263" s="1" t="str">
        <f t="shared" ca="1" si="119"/>
        <v>Jan-2024</v>
      </c>
    </row>
    <row r="1264" spans="1:18">
      <c r="A1264">
        <v>31</v>
      </c>
      <c r="B1264">
        <v>1</v>
      </c>
      <c r="C1264">
        <v>2</v>
      </c>
      <c r="D1264">
        <v>2</v>
      </c>
      <c r="E1264">
        <v>1</v>
      </c>
      <c r="F1264">
        <v>2.8610852284664499</v>
      </c>
      <c r="G1264">
        <v>47</v>
      </c>
      <c r="H1264">
        <v>11</v>
      </c>
      <c r="I1264">
        <v>64</v>
      </c>
      <c r="J1264">
        <v>3</v>
      </c>
      <c r="K1264">
        <v>0</v>
      </c>
      <c r="L1264" s="2">
        <f t="shared" si="114"/>
        <v>45292</v>
      </c>
      <c r="M1264" s="2">
        <f t="shared" ca="1" si="115"/>
        <v>45312</v>
      </c>
      <c r="N1264" s="2" t="str">
        <f t="shared" ca="1" si="116"/>
        <v>N/A</v>
      </c>
      <c r="O1264" s="3">
        <f t="shared" ca="1" si="117"/>
        <v>20</v>
      </c>
      <c r="P1264" s="3" t="str">
        <f t="shared" ca="1" si="118"/>
        <v>N/A</v>
      </c>
      <c r="Q1264" s="1" t="str">
        <f>IF(K1264=1,"Joined",IF(H1264&gt;=70,"Dropped at Offer",IF(H1264&gt;=50,"Dropped at Interview","Dropped at Screening")))</f>
        <v>Dropped at Screening</v>
      </c>
      <c r="R1264" s="1" t="str">
        <f t="shared" ca="1" si="119"/>
        <v>Jan-2024</v>
      </c>
    </row>
    <row r="1265" spans="1:18">
      <c r="A1265">
        <v>38</v>
      </c>
      <c r="B1265">
        <v>1</v>
      </c>
      <c r="C1265">
        <v>2</v>
      </c>
      <c r="D1265">
        <v>3</v>
      </c>
      <c r="E1265">
        <v>3</v>
      </c>
      <c r="F1265">
        <v>46.880034813095001</v>
      </c>
      <c r="G1265">
        <v>73</v>
      </c>
      <c r="H1265">
        <v>16</v>
      </c>
      <c r="I1265">
        <v>52</v>
      </c>
      <c r="J1265">
        <v>1</v>
      </c>
      <c r="K1265">
        <v>0</v>
      </c>
      <c r="L1265" s="2">
        <f t="shared" si="114"/>
        <v>45292</v>
      </c>
      <c r="M1265" s="2">
        <f t="shared" ca="1" si="115"/>
        <v>45306</v>
      </c>
      <c r="N1265" s="2" t="str">
        <f t="shared" ca="1" si="116"/>
        <v>N/A</v>
      </c>
      <c r="O1265" s="3">
        <f t="shared" ca="1" si="117"/>
        <v>14</v>
      </c>
      <c r="P1265" s="3" t="str">
        <f t="shared" ca="1" si="118"/>
        <v>N/A</v>
      </c>
      <c r="Q1265" s="1" t="str">
        <f>IF(K1265=1,"Joined",IF(H1265&gt;=70,"Dropped at Offer",IF(H1265&gt;=50,"Dropped at Interview","Dropped at Screening")))</f>
        <v>Dropped at Screening</v>
      </c>
      <c r="R1265" s="1" t="str">
        <f t="shared" ca="1" si="119"/>
        <v>Jan-2024</v>
      </c>
    </row>
    <row r="1266" spans="1:18">
      <c r="A1266">
        <v>29</v>
      </c>
      <c r="B1266">
        <v>0</v>
      </c>
      <c r="C1266">
        <v>4</v>
      </c>
      <c r="D1266">
        <v>14</v>
      </c>
      <c r="E1266">
        <v>1</v>
      </c>
      <c r="F1266">
        <v>34.655567406226403</v>
      </c>
      <c r="G1266">
        <v>80</v>
      </c>
      <c r="H1266">
        <v>47</v>
      </c>
      <c r="I1266">
        <v>99</v>
      </c>
      <c r="J1266">
        <v>2</v>
      </c>
      <c r="K1266">
        <v>1</v>
      </c>
      <c r="L1266" s="2">
        <f t="shared" si="114"/>
        <v>45292</v>
      </c>
      <c r="M1266" s="2">
        <f t="shared" ca="1" si="115"/>
        <v>45309</v>
      </c>
      <c r="N1266" s="2">
        <f t="shared" ca="1" si="116"/>
        <v>45332</v>
      </c>
      <c r="O1266" s="3">
        <f t="shared" ca="1" si="117"/>
        <v>17</v>
      </c>
      <c r="P1266" s="3">
        <f t="shared" ca="1" si="118"/>
        <v>23</v>
      </c>
      <c r="Q1266" s="1" t="str">
        <f>IF(K1266=1,"Joined",IF(H1266&gt;=70,"Dropped at Offer",IF(H1266&gt;=50,"Dropped at Interview","Dropped at Screening")))</f>
        <v>Joined</v>
      </c>
      <c r="R1266" s="1" t="str">
        <f t="shared" ca="1" si="119"/>
        <v>Jan-2024</v>
      </c>
    </row>
    <row r="1267" spans="1:18">
      <c r="A1267">
        <v>28</v>
      </c>
      <c r="B1267">
        <v>0</v>
      </c>
      <c r="C1267">
        <v>2</v>
      </c>
      <c r="D1267">
        <v>8</v>
      </c>
      <c r="E1267">
        <v>3</v>
      </c>
      <c r="F1267">
        <v>50.537440469660901</v>
      </c>
      <c r="G1267">
        <v>29</v>
      </c>
      <c r="H1267">
        <v>83</v>
      </c>
      <c r="I1267">
        <v>6</v>
      </c>
      <c r="J1267">
        <v>2</v>
      </c>
      <c r="K1267">
        <v>0</v>
      </c>
      <c r="L1267" s="2">
        <f t="shared" si="114"/>
        <v>45292</v>
      </c>
      <c r="M1267" s="2">
        <f t="shared" ca="1" si="115"/>
        <v>45307</v>
      </c>
      <c r="N1267" s="2" t="str">
        <f t="shared" ca="1" si="116"/>
        <v>N/A</v>
      </c>
      <c r="O1267" s="3">
        <f t="shared" ca="1" si="117"/>
        <v>15</v>
      </c>
      <c r="P1267" s="3" t="str">
        <f t="shared" ca="1" si="118"/>
        <v>N/A</v>
      </c>
      <c r="Q1267" s="1" t="str">
        <f>IF(K1267=1,"Joined",IF(H1267&gt;=70,"Dropped at Offer",IF(H1267&gt;=50,"Dropped at Interview","Dropped at Screening")))</f>
        <v>Dropped at Offer</v>
      </c>
      <c r="R1267" s="1" t="str">
        <f t="shared" ca="1" si="119"/>
        <v>Jan-2024</v>
      </c>
    </row>
    <row r="1268" spans="1:18">
      <c r="A1268">
        <v>24</v>
      </c>
      <c r="B1268">
        <v>1</v>
      </c>
      <c r="C1268">
        <v>2</v>
      </c>
      <c r="D1268">
        <v>3</v>
      </c>
      <c r="E1268">
        <v>5</v>
      </c>
      <c r="F1268">
        <v>45.141158133924598</v>
      </c>
      <c r="G1268">
        <v>20</v>
      </c>
      <c r="H1268">
        <v>25</v>
      </c>
      <c r="I1268">
        <v>4</v>
      </c>
      <c r="J1268">
        <v>1</v>
      </c>
      <c r="K1268">
        <v>0</v>
      </c>
      <c r="L1268" s="2">
        <f t="shared" si="114"/>
        <v>45292</v>
      </c>
      <c r="M1268" s="2">
        <f t="shared" ca="1" si="115"/>
        <v>45311</v>
      </c>
      <c r="N1268" s="2" t="str">
        <f t="shared" ca="1" si="116"/>
        <v>N/A</v>
      </c>
      <c r="O1268" s="3">
        <f t="shared" ca="1" si="117"/>
        <v>19</v>
      </c>
      <c r="P1268" s="3" t="str">
        <f t="shared" ca="1" si="118"/>
        <v>N/A</v>
      </c>
      <c r="Q1268" s="1" t="str">
        <f>IF(K1268=1,"Joined",IF(H1268&gt;=70,"Dropped at Offer",IF(H1268&gt;=50,"Dropped at Interview","Dropped at Screening")))</f>
        <v>Dropped at Screening</v>
      </c>
      <c r="R1268" s="1" t="str">
        <f t="shared" ca="1" si="119"/>
        <v>Jan-2024</v>
      </c>
    </row>
    <row r="1269" spans="1:18">
      <c r="A1269">
        <v>25</v>
      </c>
      <c r="B1269">
        <v>1</v>
      </c>
      <c r="C1269">
        <v>2</v>
      </c>
      <c r="D1269">
        <v>9</v>
      </c>
      <c r="E1269">
        <v>5</v>
      </c>
      <c r="F1269">
        <v>24.649529684907598</v>
      </c>
      <c r="G1269">
        <v>59</v>
      </c>
      <c r="H1269">
        <v>82</v>
      </c>
      <c r="I1269">
        <v>23</v>
      </c>
      <c r="J1269">
        <v>2</v>
      </c>
      <c r="K1269">
        <v>0</v>
      </c>
      <c r="L1269" s="2">
        <f t="shared" si="114"/>
        <v>45292</v>
      </c>
      <c r="M1269" s="2">
        <f t="shared" ca="1" si="115"/>
        <v>45329</v>
      </c>
      <c r="N1269" s="2" t="str">
        <f t="shared" ca="1" si="116"/>
        <v>N/A</v>
      </c>
      <c r="O1269" s="3">
        <f t="shared" ca="1" si="117"/>
        <v>37</v>
      </c>
      <c r="P1269" s="3" t="str">
        <f t="shared" ca="1" si="118"/>
        <v>N/A</v>
      </c>
      <c r="Q1269" s="1" t="str">
        <f>IF(K1269=1,"Joined",IF(H1269&gt;=70,"Dropped at Offer",IF(H1269&gt;=50,"Dropped at Interview","Dropped at Screening")))</f>
        <v>Dropped at Offer</v>
      </c>
      <c r="R1269" s="1" t="str">
        <f t="shared" ca="1" si="119"/>
        <v>Feb-2024</v>
      </c>
    </row>
    <row r="1270" spans="1:18">
      <c r="A1270">
        <v>39</v>
      </c>
      <c r="B1270">
        <v>0</v>
      </c>
      <c r="C1270">
        <v>4</v>
      </c>
      <c r="D1270">
        <v>11</v>
      </c>
      <c r="E1270">
        <v>4</v>
      </c>
      <c r="F1270">
        <v>26.9842515575188</v>
      </c>
      <c r="G1270">
        <v>12</v>
      </c>
      <c r="H1270">
        <v>11</v>
      </c>
      <c r="I1270">
        <v>27</v>
      </c>
      <c r="J1270">
        <v>1</v>
      </c>
      <c r="K1270">
        <v>1</v>
      </c>
      <c r="L1270" s="2">
        <f t="shared" si="114"/>
        <v>45292</v>
      </c>
      <c r="M1270" s="2">
        <f t="shared" ca="1" si="115"/>
        <v>45326</v>
      </c>
      <c r="N1270" s="2">
        <f t="shared" ca="1" si="116"/>
        <v>45342</v>
      </c>
      <c r="O1270" s="3">
        <f t="shared" ca="1" si="117"/>
        <v>34</v>
      </c>
      <c r="P1270" s="3">
        <f t="shared" ca="1" si="118"/>
        <v>16</v>
      </c>
      <c r="Q1270" s="1" t="str">
        <f>IF(K1270=1,"Joined",IF(H1270&gt;=70,"Dropped at Offer",IF(H1270&gt;=50,"Dropped at Interview","Dropped at Screening")))</f>
        <v>Joined</v>
      </c>
      <c r="R1270" s="1" t="str">
        <f t="shared" ca="1" si="119"/>
        <v>Feb-2024</v>
      </c>
    </row>
    <row r="1271" spans="1:18">
      <c r="A1271">
        <v>45</v>
      </c>
      <c r="B1271">
        <v>0</v>
      </c>
      <c r="C1271">
        <v>1</v>
      </c>
      <c r="D1271">
        <v>14</v>
      </c>
      <c r="E1271">
        <v>3</v>
      </c>
      <c r="F1271">
        <v>10.5288023258596</v>
      </c>
      <c r="G1271">
        <v>0</v>
      </c>
      <c r="H1271">
        <v>20</v>
      </c>
      <c r="I1271">
        <v>61</v>
      </c>
      <c r="J1271">
        <v>3</v>
      </c>
      <c r="K1271">
        <v>0</v>
      </c>
      <c r="L1271" s="2">
        <f t="shared" si="114"/>
        <v>45292</v>
      </c>
      <c r="M1271" s="2">
        <f t="shared" ca="1" si="115"/>
        <v>45317</v>
      </c>
      <c r="N1271" s="2" t="str">
        <f t="shared" ca="1" si="116"/>
        <v>N/A</v>
      </c>
      <c r="O1271" s="3">
        <f t="shared" ca="1" si="117"/>
        <v>25</v>
      </c>
      <c r="P1271" s="3" t="str">
        <f t="shared" ca="1" si="118"/>
        <v>N/A</v>
      </c>
      <c r="Q1271" s="1" t="str">
        <f>IF(K1271=1,"Joined",IF(H1271&gt;=70,"Dropped at Offer",IF(H1271&gt;=50,"Dropped at Interview","Dropped at Screening")))</f>
        <v>Dropped at Screening</v>
      </c>
      <c r="R1271" s="1" t="str">
        <f t="shared" ca="1" si="119"/>
        <v>Jan-2024</v>
      </c>
    </row>
    <row r="1272" spans="1:18">
      <c r="A1272">
        <v>21</v>
      </c>
      <c r="B1272">
        <v>1</v>
      </c>
      <c r="C1272">
        <v>2</v>
      </c>
      <c r="D1272">
        <v>4</v>
      </c>
      <c r="E1272">
        <v>5</v>
      </c>
      <c r="F1272">
        <v>24.101967141977699</v>
      </c>
      <c r="G1272">
        <v>64</v>
      </c>
      <c r="H1272">
        <v>41</v>
      </c>
      <c r="I1272">
        <v>16</v>
      </c>
      <c r="J1272">
        <v>2</v>
      </c>
      <c r="K1272">
        <v>0</v>
      </c>
      <c r="L1272" s="2">
        <f t="shared" si="114"/>
        <v>45292</v>
      </c>
      <c r="M1272" s="2">
        <f t="shared" ca="1" si="115"/>
        <v>45316</v>
      </c>
      <c r="N1272" s="2" t="str">
        <f t="shared" ca="1" si="116"/>
        <v>N/A</v>
      </c>
      <c r="O1272" s="3">
        <f t="shared" ca="1" si="117"/>
        <v>24</v>
      </c>
      <c r="P1272" s="3" t="str">
        <f t="shared" ca="1" si="118"/>
        <v>N/A</v>
      </c>
      <c r="Q1272" s="1" t="str">
        <f>IF(K1272=1,"Joined",IF(H1272&gt;=70,"Dropped at Offer",IF(H1272&gt;=50,"Dropped at Interview","Dropped at Screening")))</f>
        <v>Dropped at Screening</v>
      </c>
      <c r="R1272" s="1" t="str">
        <f t="shared" ca="1" si="119"/>
        <v>Jan-2024</v>
      </c>
    </row>
    <row r="1273" spans="1:18">
      <c r="A1273">
        <v>46</v>
      </c>
      <c r="B1273">
        <v>1</v>
      </c>
      <c r="C1273">
        <v>1</v>
      </c>
      <c r="D1273">
        <v>6</v>
      </c>
      <c r="E1273">
        <v>2</v>
      </c>
      <c r="F1273">
        <v>46.151393674640502</v>
      </c>
      <c r="G1273">
        <v>32</v>
      </c>
      <c r="H1273">
        <v>60</v>
      </c>
      <c r="I1273">
        <v>100</v>
      </c>
      <c r="J1273">
        <v>2</v>
      </c>
      <c r="K1273">
        <v>0</v>
      </c>
      <c r="L1273" s="2">
        <f t="shared" si="114"/>
        <v>45292</v>
      </c>
      <c r="M1273" s="2">
        <f t="shared" ca="1" si="115"/>
        <v>45318</v>
      </c>
      <c r="N1273" s="2" t="str">
        <f t="shared" ca="1" si="116"/>
        <v>N/A</v>
      </c>
      <c r="O1273" s="3">
        <f t="shared" ca="1" si="117"/>
        <v>26</v>
      </c>
      <c r="P1273" s="3" t="str">
        <f t="shared" ca="1" si="118"/>
        <v>N/A</v>
      </c>
      <c r="Q1273" s="1" t="str">
        <f>IF(K1273=1,"Joined",IF(H1273&gt;=70,"Dropped at Offer",IF(H1273&gt;=50,"Dropped at Interview","Dropped at Screening")))</f>
        <v>Dropped at Interview</v>
      </c>
      <c r="R1273" s="1" t="str">
        <f t="shared" ca="1" si="119"/>
        <v>Jan-2024</v>
      </c>
    </row>
    <row r="1274" spans="1:18">
      <c r="A1274">
        <v>43</v>
      </c>
      <c r="B1274">
        <v>1</v>
      </c>
      <c r="C1274">
        <v>1</v>
      </c>
      <c r="D1274">
        <v>15</v>
      </c>
      <c r="E1274">
        <v>4</v>
      </c>
      <c r="F1274">
        <v>3.5426711817910501</v>
      </c>
      <c r="G1274">
        <v>37</v>
      </c>
      <c r="H1274">
        <v>57</v>
      </c>
      <c r="I1274">
        <v>19</v>
      </c>
      <c r="J1274">
        <v>2</v>
      </c>
      <c r="K1274">
        <v>0</v>
      </c>
      <c r="L1274" s="2">
        <f t="shared" si="114"/>
        <v>45292</v>
      </c>
      <c r="M1274" s="2">
        <f t="shared" ca="1" si="115"/>
        <v>45312</v>
      </c>
      <c r="N1274" s="2" t="str">
        <f t="shared" ca="1" si="116"/>
        <v>N/A</v>
      </c>
      <c r="O1274" s="3">
        <f t="shared" ca="1" si="117"/>
        <v>20</v>
      </c>
      <c r="P1274" s="3" t="str">
        <f t="shared" ca="1" si="118"/>
        <v>N/A</v>
      </c>
      <c r="Q1274" s="1" t="str">
        <f>IF(K1274=1,"Joined",IF(H1274&gt;=70,"Dropped at Offer",IF(H1274&gt;=50,"Dropped at Interview","Dropped at Screening")))</f>
        <v>Dropped at Interview</v>
      </c>
      <c r="R1274" s="1" t="str">
        <f t="shared" ca="1" si="119"/>
        <v>Jan-2024</v>
      </c>
    </row>
    <row r="1275" spans="1:18">
      <c r="A1275">
        <v>46</v>
      </c>
      <c r="B1275">
        <v>1</v>
      </c>
      <c r="C1275">
        <v>3</v>
      </c>
      <c r="D1275">
        <v>3</v>
      </c>
      <c r="E1275">
        <v>1</v>
      </c>
      <c r="F1275">
        <v>44.177840149915397</v>
      </c>
      <c r="G1275">
        <v>24</v>
      </c>
      <c r="H1275">
        <v>53</v>
      </c>
      <c r="I1275">
        <v>2</v>
      </c>
      <c r="J1275">
        <v>2</v>
      </c>
      <c r="K1275">
        <v>0</v>
      </c>
      <c r="L1275" s="2">
        <f t="shared" si="114"/>
        <v>45292</v>
      </c>
      <c r="M1275" s="2">
        <f t="shared" ca="1" si="115"/>
        <v>45311</v>
      </c>
      <c r="N1275" s="2" t="str">
        <f t="shared" ca="1" si="116"/>
        <v>N/A</v>
      </c>
      <c r="O1275" s="3">
        <f t="shared" ca="1" si="117"/>
        <v>19</v>
      </c>
      <c r="P1275" s="3" t="str">
        <f t="shared" ca="1" si="118"/>
        <v>N/A</v>
      </c>
      <c r="Q1275" s="1" t="str">
        <f>IF(K1275=1,"Joined",IF(H1275&gt;=70,"Dropped at Offer",IF(H1275&gt;=50,"Dropped at Interview","Dropped at Screening")))</f>
        <v>Dropped at Interview</v>
      </c>
      <c r="R1275" s="1" t="str">
        <f t="shared" ca="1" si="119"/>
        <v>Jan-2024</v>
      </c>
    </row>
    <row r="1276" spans="1:18">
      <c r="A1276">
        <v>32</v>
      </c>
      <c r="B1276">
        <v>0</v>
      </c>
      <c r="C1276">
        <v>3</v>
      </c>
      <c r="D1276">
        <v>13</v>
      </c>
      <c r="E1276">
        <v>4</v>
      </c>
      <c r="F1276">
        <v>18.047390082130399</v>
      </c>
      <c r="G1276">
        <v>25</v>
      </c>
      <c r="H1276">
        <v>33</v>
      </c>
      <c r="I1276">
        <v>36</v>
      </c>
      <c r="J1276">
        <v>2</v>
      </c>
      <c r="K1276">
        <v>0</v>
      </c>
      <c r="L1276" s="2">
        <f t="shared" si="114"/>
        <v>45292</v>
      </c>
      <c r="M1276" s="2">
        <f t="shared" ca="1" si="115"/>
        <v>45321</v>
      </c>
      <c r="N1276" s="2" t="str">
        <f t="shared" ca="1" si="116"/>
        <v>N/A</v>
      </c>
      <c r="O1276" s="3">
        <f t="shared" ca="1" si="117"/>
        <v>29</v>
      </c>
      <c r="P1276" s="3" t="str">
        <f t="shared" ca="1" si="118"/>
        <v>N/A</v>
      </c>
      <c r="Q1276" s="1" t="str">
        <f>IF(K1276=1,"Joined",IF(H1276&gt;=70,"Dropped at Offer",IF(H1276&gt;=50,"Dropped at Interview","Dropped at Screening")))</f>
        <v>Dropped at Screening</v>
      </c>
      <c r="R1276" s="1" t="str">
        <f t="shared" ca="1" si="119"/>
        <v>Jan-2024</v>
      </c>
    </row>
    <row r="1277" spans="1:18">
      <c r="A1277">
        <v>25</v>
      </c>
      <c r="B1277">
        <v>0</v>
      </c>
      <c r="C1277">
        <v>2</v>
      </c>
      <c r="D1277">
        <v>0</v>
      </c>
      <c r="E1277">
        <v>2</v>
      </c>
      <c r="F1277">
        <v>45.975638254815401</v>
      </c>
      <c r="G1277">
        <v>76</v>
      </c>
      <c r="H1277">
        <v>6</v>
      </c>
      <c r="I1277">
        <v>89</v>
      </c>
      <c r="J1277">
        <v>1</v>
      </c>
      <c r="K1277">
        <v>1</v>
      </c>
      <c r="L1277" s="2">
        <f t="shared" si="114"/>
        <v>45292</v>
      </c>
      <c r="M1277" s="2">
        <f t="shared" ca="1" si="115"/>
        <v>45324</v>
      </c>
      <c r="N1277" s="2">
        <f t="shared" ca="1" si="116"/>
        <v>45337</v>
      </c>
      <c r="O1277" s="3">
        <f t="shared" ca="1" si="117"/>
        <v>32</v>
      </c>
      <c r="P1277" s="3">
        <f t="shared" ca="1" si="118"/>
        <v>13</v>
      </c>
      <c r="Q1277" s="1" t="str">
        <f>IF(K1277=1,"Joined",IF(H1277&gt;=70,"Dropped at Offer",IF(H1277&gt;=50,"Dropped at Interview","Dropped at Screening")))</f>
        <v>Joined</v>
      </c>
      <c r="R1277" s="1" t="str">
        <f t="shared" ca="1" si="119"/>
        <v>Feb-2024</v>
      </c>
    </row>
    <row r="1278" spans="1:18">
      <c r="A1278">
        <v>24</v>
      </c>
      <c r="B1278">
        <v>0</v>
      </c>
      <c r="C1278">
        <v>2</v>
      </c>
      <c r="D1278">
        <v>8</v>
      </c>
      <c r="E1278">
        <v>3</v>
      </c>
      <c r="F1278">
        <v>48.043995317074199</v>
      </c>
      <c r="G1278">
        <v>58</v>
      </c>
      <c r="H1278">
        <v>34</v>
      </c>
      <c r="I1278">
        <v>14</v>
      </c>
      <c r="J1278">
        <v>2</v>
      </c>
      <c r="K1278">
        <v>0</v>
      </c>
      <c r="L1278" s="2">
        <f t="shared" si="114"/>
        <v>45292</v>
      </c>
      <c r="M1278" s="2">
        <f t="shared" ca="1" si="115"/>
        <v>45325</v>
      </c>
      <c r="N1278" s="2" t="str">
        <f t="shared" ca="1" si="116"/>
        <v>N/A</v>
      </c>
      <c r="O1278" s="3">
        <f t="shared" ca="1" si="117"/>
        <v>33</v>
      </c>
      <c r="P1278" s="3" t="str">
        <f t="shared" ca="1" si="118"/>
        <v>N/A</v>
      </c>
      <c r="Q1278" s="1" t="str">
        <f>IF(K1278=1,"Joined",IF(H1278&gt;=70,"Dropped at Offer",IF(H1278&gt;=50,"Dropped at Interview","Dropped at Screening")))</f>
        <v>Dropped at Screening</v>
      </c>
      <c r="R1278" s="1" t="str">
        <f t="shared" ca="1" si="119"/>
        <v>Feb-2024</v>
      </c>
    </row>
    <row r="1279" spans="1:18">
      <c r="A1279">
        <v>44</v>
      </c>
      <c r="B1279">
        <v>1</v>
      </c>
      <c r="C1279">
        <v>2</v>
      </c>
      <c r="D1279">
        <v>3</v>
      </c>
      <c r="E1279">
        <v>1</v>
      </c>
      <c r="F1279">
        <v>34.5432443500953</v>
      </c>
      <c r="G1279">
        <v>91</v>
      </c>
      <c r="H1279">
        <v>14</v>
      </c>
      <c r="I1279">
        <v>50</v>
      </c>
      <c r="J1279">
        <v>1</v>
      </c>
      <c r="K1279">
        <v>0</v>
      </c>
      <c r="L1279" s="2">
        <f t="shared" si="114"/>
        <v>45292</v>
      </c>
      <c r="M1279" s="2">
        <f t="shared" ca="1" si="115"/>
        <v>45317</v>
      </c>
      <c r="N1279" s="2" t="str">
        <f t="shared" ca="1" si="116"/>
        <v>N/A</v>
      </c>
      <c r="O1279" s="3">
        <f t="shared" ca="1" si="117"/>
        <v>25</v>
      </c>
      <c r="P1279" s="3" t="str">
        <f t="shared" ca="1" si="118"/>
        <v>N/A</v>
      </c>
      <c r="Q1279" s="1" t="str">
        <f>IF(K1279=1,"Joined",IF(H1279&gt;=70,"Dropped at Offer",IF(H1279&gt;=50,"Dropped at Interview","Dropped at Screening")))</f>
        <v>Dropped at Screening</v>
      </c>
      <c r="R1279" s="1" t="str">
        <f t="shared" ca="1" si="119"/>
        <v>Jan-2024</v>
      </c>
    </row>
    <row r="1280" spans="1:18">
      <c r="A1280">
        <v>20</v>
      </c>
      <c r="B1280">
        <v>1</v>
      </c>
      <c r="C1280">
        <v>4</v>
      </c>
      <c r="D1280">
        <v>8</v>
      </c>
      <c r="E1280">
        <v>1</v>
      </c>
      <c r="F1280">
        <v>34.221189329633802</v>
      </c>
      <c r="G1280">
        <v>32</v>
      </c>
      <c r="H1280">
        <v>64</v>
      </c>
      <c r="I1280">
        <v>47</v>
      </c>
      <c r="J1280">
        <v>2</v>
      </c>
      <c r="K1280">
        <v>0</v>
      </c>
      <c r="L1280" s="2">
        <f t="shared" si="114"/>
        <v>45292</v>
      </c>
      <c r="M1280" s="2">
        <f t="shared" ca="1" si="115"/>
        <v>45329</v>
      </c>
      <c r="N1280" s="2" t="str">
        <f t="shared" ca="1" si="116"/>
        <v>N/A</v>
      </c>
      <c r="O1280" s="3">
        <f t="shared" ca="1" si="117"/>
        <v>37</v>
      </c>
      <c r="P1280" s="3" t="str">
        <f t="shared" ca="1" si="118"/>
        <v>N/A</v>
      </c>
      <c r="Q1280" s="1" t="str">
        <f>IF(K1280=1,"Joined",IF(H1280&gt;=70,"Dropped at Offer",IF(H1280&gt;=50,"Dropped at Interview","Dropped at Screening")))</f>
        <v>Dropped at Interview</v>
      </c>
      <c r="R1280" s="1" t="str">
        <f t="shared" ca="1" si="119"/>
        <v>Feb-2024</v>
      </c>
    </row>
    <row r="1281" spans="1:18">
      <c r="A1281">
        <v>40</v>
      </c>
      <c r="B1281">
        <v>0</v>
      </c>
      <c r="C1281">
        <v>4</v>
      </c>
      <c r="D1281">
        <v>5</v>
      </c>
      <c r="E1281">
        <v>3</v>
      </c>
      <c r="F1281">
        <v>23.637716885437001</v>
      </c>
      <c r="G1281">
        <v>100</v>
      </c>
      <c r="H1281">
        <v>89</v>
      </c>
      <c r="I1281">
        <v>7</v>
      </c>
      <c r="J1281">
        <v>1</v>
      </c>
      <c r="K1281">
        <v>1</v>
      </c>
      <c r="L1281" s="2">
        <f t="shared" si="114"/>
        <v>45292</v>
      </c>
      <c r="M1281" s="2">
        <f t="shared" ca="1" si="115"/>
        <v>45313</v>
      </c>
      <c r="N1281" s="2">
        <f t="shared" ca="1" si="116"/>
        <v>45343</v>
      </c>
      <c r="O1281" s="3">
        <f t="shared" ca="1" si="117"/>
        <v>21</v>
      </c>
      <c r="P1281" s="3">
        <f t="shared" ca="1" si="118"/>
        <v>30</v>
      </c>
      <c r="Q1281" s="1" t="str">
        <f>IF(K1281=1,"Joined",IF(H1281&gt;=70,"Dropped at Offer",IF(H1281&gt;=50,"Dropped at Interview","Dropped at Screening")))</f>
        <v>Joined</v>
      </c>
      <c r="R1281" s="1" t="str">
        <f t="shared" ca="1" si="119"/>
        <v>Jan-2024</v>
      </c>
    </row>
    <row r="1282" spans="1:18">
      <c r="A1282">
        <v>41</v>
      </c>
      <c r="B1282">
        <v>0</v>
      </c>
      <c r="C1282">
        <v>2</v>
      </c>
      <c r="D1282">
        <v>14</v>
      </c>
      <c r="E1282">
        <v>4</v>
      </c>
      <c r="F1282">
        <v>42.777011227185298</v>
      </c>
      <c r="G1282">
        <v>40</v>
      </c>
      <c r="H1282">
        <v>98</v>
      </c>
      <c r="I1282">
        <v>12</v>
      </c>
      <c r="J1282">
        <v>2</v>
      </c>
      <c r="K1282">
        <v>0</v>
      </c>
      <c r="L1282" s="2">
        <f t="shared" ref="L1282:L1345" si="120">DATE(2024,1,1)</f>
        <v>45292</v>
      </c>
      <c r="M1282" s="2">
        <f t="shared" ref="M1282:M1345" ca="1" si="121">L1282+RANDBETWEEN(14,45)</f>
        <v>45326</v>
      </c>
      <c r="N1282" s="2" t="str">
        <f t="shared" ref="N1282:N1345" ca="1" si="122">IF(K1282=1, M1282+RANDBETWEEN(7,30), "N/A")</f>
        <v>N/A</v>
      </c>
      <c r="O1282" s="3">
        <f t="shared" ref="O1282:O1345" ca="1" si="123">IF(AND(M1282&lt;&gt;"",L1282&lt;&gt;""), M1282-L1282, "N/A")</f>
        <v>34</v>
      </c>
      <c r="P1282" s="3" t="str">
        <f t="shared" ref="P1282:Q1345" ca="1" si="124">IF(AND(K1282=1, N1282&lt;&gt;"", M1282&lt;&gt;""), N1282 - M1282, "N/A")</f>
        <v>N/A</v>
      </c>
      <c r="Q1282" s="1" t="str">
        <f>IF(K1282=1,"Joined",IF(H1282&gt;=70,"Dropped at Offer",IF(H1282&gt;=50,"Dropped at Interview","Dropped at Screening")))</f>
        <v>Dropped at Offer</v>
      </c>
      <c r="R1282" s="1" t="str">
        <f t="shared" ref="R1282:R1345" ca="1" si="125">TEXT(M1282,"MMM-YYYY")</f>
        <v>Feb-2024</v>
      </c>
    </row>
    <row r="1283" spans="1:18">
      <c r="A1283">
        <v>40</v>
      </c>
      <c r="B1283">
        <v>0</v>
      </c>
      <c r="C1283">
        <v>3</v>
      </c>
      <c r="D1283">
        <v>0</v>
      </c>
      <c r="E1283">
        <v>5</v>
      </c>
      <c r="F1283">
        <v>49.080637921664099</v>
      </c>
      <c r="G1283">
        <v>29</v>
      </c>
      <c r="H1283">
        <v>24</v>
      </c>
      <c r="I1283">
        <v>47</v>
      </c>
      <c r="J1283">
        <v>1</v>
      </c>
      <c r="K1283">
        <v>0</v>
      </c>
      <c r="L1283" s="2">
        <f t="shared" si="120"/>
        <v>45292</v>
      </c>
      <c r="M1283" s="2">
        <f t="shared" ca="1" si="121"/>
        <v>45334</v>
      </c>
      <c r="N1283" s="2" t="str">
        <f t="shared" ca="1" si="122"/>
        <v>N/A</v>
      </c>
      <c r="O1283" s="3">
        <f t="shared" ca="1" si="123"/>
        <v>42</v>
      </c>
      <c r="P1283" s="3" t="str">
        <f t="shared" ca="1" si="124"/>
        <v>N/A</v>
      </c>
      <c r="Q1283" s="1" t="str">
        <f>IF(K1283=1,"Joined",IF(H1283&gt;=70,"Dropped at Offer",IF(H1283&gt;=50,"Dropped at Interview","Dropped at Screening")))</f>
        <v>Dropped at Screening</v>
      </c>
      <c r="R1283" s="1" t="str">
        <f t="shared" ca="1" si="125"/>
        <v>Feb-2024</v>
      </c>
    </row>
    <row r="1284" spans="1:18">
      <c r="A1284">
        <v>25</v>
      </c>
      <c r="B1284">
        <v>0</v>
      </c>
      <c r="C1284">
        <v>3</v>
      </c>
      <c r="D1284">
        <v>11</v>
      </c>
      <c r="E1284">
        <v>4</v>
      </c>
      <c r="F1284">
        <v>39.7540900169559</v>
      </c>
      <c r="G1284">
        <v>56</v>
      </c>
      <c r="H1284">
        <v>58</v>
      </c>
      <c r="I1284">
        <v>2</v>
      </c>
      <c r="J1284">
        <v>3</v>
      </c>
      <c r="K1284">
        <v>0</v>
      </c>
      <c r="L1284" s="2">
        <f t="shared" si="120"/>
        <v>45292</v>
      </c>
      <c r="M1284" s="2">
        <f t="shared" ca="1" si="121"/>
        <v>45327</v>
      </c>
      <c r="N1284" s="2" t="str">
        <f t="shared" ca="1" si="122"/>
        <v>N/A</v>
      </c>
      <c r="O1284" s="3">
        <f t="shared" ca="1" si="123"/>
        <v>35</v>
      </c>
      <c r="P1284" s="3" t="str">
        <f t="shared" ca="1" si="124"/>
        <v>N/A</v>
      </c>
      <c r="Q1284" s="1" t="str">
        <f>IF(K1284=1,"Joined",IF(H1284&gt;=70,"Dropped at Offer",IF(H1284&gt;=50,"Dropped at Interview","Dropped at Screening")))</f>
        <v>Dropped at Interview</v>
      </c>
      <c r="R1284" s="1" t="str">
        <f t="shared" ca="1" si="125"/>
        <v>Feb-2024</v>
      </c>
    </row>
    <row r="1285" spans="1:18">
      <c r="A1285">
        <v>25</v>
      </c>
      <c r="B1285">
        <v>1</v>
      </c>
      <c r="C1285">
        <v>2</v>
      </c>
      <c r="D1285">
        <v>2</v>
      </c>
      <c r="E1285">
        <v>2</v>
      </c>
      <c r="F1285">
        <v>32.096836687835399</v>
      </c>
      <c r="G1285">
        <v>48</v>
      </c>
      <c r="H1285">
        <v>78</v>
      </c>
      <c r="I1285">
        <v>64</v>
      </c>
      <c r="J1285">
        <v>2</v>
      </c>
      <c r="K1285">
        <v>0</v>
      </c>
      <c r="L1285" s="2">
        <f t="shared" si="120"/>
        <v>45292</v>
      </c>
      <c r="M1285" s="2">
        <f t="shared" ca="1" si="121"/>
        <v>45328</v>
      </c>
      <c r="N1285" s="2" t="str">
        <f t="shared" ca="1" si="122"/>
        <v>N/A</v>
      </c>
      <c r="O1285" s="3">
        <f t="shared" ca="1" si="123"/>
        <v>36</v>
      </c>
      <c r="P1285" s="3" t="str">
        <f t="shared" ca="1" si="124"/>
        <v>N/A</v>
      </c>
      <c r="Q1285" s="1" t="str">
        <f>IF(K1285=1,"Joined",IF(H1285&gt;=70,"Dropped at Offer",IF(H1285&gt;=50,"Dropped at Interview","Dropped at Screening")))</f>
        <v>Dropped at Offer</v>
      </c>
      <c r="R1285" s="1" t="str">
        <f t="shared" ca="1" si="125"/>
        <v>Feb-2024</v>
      </c>
    </row>
    <row r="1286" spans="1:18">
      <c r="A1286">
        <v>42</v>
      </c>
      <c r="B1286">
        <v>0</v>
      </c>
      <c r="C1286">
        <v>2</v>
      </c>
      <c r="D1286">
        <v>10</v>
      </c>
      <c r="E1286">
        <v>5</v>
      </c>
      <c r="F1286">
        <v>31.339644791066799</v>
      </c>
      <c r="G1286">
        <v>47</v>
      </c>
      <c r="H1286">
        <v>85</v>
      </c>
      <c r="I1286">
        <v>72</v>
      </c>
      <c r="J1286">
        <v>2</v>
      </c>
      <c r="K1286">
        <v>0</v>
      </c>
      <c r="L1286" s="2">
        <f t="shared" si="120"/>
        <v>45292</v>
      </c>
      <c r="M1286" s="2">
        <f t="shared" ca="1" si="121"/>
        <v>45324</v>
      </c>
      <c r="N1286" s="2" t="str">
        <f t="shared" ca="1" si="122"/>
        <v>N/A</v>
      </c>
      <c r="O1286" s="3">
        <f t="shared" ca="1" si="123"/>
        <v>32</v>
      </c>
      <c r="P1286" s="3" t="str">
        <f t="shared" ca="1" si="124"/>
        <v>N/A</v>
      </c>
      <c r="Q1286" s="1" t="str">
        <f>IF(K1286=1,"Joined",IF(H1286&gt;=70,"Dropped at Offer",IF(H1286&gt;=50,"Dropped at Interview","Dropped at Screening")))</f>
        <v>Dropped at Offer</v>
      </c>
      <c r="R1286" s="1" t="str">
        <f t="shared" ca="1" si="125"/>
        <v>Feb-2024</v>
      </c>
    </row>
    <row r="1287" spans="1:18">
      <c r="A1287">
        <v>35</v>
      </c>
      <c r="B1287">
        <v>0</v>
      </c>
      <c r="C1287">
        <v>2</v>
      </c>
      <c r="D1287">
        <v>1</v>
      </c>
      <c r="E1287">
        <v>4</v>
      </c>
      <c r="F1287">
        <v>43.473495079183103</v>
      </c>
      <c r="G1287">
        <v>71</v>
      </c>
      <c r="H1287">
        <v>5</v>
      </c>
      <c r="I1287">
        <v>30</v>
      </c>
      <c r="J1287">
        <v>3</v>
      </c>
      <c r="K1287">
        <v>0</v>
      </c>
      <c r="L1287" s="2">
        <f t="shared" si="120"/>
        <v>45292</v>
      </c>
      <c r="M1287" s="2">
        <f t="shared" ca="1" si="121"/>
        <v>45328</v>
      </c>
      <c r="N1287" s="2" t="str">
        <f t="shared" ca="1" si="122"/>
        <v>N/A</v>
      </c>
      <c r="O1287" s="3">
        <f t="shared" ca="1" si="123"/>
        <v>36</v>
      </c>
      <c r="P1287" s="3" t="str">
        <f t="shared" ca="1" si="124"/>
        <v>N/A</v>
      </c>
      <c r="Q1287" s="1" t="str">
        <f>IF(K1287=1,"Joined",IF(H1287&gt;=70,"Dropped at Offer",IF(H1287&gt;=50,"Dropped at Interview","Dropped at Screening")))</f>
        <v>Dropped at Screening</v>
      </c>
      <c r="R1287" s="1" t="str">
        <f t="shared" ca="1" si="125"/>
        <v>Feb-2024</v>
      </c>
    </row>
    <row r="1288" spans="1:18">
      <c r="A1288">
        <v>23</v>
      </c>
      <c r="B1288">
        <v>0</v>
      </c>
      <c r="C1288">
        <v>3</v>
      </c>
      <c r="D1288">
        <v>15</v>
      </c>
      <c r="E1288">
        <v>3</v>
      </c>
      <c r="F1288">
        <v>28.060188288564898</v>
      </c>
      <c r="G1288">
        <v>48</v>
      </c>
      <c r="H1288">
        <v>51</v>
      </c>
      <c r="I1288">
        <v>25</v>
      </c>
      <c r="J1288">
        <v>2</v>
      </c>
      <c r="K1288">
        <v>0</v>
      </c>
      <c r="L1288" s="2">
        <f t="shared" si="120"/>
        <v>45292</v>
      </c>
      <c r="M1288" s="2">
        <f t="shared" ca="1" si="121"/>
        <v>45309</v>
      </c>
      <c r="N1288" s="2" t="str">
        <f t="shared" ca="1" si="122"/>
        <v>N/A</v>
      </c>
      <c r="O1288" s="3">
        <f t="shared" ca="1" si="123"/>
        <v>17</v>
      </c>
      <c r="P1288" s="3" t="str">
        <f t="shared" ca="1" si="124"/>
        <v>N/A</v>
      </c>
      <c r="Q1288" s="1" t="str">
        <f>IF(K1288=1,"Joined",IF(H1288&gt;=70,"Dropped at Offer",IF(H1288&gt;=50,"Dropped at Interview","Dropped at Screening")))</f>
        <v>Dropped at Interview</v>
      </c>
      <c r="R1288" s="1" t="str">
        <f t="shared" ca="1" si="125"/>
        <v>Jan-2024</v>
      </c>
    </row>
    <row r="1289" spans="1:18">
      <c r="A1289">
        <v>49</v>
      </c>
      <c r="B1289">
        <v>0</v>
      </c>
      <c r="C1289">
        <v>4</v>
      </c>
      <c r="D1289">
        <v>8</v>
      </c>
      <c r="E1289">
        <v>2</v>
      </c>
      <c r="F1289">
        <v>41.192994312441101</v>
      </c>
      <c r="G1289">
        <v>46</v>
      </c>
      <c r="H1289">
        <v>78</v>
      </c>
      <c r="I1289">
        <v>80</v>
      </c>
      <c r="J1289">
        <v>3</v>
      </c>
      <c r="K1289">
        <v>1</v>
      </c>
      <c r="L1289" s="2">
        <f t="shared" si="120"/>
        <v>45292</v>
      </c>
      <c r="M1289" s="2">
        <f t="shared" ca="1" si="121"/>
        <v>45325</v>
      </c>
      <c r="N1289" s="2">
        <f t="shared" ca="1" si="122"/>
        <v>45346</v>
      </c>
      <c r="O1289" s="3">
        <f t="shared" ca="1" si="123"/>
        <v>33</v>
      </c>
      <c r="P1289" s="3">
        <f t="shared" ca="1" si="124"/>
        <v>21</v>
      </c>
      <c r="Q1289" s="1" t="str">
        <f>IF(K1289=1,"Joined",IF(H1289&gt;=70,"Dropped at Offer",IF(H1289&gt;=50,"Dropped at Interview","Dropped at Screening")))</f>
        <v>Joined</v>
      </c>
      <c r="R1289" s="1" t="str">
        <f t="shared" ca="1" si="125"/>
        <v>Feb-2024</v>
      </c>
    </row>
    <row r="1290" spans="1:18">
      <c r="A1290">
        <v>30</v>
      </c>
      <c r="B1290">
        <v>0</v>
      </c>
      <c r="C1290">
        <v>3</v>
      </c>
      <c r="D1290">
        <v>15</v>
      </c>
      <c r="E1290">
        <v>2</v>
      </c>
      <c r="F1290">
        <v>26.444262758712199</v>
      </c>
      <c r="G1290">
        <v>55</v>
      </c>
      <c r="H1290">
        <v>87</v>
      </c>
      <c r="I1290">
        <v>55</v>
      </c>
      <c r="J1290">
        <v>1</v>
      </c>
      <c r="K1290">
        <v>1</v>
      </c>
      <c r="L1290" s="2">
        <f t="shared" si="120"/>
        <v>45292</v>
      </c>
      <c r="M1290" s="2">
        <f t="shared" ca="1" si="121"/>
        <v>45309</v>
      </c>
      <c r="N1290" s="2">
        <f t="shared" ca="1" si="122"/>
        <v>45318</v>
      </c>
      <c r="O1290" s="3">
        <f t="shared" ca="1" si="123"/>
        <v>17</v>
      </c>
      <c r="P1290" s="3">
        <f t="shared" ca="1" si="124"/>
        <v>9</v>
      </c>
      <c r="Q1290" s="1" t="str">
        <f>IF(K1290=1,"Joined",IF(H1290&gt;=70,"Dropped at Offer",IF(H1290&gt;=50,"Dropped at Interview","Dropped at Screening")))</f>
        <v>Joined</v>
      </c>
      <c r="R1290" s="1" t="str">
        <f t="shared" ca="1" si="125"/>
        <v>Jan-2024</v>
      </c>
    </row>
    <row r="1291" spans="1:18">
      <c r="A1291">
        <v>49</v>
      </c>
      <c r="B1291">
        <v>0</v>
      </c>
      <c r="C1291">
        <v>3</v>
      </c>
      <c r="D1291">
        <v>14</v>
      </c>
      <c r="E1291">
        <v>2</v>
      </c>
      <c r="F1291">
        <v>4.1222137486961996</v>
      </c>
      <c r="G1291">
        <v>64</v>
      </c>
      <c r="H1291">
        <v>20</v>
      </c>
      <c r="I1291">
        <v>33</v>
      </c>
      <c r="J1291">
        <v>2</v>
      </c>
      <c r="K1291">
        <v>0</v>
      </c>
      <c r="L1291" s="2">
        <f t="shared" si="120"/>
        <v>45292</v>
      </c>
      <c r="M1291" s="2">
        <f t="shared" ca="1" si="121"/>
        <v>45329</v>
      </c>
      <c r="N1291" s="2" t="str">
        <f t="shared" ca="1" si="122"/>
        <v>N/A</v>
      </c>
      <c r="O1291" s="3">
        <f t="shared" ca="1" si="123"/>
        <v>37</v>
      </c>
      <c r="P1291" s="3" t="str">
        <f t="shared" ca="1" si="124"/>
        <v>N/A</v>
      </c>
      <c r="Q1291" s="1" t="str">
        <f>IF(K1291=1,"Joined",IF(H1291&gt;=70,"Dropped at Offer",IF(H1291&gt;=50,"Dropped at Interview","Dropped at Screening")))</f>
        <v>Dropped at Screening</v>
      </c>
      <c r="R1291" s="1" t="str">
        <f t="shared" ca="1" si="125"/>
        <v>Feb-2024</v>
      </c>
    </row>
    <row r="1292" spans="1:18">
      <c r="A1292">
        <v>49</v>
      </c>
      <c r="B1292">
        <v>0</v>
      </c>
      <c r="C1292">
        <v>2</v>
      </c>
      <c r="D1292">
        <v>11</v>
      </c>
      <c r="E1292">
        <v>5</v>
      </c>
      <c r="F1292">
        <v>20.1973504452077</v>
      </c>
      <c r="G1292">
        <v>11</v>
      </c>
      <c r="H1292">
        <v>70</v>
      </c>
      <c r="I1292">
        <v>8</v>
      </c>
      <c r="J1292">
        <v>2</v>
      </c>
      <c r="K1292">
        <v>0</v>
      </c>
      <c r="L1292" s="2">
        <f t="shared" si="120"/>
        <v>45292</v>
      </c>
      <c r="M1292" s="2">
        <f t="shared" ca="1" si="121"/>
        <v>45306</v>
      </c>
      <c r="N1292" s="2" t="str">
        <f t="shared" ca="1" si="122"/>
        <v>N/A</v>
      </c>
      <c r="O1292" s="3">
        <f t="shared" ca="1" si="123"/>
        <v>14</v>
      </c>
      <c r="P1292" s="3" t="str">
        <f t="shared" ca="1" si="124"/>
        <v>N/A</v>
      </c>
      <c r="Q1292" s="1" t="str">
        <f>IF(K1292=1,"Joined",IF(H1292&gt;=70,"Dropped at Offer",IF(H1292&gt;=50,"Dropped at Interview","Dropped at Screening")))</f>
        <v>Dropped at Offer</v>
      </c>
      <c r="R1292" s="1" t="str">
        <f t="shared" ca="1" si="125"/>
        <v>Jan-2024</v>
      </c>
    </row>
    <row r="1293" spans="1:18">
      <c r="A1293">
        <v>49</v>
      </c>
      <c r="B1293">
        <v>1</v>
      </c>
      <c r="C1293">
        <v>3</v>
      </c>
      <c r="D1293">
        <v>0</v>
      </c>
      <c r="E1293">
        <v>1</v>
      </c>
      <c r="F1293">
        <v>23.222047883574898</v>
      </c>
      <c r="G1293">
        <v>68</v>
      </c>
      <c r="H1293">
        <v>92</v>
      </c>
      <c r="I1293">
        <v>61</v>
      </c>
      <c r="J1293">
        <v>3</v>
      </c>
      <c r="K1293">
        <v>0</v>
      </c>
      <c r="L1293" s="2">
        <f t="shared" si="120"/>
        <v>45292</v>
      </c>
      <c r="M1293" s="2">
        <f t="shared" ca="1" si="121"/>
        <v>45320</v>
      </c>
      <c r="N1293" s="2" t="str">
        <f t="shared" ca="1" si="122"/>
        <v>N/A</v>
      </c>
      <c r="O1293" s="3">
        <f t="shared" ca="1" si="123"/>
        <v>28</v>
      </c>
      <c r="P1293" s="3" t="str">
        <f t="shared" ca="1" si="124"/>
        <v>N/A</v>
      </c>
      <c r="Q1293" s="1" t="str">
        <f>IF(K1293=1,"Joined",IF(H1293&gt;=70,"Dropped at Offer",IF(H1293&gt;=50,"Dropped at Interview","Dropped at Screening")))</f>
        <v>Dropped at Offer</v>
      </c>
      <c r="R1293" s="1" t="str">
        <f t="shared" ca="1" si="125"/>
        <v>Jan-2024</v>
      </c>
    </row>
    <row r="1294" spans="1:18">
      <c r="A1294">
        <v>50</v>
      </c>
      <c r="B1294">
        <v>1</v>
      </c>
      <c r="C1294">
        <v>3</v>
      </c>
      <c r="D1294">
        <v>12</v>
      </c>
      <c r="E1294">
        <v>5</v>
      </c>
      <c r="F1294">
        <v>8.0808622493308597</v>
      </c>
      <c r="G1294">
        <v>87</v>
      </c>
      <c r="H1294">
        <v>95</v>
      </c>
      <c r="I1294">
        <v>12</v>
      </c>
      <c r="J1294">
        <v>1</v>
      </c>
      <c r="K1294">
        <v>1</v>
      </c>
      <c r="L1294" s="2">
        <f t="shared" si="120"/>
        <v>45292</v>
      </c>
      <c r="M1294" s="2">
        <f t="shared" ca="1" si="121"/>
        <v>45336</v>
      </c>
      <c r="N1294" s="2">
        <f t="shared" ca="1" si="122"/>
        <v>45359</v>
      </c>
      <c r="O1294" s="3">
        <f t="shared" ca="1" si="123"/>
        <v>44</v>
      </c>
      <c r="P1294" s="3">
        <f t="shared" ca="1" si="124"/>
        <v>23</v>
      </c>
      <c r="Q1294" s="1" t="str">
        <f>IF(K1294=1,"Joined",IF(H1294&gt;=70,"Dropped at Offer",IF(H1294&gt;=50,"Dropped at Interview","Dropped at Screening")))</f>
        <v>Joined</v>
      </c>
      <c r="R1294" s="1" t="str">
        <f t="shared" ca="1" si="125"/>
        <v>Feb-2024</v>
      </c>
    </row>
    <row r="1295" spans="1:18">
      <c r="A1295">
        <v>43</v>
      </c>
      <c r="B1295">
        <v>1</v>
      </c>
      <c r="C1295">
        <v>2</v>
      </c>
      <c r="D1295">
        <v>13</v>
      </c>
      <c r="E1295">
        <v>4</v>
      </c>
      <c r="F1295">
        <v>6.1248164594606402</v>
      </c>
      <c r="G1295">
        <v>5</v>
      </c>
      <c r="H1295">
        <v>31</v>
      </c>
      <c r="I1295">
        <v>68</v>
      </c>
      <c r="J1295">
        <v>3</v>
      </c>
      <c r="K1295">
        <v>0</v>
      </c>
      <c r="L1295" s="2">
        <f t="shared" si="120"/>
        <v>45292</v>
      </c>
      <c r="M1295" s="2">
        <f t="shared" ca="1" si="121"/>
        <v>45323</v>
      </c>
      <c r="N1295" s="2" t="str">
        <f t="shared" ca="1" si="122"/>
        <v>N/A</v>
      </c>
      <c r="O1295" s="3">
        <f t="shared" ca="1" si="123"/>
        <v>31</v>
      </c>
      <c r="P1295" s="3" t="str">
        <f t="shared" ca="1" si="124"/>
        <v>N/A</v>
      </c>
      <c r="Q1295" s="1" t="str">
        <f>IF(K1295=1,"Joined",IF(H1295&gt;=70,"Dropped at Offer",IF(H1295&gt;=50,"Dropped at Interview","Dropped at Screening")))</f>
        <v>Dropped at Screening</v>
      </c>
      <c r="R1295" s="1" t="str">
        <f t="shared" ca="1" si="125"/>
        <v>Feb-2024</v>
      </c>
    </row>
    <row r="1296" spans="1:18">
      <c r="A1296">
        <v>42</v>
      </c>
      <c r="B1296">
        <v>1</v>
      </c>
      <c r="C1296">
        <v>2</v>
      </c>
      <c r="D1296">
        <v>8</v>
      </c>
      <c r="E1296">
        <v>1</v>
      </c>
      <c r="F1296">
        <v>27.773247482847701</v>
      </c>
      <c r="G1296">
        <v>88</v>
      </c>
      <c r="H1296">
        <v>52</v>
      </c>
      <c r="I1296">
        <v>40</v>
      </c>
      <c r="J1296">
        <v>2</v>
      </c>
      <c r="K1296">
        <v>0</v>
      </c>
      <c r="L1296" s="2">
        <f t="shared" si="120"/>
        <v>45292</v>
      </c>
      <c r="M1296" s="2">
        <f t="shared" ca="1" si="121"/>
        <v>45313</v>
      </c>
      <c r="N1296" s="2" t="str">
        <f t="shared" ca="1" si="122"/>
        <v>N/A</v>
      </c>
      <c r="O1296" s="3">
        <f t="shared" ca="1" si="123"/>
        <v>21</v>
      </c>
      <c r="P1296" s="3" t="str">
        <f t="shared" ca="1" si="124"/>
        <v>N/A</v>
      </c>
      <c r="Q1296" s="1" t="str">
        <f>IF(K1296=1,"Joined",IF(H1296&gt;=70,"Dropped at Offer",IF(H1296&gt;=50,"Dropped at Interview","Dropped at Screening")))</f>
        <v>Dropped at Interview</v>
      </c>
      <c r="R1296" s="1" t="str">
        <f t="shared" ca="1" si="125"/>
        <v>Jan-2024</v>
      </c>
    </row>
    <row r="1297" spans="1:18">
      <c r="A1297">
        <v>28</v>
      </c>
      <c r="B1297">
        <v>0</v>
      </c>
      <c r="C1297">
        <v>3</v>
      </c>
      <c r="D1297">
        <v>8</v>
      </c>
      <c r="E1297">
        <v>4</v>
      </c>
      <c r="F1297">
        <v>5.2571818278041</v>
      </c>
      <c r="G1297">
        <v>64</v>
      </c>
      <c r="H1297">
        <v>58</v>
      </c>
      <c r="I1297">
        <v>76</v>
      </c>
      <c r="J1297">
        <v>3</v>
      </c>
      <c r="K1297">
        <v>1</v>
      </c>
      <c r="L1297" s="2">
        <f t="shared" si="120"/>
        <v>45292</v>
      </c>
      <c r="M1297" s="2">
        <f t="shared" ca="1" si="121"/>
        <v>45309</v>
      </c>
      <c r="N1297" s="2">
        <f t="shared" ca="1" si="122"/>
        <v>45321</v>
      </c>
      <c r="O1297" s="3">
        <f t="shared" ca="1" si="123"/>
        <v>17</v>
      </c>
      <c r="P1297" s="3">
        <f t="shared" ca="1" si="124"/>
        <v>12</v>
      </c>
      <c r="Q1297" s="1" t="str">
        <f>IF(K1297=1,"Joined",IF(H1297&gt;=70,"Dropped at Offer",IF(H1297&gt;=50,"Dropped at Interview","Dropped at Screening")))</f>
        <v>Joined</v>
      </c>
      <c r="R1297" s="1" t="str">
        <f t="shared" ca="1" si="125"/>
        <v>Jan-2024</v>
      </c>
    </row>
    <row r="1298" spans="1:18">
      <c r="A1298">
        <v>42</v>
      </c>
      <c r="B1298">
        <v>1</v>
      </c>
      <c r="C1298">
        <v>1</v>
      </c>
      <c r="D1298">
        <v>7</v>
      </c>
      <c r="E1298">
        <v>1</v>
      </c>
      <c r="F1298">
        <v>16.147258394504199</v>
      </c>
      <c r="G1298">
        <v>24</v>
      </c>
      <c r="H1298">
        <v>68</v>
      </c>
      <c r="I1298">
        <v>0</v>
      </c>
      <c r="J1298">
        <v>2</v>
      </c>
      <c r="K1298">
        <v>0</v>
      </c>
      <c r="L1298" s="2">
        <f t="shared" si="120"/>
        <v>45292</v>
      </c>
      <c r="M1298" s="2">
        <f t="shared" ca="1" si="121"/>
        <v>45329</v>
      </c>
      <c r="N1298" s="2" t="str">
        <f t="shared" ca="1" si="122"/>
        <v>N/A</v>
      </c>
      <c r="O1298" s="3">
        <f t="shared" ca="1" si="123"/>
        <v>37</v>
      </c>
      <c r="P1298" s="3" t="str">
        <f t="shared" ca="1" si="124"/>
        <v>N/A</v>
      </c>
      <c r="Q1298" s="1" t="str">
        <f>IF(K1298=1,"Joined",IF(H1298&gt;=70,"Dropped at Offer",IF(H1298&gt;=50,"Dropped at Interview","Dropped at Screening")))</f>
        <v>Dropped at Interview</v>
      </c>
      <c r="R1298" s="1" t="str">
        <f t="shared" ca="1" si="125"/>
        <v>Feb-2024</v>
      </c>
    </row>
    <row r="1299" spans="1:18">
      <c r="A1299">
        <v>22</v>
      </c>
      <c r="B1299">
        <v>1</v>
      </c>
      <c r="C1299">
        <v>3</v>
      </c>
      <c r="D1299">
        <v>7</v>
      </c>
      <c r="E1299">
        <v>5</v>
      </c>
      <c r="F1299">
        <v>38.229848798153697</v>
      </c>
      <c r="G1299">
        <v>0</v>
      </c>
      <c r="H1299">
        <v>61</v>
      </c>
      <c r="I1299">
        <v>88</v>
      </c>
      <c r="J1299">
        <v>1</v>
      </c>
      <c r="K1299">
        <v>1</v>
      </c>
      <c r="L1299" s="2">
        <f t="shared" si="120"/>
        <v>45292</v>
      </c>
      <c r="M1299" s="2">
        <f t="shared" ca="1" si="121"/>
        <v>45328</v>
      </c>
      <c r="N1299" s="2">
        <f t="shared" ca="1" si="122"/>
        <v>45358</v>
      </c>
      <c r="O1299" s="3">
        <f t="shared" ca="1" si="123"/>
        <v>36</v>
      </c>
      <c r="P1299" s="3">
        <f t="shared" ca="1" si="124"/>
        <v>30</v>
      </c>
      <c r="Q1299" s="1" t="str">
        <f>IF(K1299=1,"Joined",IF(H1299&gt;=70,"Dropped at Offer",IF(H1299&gt;=50,"Dropped at Interview","Dropped at Screening")))</f>
        <v>Joined</v>
      </c>
      <c r="R1299" s="1" t="str">
        <f t="shared" ca="1" si="125"/>
        <v>Feb-2024</v>
      </c>
    </row>
    <row r="1300" spans="1:18">
      <c r="A1300">
        <v>38</v>
      </c>
      <c r="B1300">
        <v>0</v>
      </c>
      <c r="C1300">
        <v>1</v>
      </c>
      <c r="D1300">
        <v>10</v>
      </c>
      <c r="E1300">
        <v>2</v>
      </c>
      <c r="F1300">
        <v>49.221608978398997</v>
      </c>
      <c r="G1300">
        <v>31</v>
      </c>
      <c r="H1300">
        <v>3</v>
      </c>
      <c r="I1300">
        <v>46</v>
      </c>
      <c r="J1300">
        <v>3</v>
      </c>
      <c r="K1300">
        <v>0</v>
      </c>
      <c r="L1300" s="2">
        <f t="shared" si="120"/>
        <v>45292</v>
      </c>
      <c r="M1300" s="2">
        <f t="shared" ca="1" si="121"/>
        <v>45309</v>
      </c>
      <c r="N1300" s="2" t="str">
        <f t="shared" ca="1" si="122"/>
        <v>N/A</v>
      </c>
      <c r="O1300" s="3">
        <f t="shared" ca="1" si="123"/>
        <v>17</v>
      </c>
      <c r="P1300" s="3" t="str">
        <f t="shared" ca="1" si="124"/>
        <v>N/A</v>
      </c>
      <c r="Q1300" s="1" t="str">
        <f>IF(K1300=1,"Joined",IF(H1300&gt;=70,"Dropped at Offer",IF(H1300&gt;=50,"Dropped at Interview","Dropped at Screening")))</f>
        <v>Dropped at Screening</v>
      </c>
      <c r="R1300" s="1" t="str">
        <f t="shared" ca="1" si="125"/>
        <v>Jan-2024</v>
      </c>
    </row>
    <row r="1301" spans="1:18">
      <c r="A1301">
        <v>50</v>
      </c>
      <c r="B1301">
        <v>0</v>
      </c>
      <c r="C1301">
        <v>2</v>
      </c>
      <c r="D1301">
        <v>13</v>
      </c>
      <c r="E1301">
        <v>3</v>
      </c>
      <c r="F1301">
        <v>36.893529027596401</v>
      </c>
      <c r="G1301">
        <v>2</v>
      </c>
      <c r="H1301">
        <v>85</v>
      </c>
      <c r="I1301">
        <v>3</v>
      </c>
      <c r="J1301">
        <v>3</v>
      </c>
      <c r="K1301">
        <v>0</v>
      </c>
      <c r="L1301" s="2">
        <f t="shared" si="120"/>
        <v>45292</v>
      </c>
      <c r="M1301" s="2">
        <f t="shared" ca="1" si="121"/>
        <v>45313</v>
      </c>
      <c r="N1301" s="2" t="str">
        <f t="shared" ca="1" si="122"/>
        <v>N/A</v>
      </c>
      <c r="O1301" s="3">
        <f t="shared" ca="1" si="123"/>
        <v>21</v>
      </c>
      <c r="P1301" s="3" t="str">
        <f t="shared" ca="1" si="124"/>
        <v>N/A</v>
      </c>
      <c r="Q1301" s="1" t="str">
        <f>IF(K1301=1,"Joined",IF(H1301&gt;=70,"Dropped at Offer",IF(H1301&gt;=50,"Dropped at Interview","Dropped at Screening")))</f>
        <v>Dropped at Offer</v>
      </c>
      <c r="R1301" s="1" t="str">
        <f t="shared" ca="1" si="125"/>
        <v>Jan-2024</v>
      </c>
    </row>
    <row r="1302" spans="1:18">
      <c r="A1302">
        <v>27</v>
      </c>
      <c r="B1302">
        <v>1</v>
      </c>
      <c r="C1302">
        <v>3</v>
      </c>
      <c r="D1302">
        <v>11</v>
      </c>
      <c r="E1302">
        <v>2</v>
      </c>
      <c r="F1302">
        <v>50.6312774226435</v>
      </c>
      <c r="G1302">
        <v>48</v>
      </c>
      <c r="H1302">
        <v>17</v>
      </c>
      <c r="I1302">
        <v>99</v>
      </c>
      <c r="J1302">
        <v>2</v>
      </c>
      <c r="K1302">
        <v>0</v>
      </c>
      <c r="L1302" s="2">
        <f t="shared" si="120"/>
        <v>45292</v>
      </c>
      <c r="M1302" s="2">
        <f t="shared" ca="1" si="121"/>
        <v>45307</v>
      </c>
      <c r="N1302" s="2" t="str">
        <f t="shared" ca="1" si="122"/>
        <v>N/A</v>
      </c>
      <c r="O1302" s="3">
        <f t="shared" ca="1" si="123"/>
        <v>15</v>
      </c>
      <c r="P1302" s="3" t="str">
        <f t="shared" ca="1" si="124"/>
        <v>N/A</v>
      </c>
      <c r="Q1302" s="1" t="str">
        <f>IF(K1302=1,"Joined",IF(H1302&gt;=70,"Dropped at Offer",IF(H1302&gt;=50,"Dropped at Interview","Dropped at Screening")))</f>
        <v>Dropped at Screening</v>
      </c>
      <c r="R1302" s="1" t="str">
        <f t="shared" ca="1" si="125"/>
        <v>Jan-2024</v>
      </c>
    </row>
    <row r="1303" spans="1:18">
      <c r="A1303">
        <v>24</v>
      </c>
      <c r="B1303">
        <v>1</v>
      </c>
      <c r="C1303">
        <v>2</v>
      </c>
      <c r="D1303">
        <v>0</v>
      </c>
      <c r="E1303">
        <v>5</v>
      </c>
      <c r="F1303">
        <v>35.916898563970101</v>
      </c>
      <c r="G1303">
        <v>18</v>
      </c>
      <c r="H1303">
        <v>98</v>
      </c>
      <c r="I1303">
        <v>62</v>
      </c>
      <c r="J1303">
        <v>1</v>
      </c>
      <c r="K1303">
        <v>1</v>
      </c>
      <c r="L1303" s="2">
        <f t="shared" si="120"/>
        <v>45292</v>
      </c>
      <c r="M1303" s="2">
        <f t="shared" ca="1" si="121"/>
        <v>45313</v>
      </c>
      <c r="N1303" s="2">
        <f t="shared" ca="1" si="122"/>
        <v>45338</v>
      </c>
      <c r="O1303" s="3">
        <f t="shared" ca="1" si="123"/>
        <v>21</v>
      </c>
      <c r="P1303" s="3">
        <f t="shared" ca="1" si="124"/>
        <v>25</v>
      </c>
      <c r="Q1303" s="1" t="str">
        <f>IF(K1303=1,"Joined",IF(H1303&gt;=70,"Dropped at Offer",IF(H1303&gt;=50,"Dropped at Interview","Dropped at Screening")))</f>
        <v>Joined</v>
      </c>
      <c r="R1303" s="1" t="str">
        <f t="shared" ca="1" si="125"/>
        <v>Jan-2024</v>
      </c>
    </row>
    <row r="1304" spans="1:18">
      <c r="A1304">
        <v>23</v>
      </c>
      <c r="B1304">
        <v>0</v>
      </c>
      <c r="C1304">
        <v>2</v>
      </c>
      <c r="D1304">
        <v>10</v>
      </c>
      <c r="E1304">
        <v>1</v>
      </c>
      <c r="F1304">
        <v>15.6897235327163</v>
      </c>
      <c r="G1304">
        <v>59</v>
      </c>
      <c r="H1304">
        <v>80</v>
      </c>
      <c r="I1304">
        <v>51</v>
      </c>
      <c r="J1304">
        <v>1</v>
      </c>
      <c r="K1304">
        <v>1</v>
      </c>
      <c r="L1304" s="2">
        <f t="shared" si="120"/>
        <v>45292</v>
      </c>
      <c r="M1304" s="2">
        <f t="shared" ca="1" si="121"/>
        <v>45328</v>
      </c>
      <c r="N1304" s="2">
        <f t="shared" ca="1" si="122"/>
        <v>45350</v>
      </c>
      <c r="O1304" s="3">
        <f t="shared" ca="1" si="123"/>
        <v>36</v>
      </c>
      <c r="P1304" s="3">
        <f t="shared" ca="1" si="124"/>
        <v>22</v>
      </c>
      <c r="Q1304" s="1" t="str">
        <f>IF(K1304=1,"Joined",IF(H1304&gt;=70,"Dropped at Offer",IF(H1304&gt;=50,"Dropped at Interview","Dropped at Screening")))</f>
        <v>Joined</v>
      </c>
      <c r="R1304" s="1" t="str">
        <f t="shared" ca="1" si="125"/>
        <v>Feb-2024</v>
      </c>
    </row>
    <row r="1305" spans="1:18">
      <c r="A1305">
        <v>43</v>
      </c>
      <c r="B1305">
        <v>1</v>
      </c>
      <c r="C1305">
        <v>2</v>
      </c>
      <c r="D1305">
        <v>7</v>
      </c>
      <c r="E1305">
        <v>2</v>
      </c>
      <c r="F1305">
        <v>34.602627025267999</v>
      </c>
      <c r="G1305">
        <v>28</v>
      </c>
      <c r="H1305">
        <v>55</v>
      </c>
      <c r="I1305">
        <v>9</v>
      </c>
      <c r="J1305">
        <v>2</v>
      </c>
      <c r="K1305">
        <v>0</v>
      </c>
      <c r="L1305" s="2">
        <f t="shared" si="120"/>
        <v>45292</v>
      </c>
      <c r="M1305" s="2">
        <f t="shared" ca="1" si="121"/>
        <v>45332</v>
      </c>
      <c r="N1305" s="2" t="str">
        <f t="shared" ca="1" si="122"/>
        <v>N/A</v>
      </c>
      <c r="O1305" s="3">
        <f t="shared" ca="1" si="123"/>
        <v>40</v>
      </c>
      <c r="P1305" s="3" t="str">
        <f t="shared" ca="1" si="124"/>
        <v>N/A</v>
      </c>
      <c r="Q1305" s="1" t="str">
        <f>IF(K1305=1,"Joined",IF(H1305&gt;=70,"Dropped at Offer",IF(H1305&gt;=50,"Dropped at Interview","Dropped at Screening")))</f>
        <v>Dropped at Interview</v>
      </c>
      <c r="R1305" s="1" t="str">
        <f t="shared" ca="1" si="125"/>
        <v>Feb-2024</v>
      </c>
    </row>
    <row r="1306" spans="1:18">
      <c r="A1306">
        <v>50</v>
      </c>
      <c r="B1306">
        <v>0</v>
      </c>
      <c r="C1306">
        <v>3</v>
      </c>
      <c r="D1306">
        <v>9</v>
      </c>
      <c r="E1306">
        <v>5</v>
      </c>
      <c r="F1306">
        <v>36.107838259845103</v>
      </c>
      <c r="G1306">
        <v>49</v>
      </c>
      <c r="H1306">
        <v>23</v>
      </c>
      <c r="I1306">
        <v>27</v>
      </c>
      <c r="J1306">
        <v>1</v>
      </c>
      <c r="K1306">
        <v>1</v>
      </c>
      <c r="L1306" s="2">
        <f t="shared" si="120"/>
        <v>45292</v>
      </c>
      <c r="M1306" s="2">
        <f t="shared" ca="1" si="121"/>
        <v>45320</v>
      </c>
      <c r="N1306" s="2">
        <f t="shared" ca="1" si="122"/>
        <v>45332</v>
      </c>
      <c r="O1306" s="3">
        <f t="shared" ca="1" si="123"/>
        <v>28</v>
      </c>
      <c r="P1306" s="3">
        <f t="shared" ca="1" si="124"/>
        <v>12</v>
      </c>
      <c r="Q1306" s="1" t="str">
        <f>IF(K1306=1,"Joined",IF(H1306&gt;=70,"Dropped at Offer",IF(H1306&gt;=50,"Dropped at Interview","Dropped at Screening")))</f>
        <v>Joined</v>
      </c>
      <c r="R1306" s="1" t="str">
        <f t="shared" ca="1" si="125"/>
        <v>Jan-2024</v>
      </c>
    </row>
    <row r="1307" spans="1:18">
      <c r="A1307">
        <v>25</v>
      </c>
      <c r="B1307">
        <v>0</v>
      </c>
      <c r="C1307">
        <v>1</v>
      </c>
      <c r="D1307">
        <v>13</v>
      </c>
      <c r="E1307">
        <v>4</v>
      </c>
      <c r="F1307">
        <v>19.586349230823</v>
      </c>
      <c r="G1307">
        <v>1</v>
      </c>
      <c r="H1307">
        <v>65</v>
      </c>
      <c r="I1307">
        <v>5</v>
      </c>
      <c r="J1307">
        <v>2</v>
      </c>
      <c r="K1307">
        <v>0</v>
      </c>
      <c r="L1307" s="2">
        <f t="shared" si="120"/>
        <v>45292</v>
      </c>
      <c r="M1307" s="2">
        <f t="shared" ca="1" si="121"/>
        <v>45309</v>
      </c>
      <c r="N1307" s="2" t="str">
        <f t="shared" ca="1" si="122"/>
        <v>N/A</v>
      </c>
      <c r="O1307" s="3">
        <f t="shared" ca="1" si="123"/>
        <v>17</v>
      </c>
      <c r="P1307" s="3" t="str">
        <f t="shared" ca="1" si="124"/>
        <v>N/A</v>
      </c>
      <c r="Q1307" s="1" t="str">
        <f>IF(K1307=1,"Joined",IF(H1307&gt;=70,"Dropped at Offer",IF(H1307&gt;=50,"Dropped at Interview","Dropped at Screening")))</f>
        <v>Dropped at Interview</v>
      </c>
      <c r="R1307" s="1" t="str">
        <f t="shared" ca="1" si="125"/>
        <v>Jan-2024</v>
      </c>
    </row>
    <row r="1308" spans="1:18">
      <c r="A1308">
        <v>21</v>
      </c>
      <c r="B1308">
        <v>0</v>
      </c>
      <c r="C1308">
        <v>4</v>
      </c>
      <c r="D1308">
        <v>2</v>
      </c>
      <c r="E1308">
        <v>3</v>
      </c>
      <c r="F1308">
        <v>1.8856925304694501</v>
      </c>
      <c r="G1308">
        <v>72</v>
      </c>
      <c r="H1308">
        <v>12</v>
      </c>
      <c r="I1308">
        <v>26</v>
      </c>
      <c r="J1308">
        <v>2</v>
      </c>
      <c r="K1308">
        <v>0</v>
      </c>
      <c r="L1308" s="2">
        <f t="shared" si="120"/>
        <v>45292</v>
      </c>
      <c r="M1308" s="2">
        <f t="shared" ca="1" si="121"/>
        <v>45310</v>
      </c>
      <c r="N1308" s="2" t="str">
        <f t="shared" ca="1" si="122"/>
        <v>N/A</v>
      </c>
      <c r="O1308" s="3">
        <f t="shared" ca="1" si="123"/>
        <v>18</v>
      </c>
      <c r="P1308" s="3" t="str">
        <f t="shared" ca="1" si="124"/>
        <v>N/A</v>
      </c>
      <c r="Q1308" s="1" t="str">
        <f>IF(K1308=1,"Joined",IF(H1308&gt;=70,"Dropped at Offer",IF(H1308&gt;=50,"Dropped at Interview","Dropped at Screening")))</f>
        <v>Dropped at Screening</v>
      </c>
      <c r="R1308" s="1" t="str">
        <f t="shared" ca="1" si="125"/>
        <v>Jan-2024</v>
      </c>
    </row>
    <row r="1309" spans="1:18">
      <c r="A1309">
        <v>39</v>
      </c>
      <c r="B1309">
        <v>0</v>
      </c>
      <c r="C1309">
        <v>1</v>
      </c>
      <c r="D1309">
        <v>10</v>
      </c>
      <c r="E1309">
        <v>2</v>
      </c>
      <c r="F1309">
        <v>36.159989238774301</v>
      </c>
      <c r="G1309">
        <v>55</v>
      </c>
      <c r="H1309">
        <v>61</v>
      </c>
      <c r="I1309">
        <v>11</v>
      </c>
      <c r="J1309">
        <v>2</v>
      </c>
      <c r="K1309">
        <v>0</v>
      </c>
      <c r="L1309" s="2">
        <f t="shared" si="120"/>
        <v>45292</v>
      </c>
      <c r="M1309" s="2">
        <f t="shared" ca="1" si="121"/>
        <v>45324</v>
      </c>
      <c r="N1309" s="2" t="str">
        <f t="shared" ca="1" si="122"/>
        <v>N/A</v>
      </c>
      <c r="O1309" s="3">
        <f t="shared" ca="1" si="123"/>
        <v>32</v>
      </c>
      <c r="P1309" s="3" t="str">
        <f t="shared" ca="1" si="124"/>
        <v>N/A</v>
      </c>
      <c r="Q1309" s="1" t="str">
        <f>IF(K1309=1,"Joined",IF(H1309&gt;=70,"Dropped at Offer",IF(H1309&gt;=50,"Dropped at Interview","Dropped at Screening")))</f>
        <v>Dropped at Interview</v>
      </c>
      <c r="R1309" s="1" t="str">
        <f t="shared" ca="1" si="125"/>
        <v>Feb-2024</v>
      </c>
    </row>
    <row r="1310" spans="1:18">
      <c r="A1310">
        <v>47</v>
      </c>
      <c r="B1310">
        <v>1</v>
      </c>
      <c r="C1310">
        <v>4</v>
      </c>
      <c r="D1310">
        <v>6</v>
      </c>
      <c r="E1310">
        <v>1</v>
      </c>
      <c r="F1310">
        <v>2.0850047637770799</v>
      </c>
      <c r="G1310">
        <v>16</v>
      </c>
      <c r="H1310">
        <v>53</v>
      </c>
      <c r="I1310">
        <v>61</v>
      </c>
      <c r="J1310">
        <v>1</v>
      </c>
      <c r="K1310">
        <v>1</v>
      </c>
      <c r="L1310" s="2">
        <f t="shared" si="120"/>
        <v>45292</v>
      </c>
      <c r="M1310" s="2">
        <f t="shared" ca="1" si="121"/>
        <v>45324</v>
      </c>
      <c r="N1310" s="2">
        <f t="shared" ca="1" si="122"/>
        <v>45343</v>
      </c>
      <c r="O1310" s="3">
        <f t="shared" ca="1" si="123"/>
        <v>32</v>
      </c>
      <c r="P1310" s="3">
        <f t="shared" ca="1" si="124"/>
        <v>19</v>
      </c>
      <c r="Q1310" s="1" t="str">
        <f>IF(K1310=1,"Joined",IF(H1310&gt;=70,"Dropped at Offer",IF(H1310&gt;=50,"Dropped at Interview","Dropped at Screening")))</f>
        <v>Joined</v>
      </c>
      <c r="R1310" s="1" t="str">
        <f t="shared" ca="1" si="125"/>
        <v>Feb-2024</v>
      </c>
    </row>
    <row r="1311" spans="1:18">
      <c r="A1311">
        <v>30</v>
      </c>
      <c r="B1311">
        <v>0</v>
      </c>
      <c r="C1311">
        <v>4</v>
      </c>
      <c r="D1311">
        <v>10</v>
      </c>
      <c r="E1311">
        <v>4</v>
      </c>
      <c r="F1311">
        <v>32.559403903003499</v>
      </c>
      <c r="G1311">
        <v>59</v>
      </c>
      <c r="H1311">
        <v>14</v>
      </c>
      <c r="I1311">
        <v>51</v>
      </c>
      <c r="J1311">
        <v>2</v>
      </c>
      <c r="K1311">
        <v>0</v>
      </c>
      <c r="L1311" s="2">
        <f t="shared" si="120"/>
        <v>45292</v>
      </c>
      <c r="M1311" s="2">
        <f t="shared" ca="1" si="121"/>
        <v>45309</v>
      </c>
      <c r="N1311" s="2" t="str">
        <f t="shared" ca="1" si="122"/>
        <v>N/A</v>
      </c>
      <c r="O1311" s="3">
        <f t="shared" ca="1" si="123"/>
        <v>17</v>
      </c>
      <c r="P1311" s="3" t="str">
        <f t="shared" ca="1" si="124"/>
        <v>N/A</v>
      </c>
      <c r="Q1311" s="1" t="str">
        <f>IF(K1311=1,"Joined",IF(H1311&gt;=70,"Dropped at Offer",IF(H1311&gt;=50,"Dropped at Interview","Dropped at Screening")))</f>
        <v>Dropped at Screening</v>
      </c>
      <c r="R1311" s="1" t="str">
        <f t="shared" ca="1" si="125"/>
        <v>Jan-2024</v>
      </c>
    </row>
    <row r="1312" spans="1:18">
      <c r="A1312">
        <v>23</v>
      </c>
      <c r="B1312">
        <v>0</v>
      </c>
      <c r="C1312">
        <v>2</v>
      </c>
      <c r="D1312">
        <v>14</v>
      </c>
      <c r="E1312">
        <v>5</v>
      </c>
      <c r="F1312">
        <v>9.1808244371277503</v>
      </c>
      <c r="G1312">
        <v>35</v>
      </c>
      <c r="H1312">
        <v>68</v>
      </c>
      <c r="I1312">
        <v>47</v>
      </c>
      <c r="J1312">
        <v>2</v>
      </c>
      <c r="K1312">
        <v>0</v>
      </c>
      <c r="L1312" s="2">
        <f t="shared" si="120"/>
        <v>45292</v>
      </c>
      <c r="M1312" s="2">
        <f t="shared" ca="1" si="121"/>
        <v>45314</v>
      </c>
      <c r="N1312" s="2" t="str">
        <f t="shared" ca="1" si="122"/>
        <v>N/A</v>
      </c>
      <c r="O1312" s="3">
        <f t="shared" ca="1" si="123"/>
        <v>22</v>
      </c>
      <c r="P1312" s="3" t="str">
        <f t="shared" ca="1" si="124"/>
        <v>N/A</v>
      </c>
      <c r="Q1312" s="1" t="str">
        <f>IF(K1312=1,"Joined",IF(H1312&gt;=70,"Dropped at Offer",IF(H1312&gt;=50,"Dropped at Interview","Dropped at Screening")))</f>
        <v>Dropped at Interview</v>
      </c>
      <c r="R1312" s="1" t="str">
        <f t="shared" ca="1" si="125"/>
        <v>Jan-2024</v>
      </c>
    </row>
    <row r="1313" spans="1:18">
      <c r="A1313">
        <v>34</v>
      </c>
      <c r="B1313">
        <v>1</v>
      </c>
      <c r="C1313">
        <v>2</v>
      </c>
      <c r="D1313">
        <v>0</v>
      </c>
      <c r="E1313">
        <v>3</v>
      </c>
      <c r="F1313">
        <v>29.280176387402101</v>
      </c>
      <c r="G1313">
        <v>60</v>
      </c>
      <c r="H1313">
        <v>2</v>
      </c>
      <c r="I1313">
        <v>66</v>
      </c>
      <c r="J1313">
        <v>2</v>
      </c>
      <c r="K1313">
        <v>0</v>
      </c>
      <c r="L1313" s="2">
        <f t="shared" si="120"/>
        <v>45292</v>
      </c>
      <c r="M1313" s="2">
        <f t="shared" ca="1" si="121"/>
        <v>45312</v>
      </c>
      <c r="N1313" s="2" t="str">
        <f t="shared" ca="1" si="122"/>
        <v>N/A</v>
      </c>
      <c r="O1313" s="3">
        <f t="shared" ca="1" si="123"/>
        <v>20</v>
      </c>
      <c r="P1313" s="3" t="str">
        <f t="shared" ca="1" si="124"/>
        <v>N/A</v>
      </c>
      <c r="Q1313" s="1" t="str">
        <f>IF(K1313=1,"Joined",IF(H1313&gt;=70,"Dropped at Offer",IF(H1313&gt;=50,"Dropped at Interview","Dropped at Screening")))</f>
        <v>Dropped at Screening</v>
      </c>
      <c r="R1313" s="1" t="str">
        <f t="shared" ca="1" si="125"/>
        <v>Jan-2024</v>
      </c>
    </row>
    <row r="1314" spans="1:18">
      <c r="A1314">
        <v>25</v>
      </c>
      <c r="B1314">
        <v>0</v>
      </c>
      <c r="C1314">
        <v>2</v>
      </c>
      <c r="D1314">
        <v>0</v>
      </c>
      <c r="E1314">
        <v>1</v>
      </c>
      <c r="F1314">
        <v>26.195651269030002</v>
      </c>
      <c r="G1314">
        <v>16</v>
      </c>
      <c r="H1314">
        <v>36</v>
      </c>
      <c r="I1314">
        <v>45</v>
      </c>
      <c r="J1314">
        <v>2</v>
      </c>
      <c r="K1314">
        <v>0</v>
      </c>
      <c r="L1314" s="2">
        <f t="shared" si="120"/>
        <v>45292</v>
      </c>
      <c r="M1314" s="2">
        <f t="shared" ca="1" si="121"/>
        <v>45327</v>
      </c>
      <c r="N1314" s="2" t="str">
        <f t="shared" ca="1" si="122"/>
        <v>N/A</v>
      </c>
      <c r="O1314" s="3">
        <f t="shared" ca="1" si="123"/>
        <v>35</v>
      </c>
      <c r="P1314" s="3" t="str">
        <f t="shared" ca="1" si="124"/>
        <v>N/A</v>
      </c>
      <c r="Q1314" s="1" t="str">
        <f>IF(K1314=1,"Joined",IF(H1314&gt;=70,"Dropped at Offer",IF(H1314&gt;=50,"Dropped at Interview","Dropped at Screening")))</f>
        <v>Dropped at Screening</v>
      </c>
      <c r="R1314" s="1" t="str">
        <f t="shared" ca="1" si="125"/>
        <v>Feb-2024</v>
      </c>
    </row>
    <row r="1315" spans="1:18">
      <c r="A1315">
        <v>41</v>
      </c>
      <c r="B1315">
        <v>1</v>
      </c>
      <c r="C1315">
        <v>2</v>
      </c>
      <c r="D1315">
        <v>15</v>
      </c>
      <c r="E1315">
        <v>5</v>
      </c>
      <c r="F1315">
        <v>1.6756821153091199</v>
      </c>
      <c r="G1315">
        <v>48</v>
      </c>
      <c r="H1315">
        <v>36</v>
      </c>
      <c r="I1315">
        <v>96</v>
      </c>
      <c r="J1315">
        <v>2</v>
      </c>
      <c r="K1315">
        <v>0</v>
      </c>
      <c r="L1315" s="2">
        <f t="shared" si="120"/>
        <v>45292</v>
      </c>
      <c r="M1315" s="2">
        <f t="shared" ca="1" si="121"/>
        <v>45332</v>
      </c>
      <c r="N1315" s="2" t="str">
        <f t="shared" ca="1" si="122"/>
        <v>N/A</v>
      </c>
      <c r="O1315" s="3">
        <f t="shared" ca="1" si="123"/>
        <v>40</v>
      </c>
      <c r="P1315" s="3" t="str">
        <f t="shared" ca="1" si="124"/>
        <v>N/A</v>
      </c>
      <c r="Q1315" s="1" t="str">
        <f>IF(K1315=1,"Joined",IF(H1315&gt;=70,"Dropped at Offer",IF(H1315&gt;=50,"Dropped at Interview","Dropped at Screening")))</f>
        <v>Dropped at Screening</v>
      </c>
      <c r="R1315" s="1" t="str">
        <f t="shared" ca="1" si="125"/>
        <v>Feb-2024</v>
      </c>
    </row>
    <row r="1316" spans="1:18">
      <c r="A1316">
        <v>36</v>
      </c>
      <c r="B1316">
        <v>1</v>
      </c>
      <c r="C1316">
        <v>1</v>
      </c>
      <c r="D1316">
        <v>9</v>
      </c>
      <c r="E1316">
        <v>5</v>
      </c>
      <c r="F1316">
        <v>19.1432908497551</v>
      </c>
      <c r="G1316">
        <v>75</v>
      </c>
      <c r="H1316">
        <v>100</v>
      </c>
      <c r="I1316">
        <v>73</v>
      </c>
      <c r="J1316">
        <v>2</v>
      </c>
      <c r="K1316">
        <v>1</v>
      </c>
      <c r="L1316" s="2">
        <f t="shared" si="120"/>
        <v>45292</v>
      </c>
      <c r="M1316" s="2">
        <f t="shared" ca="1" si="121"/>
        <v>45329</v>
      </c>
      <c r="N1316" s="2">
        <f t="shared" ca="1" si="122"/>
        <v>45343</v>
      </c>
      <c r="O1316" s="3">
        <f t="shared" ca="1" si="123"/>
        <v>37</v>
      </c>
      <c r="P1316" s="3">
        <f t="shared" ca="1" si="124"/>
        <v>14</v>
      </c>
      <c r="Q1316" s="1" t="str">
        <f>IF(K1316=1,"Joined",IF(H1316&gt;=70,"Dropped at Offer",IF(H1316&gt;=50,"Dropped at Interview","Dropped at Screening")))</f>
        <v>Joined</v>
      </c>
      <c r="R1316" s="1" t="str">
        <f t="shared" ca="1" si="125"/>
        <v>Feb-2024</v>
      </c>
    </row>
    <row r="1317" spans="1:18">
      <c r="A1317">
        <v>49</v>
      </c>
      <c r="B1317">
        <v>1</v>
      </c>
      <c r="C1317">
        <v>1</v>
      </c>
      <c r="D1317">
        <v>12</v>
      </c>
      <c r="E1317">
        <v>2</v>
      </c>
      <c r="F1317">
        <v>31.054558369815101</v>
      </c>
      <c r="G1317">
        <v>59</v>
      </c>
      <c r="H1317">
        <v>2</v>
      </c>
      <c r="I1317">
        <v>94</v>
      </c>
      <c r="J1317">
        <v>3</v>
      </c>
      <c r="K1317">
        <v>0</v>
      </c>
      <c r="L1317" s="2">
        <f t="shared" si="120"/>
        <v>45292</v>
      </c>
      <c r="M1317" s="2">
        <f t="shared" ca="1" si="121"/>
        <v>45325</v>
      </c>
      <c r="N1317" s="2" t="str">
        <f t="shared" ca="1" si="122"/>
        <v>N/A</v>
      </c>
      <c r="O1317" s="3">
        <f t="shared" ca="1" si="123"/>
        <v>33</v>
      </c>
      <c r="P1317" s="3" t="str">
        <f t="shared" ca="1" si="124"/>
        <v>N/A</v>
      </c>
      <c r="Q1317" s="1" t="str">
        <f>IF(K1317=1,"Joined",IF(H1317&gt;=70,"Dropped at Offer",IF(H1317&gt;=50,"Dropped at Interview","Dropped at Screening")))</f>
        <v>Dropped at Screening</v>
      </c>
      <c r="R1317" s="1" t="str">
        <f t="shared" ca="1" si="125"/>
        <v>Feb-2024</v>
      </c>
    </row>
    <row r="1318" spans="1:18">
      <c r="A1318">
        <v>43</v>
      </c>
      <c r="B1318">
        <v>0</v>
      </c>
      <c r="C1318">
        <v>1</v>
      </c>
      <c r="D1318">
        <v>4</v>
      </c>
      <c r="E1318">
        <v>2</v>
      </c>
      <c r="F1318">
        <v>43.430327594938902</v>
      </c>
      <c r="G1318">
        <v>19</v>
      </c>
      <c r="H1318">
        <v>62</v>
      </c>
      <c r="I1318">
        <v>14</v>
      </c>
      <c r="J1318">
        <v>2</v>
      </c>
      <c r="K1318">
        <v>0</v>
      </c>
      <c r="L1318" s="2">
        <f t="shared" si="120"/>
        <v>45292</v>
      </c>
      <c r="M1318" s="2">
        <f t="shared" ca="1" si="121"/>
        <v>45326</v>
      </c>
      <c r="N1318" s="2" t="str">
        <f t="shared" ca="1" si="122"/>
        <v>N/A</v>
      </c>
      <c r="O1318" s="3">
        <f t="shared" ca="1" si="123"/>
        <v>34</v>
      </c>
      <c r="P1318" s="3" t="str">
        <f t="shared" ca="1" si="124"/>
        <v>N/A</v>
      </c>
      <c r="Q1318" s="1" t="str">
        <f>IF(K1318=1,"Joined",IF(H1318&gt;=70,"Dropped at Offer",IF(H1318&gt;=50,"Dropped at Interview","Dropped at Screening")))</f>
        <v>Dropped at Interview</v>
      </c>
      <c r="R1318" s="1" t="str">
        <f t="shared" ca="1" si="125"/>
        <v>Feb-2024</v>
      </c>
    </row>
    <row r="1319" spans="1:18">
      <c r="A1319">
        <v>25</v>
      </c>
      <c r="B1319">
        <v>1</v>
      </c>
      <c r="C1319">
        <v>2</v>
      </c>
      <c r="D1319">
        <v>4</v>
      </c>
      <c r="E1319">
        <v>1</v>
      </c>
      <c r="F1319">
        <v>45.432105691825797</v>
      </c>
      <c r="G1319">
        <v>49</v>
      </c>
      <c r="H1319">
        <v>34</v>
      </c>
      <c r="I1319">
        <v>70</v>
      </c>
      <c r="J1319">
        <v>3</v>
      </c>
      <c r="K1319">
        <v>0</v>
      </c>
      <c r="L1319" s="2">
        <f t="shared" si="120"/>
        <v>45292</v>
      </c>
      <c r="M1319" s="2">
        <f t="shared" ca="1" si="121"/>
        <v>45330</v>
      </c>
      <c r="N1319" s="2" t="str">
        <f t="shared" ca="1" si="122"/>
        <v>N/A</v>
      </c>
      <c r="O1319" s="3">
        <f t="shared" ca="1" si="123"/>
        <v>38</v>
      </c>
      <c r="P1319" s="3" t="str">
        <f t="shared" ca="1" si="124"/>
        <v>N/A</v>
      </c>
      <c r="Q1319" s="1" t="str">
        <f>IF(K1319=1,"Joined",IF(H1319&gt;=70,"Dropped at Offer",IF(H1319&gt;=50,"Dropped at Interview","Dropped at Screening")))</f>
        <v>Dropped at Screening</v>
      </c>
      <c r="R1319" s="1" t="str">
        <f t="shared" ca="1" si="125"/>
        <v>Feb-2024</v>
      </c>
    </row>
    <row r="1320" spans="1:18">
      <c r="A1320">
        <v>38</v>
      </c>
      <c r="B1320">
        <v>1</v>
      </c>
      <c r="C1320">
        <v>2</v>
      </c>
      <c r="D1320">
        <v>7</v>
      </c>
      <c r="E1320">
        <v>5</v>
      </c>
      <c r="F1320">
        <v>25.192498501661099</v>
      </c>
      <c r="G1320">
        <v>2</v>
      </c>
      <c r="H1320">
        <v>51</v>
      </c>
      <c r="I1320">
        <v>35</v>
      </c>
      <c r="J1320">
        <v>2</v>
      </c>
      <c r="K1320">
        <v>0</v>
      </c>
      <c r="L1320" s="2">
        <f t="shared" si="120"/>
        <v>45292</v>
      </c>
      <c r="M1320" s="2">
        <f t="shared" ca="1" si="121"/>
        <v>45315</v>
      </c>
      <c r="N1320" s="2" t="str">
        <f t="shared" ca="1" si="122"/>
        <v>N/A</v>
      </c>
      <c r="O1320" s="3">
        <f t="shared" ca="1" si="123"/>
        <v>23</v>
      </c>
      <c r="P1320" s="3" t="str">
        <f t="shared" ca="1" si="124"/>
        <v>N/A</v>
      </c>
      <c r="Q1320" s="1" t="str">
        <f>IF(K1320=1,"Joined",IF(H1320&gt;=70,"Dropped at Offer",IF(H1320&gt;=50,"Dropped at Interview","Dropped at Screening")))</f>
        <v>Dropped at Interview</v>
      </c>
      <c r="R1320" s="1" t="str">
        <f t="shared" ca="1" si="125"/>
        <v>Jan-2024</v>
      </c>
    </row>
    <row r="1321" spans="1:18">
      <c r="A1321">
        <v>49</v>
      </c>
      <c r="B1321">
        <v>0</v>
      </c>
      <c r="C1321">
        <v>2</v>
      </c>
      <c r="D1321">
        <v>6</v>
      </c>
      <c r="E1321">
        <v>2</v>
      </c>
      <c r="F1321">
        <v>37.421124364971902</v>
      </c>
      <c r="G1321">
        <v>42</v>
      </c>
      <c r="H1321">
        <v>86</v>
      </c>
      <c r="I1321">
        <v>13</v>
      </c>
      <c r="J1321">
        <v>2</v>
      </c>
      <c r="K1321">
        <v>0</v>
      </c>
      <c r="L1321" s="2">
        <f t="shared" si="120"/>
        <v>45292</v>
      </c>
      <c r="M1321" s="2">
        <f t="shared" ca="1" si="121"/>
        <v>45333</v>
      </c>
      <c r="N1321" s="2" t="str">
        <f t="shared" ca="1" si="122"/>
        <v>N/A</v>
      </c>
      <c r="O1321" s="3">
        <f t="shared" ca="1" si="123"/>
        <v>41</v>
      </c>
      <c r="P1321" s="3" t="str">
        <f t="shared" ca="1" si="124"/>
        <v>N/A</v>
      </c>
      <c r="Q1321" s="1" t="str">
        <f>IF(K1321=1,"Joined",IF(H1321&gt;=70,"Dropped at Offer",IF(H1321&gt;=50,"Dropped at Interview","Dropped at Screening")))</f>
        <v>Dropped at Offer</v>
      </c>
      <c r="R1321" s="1" t="str">
        <f t="shared" ca="1" si="125"/>
        <v>Feb-2024</v>
      </c>
    </row>
    <row r="1322" spans="1:18">
      <c r="A1322">
        <v>44</v>
      </c>
      <c r="B1322">
        <v>1</v>
      </c>
      <c r="C1322">
        <v>4</v>
      </c>
      <c r="D1322">
        <v>7</v>
      </c>
      <c r="E1322">
        <v>3</v>
      </c>
      <c r="F1322">
        <v>16.822728826672801</v>
      </c>
      <c r="G1322">
        <v>56</v>
      </c>
      <c r="H1322">
        <v>27</v>
      </c>
      <c r="I1322">
        <v>77</v>
      </c>
      <c r="J1322">
        <v>1</v>
      </c>
      <c r="K1322">
        <v>1</v>
      </c>
      <c r="L1322" s="2">
        <f t="shared" si="120"/>
        <v>45292</v>
      </c>
      <c r="M1322" s="2">
        <f t="shared" ca="1" si="121"/>
        <v>45333</v>
      </c>
      <c r="N1322" s="2">
        <f t="shared" ca="1" si="122"/>
        <v>45353</v>
      </c>
      <c r="O1322" s="3">
        <f t="shared" ca="1" si="123"/>
        <v>41</v>
      </c>
      <c r="P1322" s="3">
        <f t="shared" ca="1" si="124"/>
        <v>20</v>
      </c>
      <c r="Q1322" s="1" t="str">
        <f>IF(K1322=1,"Joined",IF(H1322&gt;=70,"Dropped at Offer",IF(H1322&gt;=50,"Dropped at Interview","Dropped at Screening")))</f>
        <v>Joined</v>
      </c>
      <c r="R1322" s="1" t="str">
        <f t="shared" ca="1" si="125"/>
        <v>Feb-2024</v>
      </c>
    </row>
    <row r="1323" spans="1:18">
      <c r="A1323">
        <v>21</v>
      </c>
      <c r="B1323">
        <v>1</v>
      </c>
      <c r="C1323">
        <v>2</v>
      </c>
      <c r="D1323">
        <v>5</v>
      </c>
      <c r="E1323">
        <v>3</v>
      </c>
      <c r="F1323">
        <v>18.1093202879328</v>
      </c>
      <c r="G1323">
        <v>49</v>
      </c>
      <c r="H1323">
        <v>93</v>
      </c>
      <c r="I1323">
        <v>2</v>
      </c>
      <c r="J1323">
        <v>2</v>
      </c>
      <c r="K1323">
        <v>0</v>
      </c>
      <c r="L1323" s="2">
        <f t="shared" si="120"/>
        <v>45292</v>
      </c>
      <c r="M1323" s="2">
        <f t="shared" ca="1" si="121"/>
        <v>45337</v>
      </c>
      <c r="N1323" s="2" t="str">
        <f t="shared" ca="1" si="122"/>
        <v>N/A</v>
      </c>
      <c r="O1323" s="3">
        <f t="shared" ca="1" si="123"/>
        <v>45</v>
      </c>
      <c r="P1323" s="3" t="str">
        <f t="shared" ca="1" si="124"/>
        <v>N/A</v>
      </c>
      <c r="Q1323" s="1" t="str">
        <f>IF(K1323=1,"Joined",IF(H1323&gt;=70,"Dropped at Offer",IF(H1323&gt;=50,"Dropped at Interview","Dropped at Screening")))</f>
        <v>Dropped at Offer</v>
      </c>
      <c r="R1323" s="1" t="str">
        <f t="shared" ca="1" si="125"/>
        <v>Feb-2024</v>
      </c>
    </row>
    <row r="1324" spans="1:18">
      <c r="A1324">
        <v>34</v>
      </c>
      <c r="B1324">
        <v>1</v>
      </c>
      <c r="C1324">
        <v>2</v>
      </c>
      <c r="D1324">
        <v>5</v>
      </c>
      <c r="E1324">
        <v>5</v>
      </c>
      <c r="F1324">
        <v>10.723175959115601</v>
      </c>
      <c r="G1324">
        <v>67</v>
      </c>
      <c r="H1324">
        <v>17</v>
      </c>
      <c r="I1324">
        <v>66</v>
      </c>
      <c r="J1324">
        <v>2</v>
      </c>
      <c r="K1324">
        <v>0</v>
      </c>
      <c r="L1324" s="2">
        <f t="shared" si="120"/>
        <v>45292</v>
      </c>
      <c r="M1324" s="2">
        <f t="shared" ca="1" si="121"/>
        <v>45312</v>
      </c>
      <c r="N1324" s="2" t="str">
        <f t="shared" ca="1" si="122"/>
        <v>N/A</v>
      </c>
      <c r="O1324" s="3">
        <f t="shared" ca="1" si="123"/>
        <v>20</v>
      </c>
      <c r="P1324" s="3" t="str">
        <f t="shared" ca="1" si="124"/>
        <v>N/A</v>
      </c>
      <c r="Q1324" s="1" t="str">
        <f>IF(K1324=1,"Joined",IF(H1324&gt;=70,"Dropped at Offer",IF(H1324&gt;=50,"Dropped at Interview","Dropped at Screening")))</f>
        <v>Dropped at Screening</v>
      </c>
      <c r="R1324" s="1" t="str">
        <f t="shared" ca="1" si="125"/>
        <v>Jan-2024</v>
      </c>
    </row>
    <row r="1325" spans="1:18">
      <c r="A1325">
        <v>30</v>
      </c>
      <c r="B1325">
        <v>1</v>
      </c>
      <c r="C1325">
        <v>2</v>
      </c>
      <c r="D1325">
        <v>1</v>
      </c>
      <c r="E1325">
        <v>2</v>
      </c>
      <c r="F1325">
        <v>29.0974054996619</v>
      </c>
      <c r="G1325">
        <v>80</v>
      </c>
      <c r="H1325">
        <v>35</v>
      </c>
      <c r="I1325">
        <v>85</v>
      </c>
      <c r="J1325">
        <v>1</v>
      </c>
      <c r="K1325">
        <v>1</v>
      </c>
      <c r="L1325" s="2">
        <f t="shared" si="120"/>
        <v>45292</v>
      </c>
      <c r="M1325" s="2">
        <f t="shared" ca="1" si="121"/>
        <v>45312</v>
      </c>
      <c r="N1325" s="2">
        <f t="shared" ca="1" si="122"/>
        <v>45324</v>
      </c>
      <c r="O1325" s="3">
        <f t="shared" ca="1" si="123"/>
        <v>20</v>
      </c>
      <c r="P1325" s="3">
        <f t="shared" ca="1" si="124"/>
        <v>12</v>
      </c>
      <c r="Q1325" s="1" t="str">
        <f>IF(K1325=1,"Joined",IF(H1325&gt;=70,"Dropped at Offer",IF(H1325&gt;=50,"Dropped at Interview","Dropped at Screening")))</f>
        <v>Joined</v>
      </c>
      <c r="R1325" s="1" t="str">
        <f t="shared" ca="1" si="125"/>
        <v>Jan-2024</v>
      </c>
    </row>
    <row r="1326" spans="1:18">
      <c r="A1326">
        <v>27</v>
      </c>
      <c r="B1326">
        <v>1</v>
      </c>
      <c r="C1326">
        <v>3</v>
      </c>
      <c r="D1326">
        <v>5</v>
      </c>
      <c r="E1326">
        <v>1</v>
      </c>
      <c r="F1326">
        <v>16.7282075463682</v>
      </c>
      <c r="G1326">
        <v>49</v>
      </c>
      <c r="H1326">
        <v>32</v>
      </c>
      <c r="I1326">
        <v>18</v>
      </c>
      <c r="J1326">
        <v>2</v>
      </c>
      <c r="K1326">
        <v>0</v>
      </c>
      <c r="L1326" s="2">
        <f t="shared" si="120"/>
        <v>45292</v>
      </c>
      <c r="M1326" s="2">
        <f t="shared" ca="1" si="121"/>
        <v>45316</v>
      </c>
      <c r="N1326" s="2" t="str">
        <f t="shared" ca="1" si="122"/>
        <v>N/A</v>
      </c>
      <c r="O1326" s="3">
        <f t="shared" ca="1" si="123"/>
        <v>24</v>
      </c>
      <c r="P1326" s="3" t="str">
        <f t="shared" ca="1" si="124"/>
        <v>N/A</v>
      </c>
      <c r="Q1326" s="1" t="str">
        <f>IF(K1326=1,"Joined",IF(H1326&gt;=70,"Dropped at Offer",IF(H1326&gt;=50,"Dropped at Interview","Dropped at Screening")))</f>
        <v>Dropped at Screening</v>
      </c>
      <c r="R1326" s="1" t="str">
        <f t="shared" ca="1" si="125"/>
        <v>Jan-2024</v>
      </c>
    </row>
    <row r="1327" spans="1:18">
      <c r="A1327">
        <v>45</v>
      </c>
      <c r="B1327">
        <v>0</v>
      </c>
      <c r="C1327">
        <v>4</v>
      </c>
      <c r="D1327">
        <v>4</v>
      </c>
      <c r="E1327">
        <v>1</v>
      </c>
      <c r="F1327">
        <v>5.2185448219252502</v>
      </c>
      <c r="G1327">
        <v>36</v>
      </c>
      <c r="H1327">
        <v>63</v>
      </c>
      <c r="I1327">
        <v>98</v>
      </c>
      <c r="J1327">
        <v>1</v>
      </c>
      <c r="K1327">
        <v>1</v>
      </c>
      <c r="L1327" s="2">
        <f t="shared" si="120"/>
        <v>45292</v>
      </c>
      <c r="M1327" s="2">
        <f t="shared" ca="1" si="121"/>
        <v>45319</v>
      </c>
      <c r="N1327" s="2">
        <f t="shared" ca="1" si="122"/>
        <v>45326</v>
      </c>
      <c r="O1327" s="3">
        <f t="shared" ca="1" si="123"/>
        <v>27</v>
      </c>
      <c r="P1327" s="3">
        <f t="shared" ca="1" si="124"/>
        <v>7</v>
      </c>
      <c r="Q1327" s="1" t="str">
        <f>IF(K1327=1,"Joined",IF(H1327&gt;=70,"Dropped at Offer",IF(H1327&gt;=50,"Dropped at Interview","Dropped at Screening")))</f>
        <v>Joined</v>
      </c>
      <c r="R1327" s="1" t="str">
        <f t="shared" ca="1" si="125"/>
        <v>Jan-2024</v>
      </c>
    </row>
    <row r="1328" spans="1:18">
      <c r="A1328">
        <v>38</v>
      </c>
      <c r="B1328">
        <v>1</v>
      </c>
      <c r="C1328">
        <v>3</v>
      </c>
      <c r="D1328">
        <v>12</v>
      </c>
      <c r="E1328">
        <v>1</v>
      </c>
      <c r="F1328">
        <v>35.250304333158901</v>
      </c>
      <c r="G1328">
        <v>45</v>
      </c>
      <c r="H1328">
        <v>25</v>
      </c>
      <c r="I1328">
        <v>75</v>
      </c>
      <c r="J1328">
        <v>2</v>
      </c>
      <c r="K1328">
        <v>0</v>
      </c>
      <c r="L1328" s="2">
        <f t="shared" si="120"/>
        <v>45292</v>
      </c>
      <c r="M1328" s="2">
        <f t="shared" ca="1" si="121"/>
        <v>45318</v>
      </c>
      <c r="N1328" s="2" t="str">
        <f t="shared" ca="1" si="122"/>
        <v>N/A</v>
      </c>
      <c r="O1328" s="3">
        <f t="shared" ca="1" si="123"/>
        <v>26</v>
      </c>
      <c r="P1328" s="3" t="str">
        <f t="shared" ca="1" si="124"/>
        <v>N/A</v>
      </c>
      <c r="Q1328" s="1" t="str">
        <f>IF(K1328=1,"Joined",IF(H1328&gt;=70,"Dropped at Offer",IF(H1328&gt;=50,"Dropped at Interview","Dropped at Screening")))</f>
        <v>Dropped at Screening</v>
      </c>
      <c r="R1328" s="1" t="str">
        <f t="shared" ca="1" si="125"/>
        <v>Jan-2024</v>
      </c>
    </row>
    <row r="1329" spans="1:18">
      <c r="A1329">
        <v>32</v>
      </c>
      <c r="B1329">
        <v>1</v>
      </c>
      <c r="C1329">
        <v>4</v>
      </c>
      <c r="D1329">
        <v>15</v>
      </c>
      <c r="E1329">
        <v>3</v>
      </c>
      <c r="F1329">
        <v>36.387660380269899</v>
      </c>
      <c r="G1329">
        <v>41</v>
      </c>
      <c r="H1329">
        <v>47</v>
      </c>
      <c r="I1329">
        <v>53</v>
      </c>
      <c r="J1329">
        <v>2</v>
      </c>
      <c r="K1329">
        <v>0</v>
      </c>
      <c r="L1329" s="2">
        <f t="shared" si="120"/>
        <v>45292</v>
      </c>
      <c r="M1329" s="2">
        <f t="shared" ca="1" si="121"/>
        <v>45319</v>
      </c>
      <c r="N1329" s="2" t="str">
        <f t="shared" ca="1" si="122"/>
        <v>N/A</v>
      </c>
      <c r="O1329" s="3">
        <f t="shared" ca="1" si="123"/>
        <v>27</v>
      </c>
      <c r="P1329" s="3" t="str">
        <f t="shared" ca="1" si="124"/>
        <v>N/A</v>
      </c>
      <c r="Q1329" s="1" t="str">
        <f>IF(K1329=1,"Joined",IF(H1329&gt;=70,"Dropped at Offer",IF(H1329&gt;=50,"Dropped at Interview","Dropped at Screening")))</f>
        <v>Dropped at Screening</v>
      </c>
      <c r="R1329" s="1" t="str">
        <f t="shared" ca="1" si="125"/>
        <v>Jan-2024</v>
      </c>
    </row>
    <row r="1330" spans="1:18">
      <c r="A1330">
        <v>31</v>
      </c>
      <c r="B1330">
        <v>0</v>
      </c>
      <c r="C1330">
        <v>1</v>
      </c>
      <c r="D1330">
        <v>2</v>
      </c>
      <c r="E1330">
        <v>2</v>
      </c>
      <c r="F1330">
        <v>18.999620938952798</v>
      </c>
      <c r="G1330">
        <v>14</v>
      </c>
      <c r="H1330">
        <v>39</v>
      </c>
      <c r="I1330">
        <v>68</v>
      </c>
      <c r="J1330">
        <v>2</v>
      </c>
      <c r="K1330">
        <v>0</v>
      </c>
      <c r="L1330" s="2">
        <f t="shared" si="120"/>
        <v>45292</v>
      </c>
      <c r="M1330" s="2">
        <f t="shared" ca="1" si="121"/>
        <v>45313</v>
      </c>
      <c r="N1330" s="2" t="str">
        <f t="shared" ca="1" si="122"/>
        <v>N/A</v>
      </c>
      <c r="O1330" s="3">
        <f t="shared" ca="1" si="123"/>
        <v>21</v>
      </c>
      <c r="P1330" s="3" t="str">
        <f t="shared" ca="1" si="124"/>
        <v>N/A</v>
      </c>
      <c r="Q1330" s="1" t="str">
        <f>IF(K1330=1,"Joined",IF(H1330&gt;=70,"Dropped at Offer",IF(H1330&gt;=50,"Dropped at Interview","Dropped at Screening")))</f>
        <v>Dropped at Screening</v>
      </c>
      <c r="R1330" s="1" t="str">
        <f t="shared" ca="1" si="125"/>
        <v>Jan-2024</v>
      </c>
    </row>
    <row r="1331" spans="1:18">
      <c r="A1331">
        <v>24</v>
      </c>
      <c r="B1331">
        <v>0</v>
      </c>
      <c r="C1331">
        <v>3</v>
      </c>
      <c r="D1331">
        <v>5</v>
      </c>
      <c r="E1331">
        <v>2</v>
      </c>
      <c r="F1331">
        <v>4.83616997280114</v>
      </c>
      <c r="G1331">
        <v>32</v>
      </c>
      <c r="H1331">
        <v>16</v>
      </c>
      <c r="I1331">
        <v>9</v>
      </c>
      <c r="J1331">
        <v>3</v>
      </c>
      <c r="K1331">
        <v>0</v>
      </c>
      <c r="L1331" s="2">
        <f t="shared" si="120"/>
        <v>45292</v>
      </c>
      <c r="M1331" s="2">
        <f t="shared" ca="1" si="121"/>
        <v>45316</v>
      </c>
      <c r="N1331" s="2" t="str">
        <f t="shared" ca="1" si="122"/>
        <v>N/A</v>
      </c>
      <c r="O1331" s="3">
        <f t="shared" ca="1" si="123"/>
        <v>24</v>
      </c>
      <c r="P1331" s="3" t="str">
        <f t="shared" ca="1" si="124"/>
        <v>N/A</v>
      </c>
      <c r="Q1331" s="1" t="str">
        <f>IF(K1331=1,"Joined",IF(H1331&gt;=70,"Dropped at Offer",IF(H1331&gt;=50,"Dropped at Interview","Dropped at Screening")))</f>
        <v>Dropped at Screening</v>
      </c>
      <c r="R1331" s="1" t="str">
        <f t="shared" ca="1" si="125"/>
        <v>Jan-2024</v>
      </c>
    </row>
    <row r="1332" spans="1:18">
      <c r="A1332">
        <v>25</v>
      </c>
      <c r="B1332">
        <v>0</v>
      </c>
      <c r="C1332">
        <v>3</v>
      </c>
      <c r="D1332">
        <v>7</v>
      </c>
      <c r="E1332">
        <v>3</v>
      </c>
      <c r="F1332">
        <v>22.314885870171199</v>
      </c>
      <c r="G1332">
        <v>79</v>
      </c>
      <c r="H1332">
        <v>39</v>
      </c>
      <c r="I1332">
        <v>32</v>
      </c>
      <c r="J1332">
        <v>2</v>
      </c>
      <c r="K1332">
        <v>0</v>
      </c>
      <c r="L1332" s="2">
        <f t="shared" si="120"/>
        <v>45292</v>
      </c>
      <c r="M1332" s="2">
        <f t="shared" ca="1" si="121"/>
        <v>45317</v>
      </c>
      <c r="N1332" s="2" t="str">
        <f t="shared" ca="1" si="122"/>
        <v>N/A</v>
      </c>
      <c r="O1332" s="3">
        <f t="shared" ca="1" si="123"/>
        <v>25</v>
      </c>
      <c r="P1332" s="3" t="str">
        <f t="shared" ca="1" si="124"/>
        <v>N/A</v>
      </c>
      <c r="Q1332" s="1" t="str">
        <f>IF(K1332=1,"Joined",IF(H1332&gt;=70,"Dropped at Offer",IF(H1332&gt;=50,"Dropped at Interview","Dropped at Screening")))</f>
        <v>Dropped at Screening</v>
      </c>
      <c r="R1332" s="1" t="str">
        <f t="shared" ca="1" si="125"/>
        <v>Jan-2024</v>
      </c>
    </row>
    <row r="1333" spans="1:18">
      <c r="A1333">
        <v>45</v>
      </c>
      <c r="B1333">
        <v>1</v>
      </c>
      <c r="C1333">
        <v>2</v>
      </c>
      <c r="D1333">
        <v>8</v>
      </c>
      <c r="E1333">
        <v>1</v>
      </c>
      <c r="F1333">
        <v>23.1167729025107</v>
      </c>
      <c r="G1333">
        <v>10</v>
      </c>
      <c r="H1333">
        <v>6</v>
      </c>
      <c r="I1333">
        <v>12</v>
      </c>
      <c r="J1333">
        <v>2</v>
      </c>
      <c r="K1333">
        <v>0</v>
      </c>
      <c r="L1333" s="2">
        <f t="shared" si="120"/>
        <v>45292</v>
      </c>
      <c r="M1333" s="2">
        <f t="shared" ca="1" si="121"/>
        <v>45330</v>
      </c>
      <c r="N1333" s="2" t="str">
        <f t="shared" ca="1" si="122"/>
        <v>N/A</v>
      </c>
      <c r="O1333" s="3">
        <f t="shared" ca="1" si="123"/>
        <v>38</v>
      </c>
      <c r="P1333" s="3" t="str">
        <f t="shared" ca="1" si="124"/>
        <v>N/A</v>
      </c>
      <c r="Q1333" s="1" t="str">
        <f>IF(K1333=1,"Joined",IF(H1333&gt;=70,"Dropped at Offer",IF(H1333&gt;=50,"Dropped at Interview","Dropped at Screening")))</f>
        <v>Dropped at Screening</v>
      </c>
      <c r="R1333" s="1" t="str">
        <f t="shared" ca="1" si="125"/>
        <v>Feb-2024</v>
      </c>
    </row>
    <row r="1334" spans="1:18">
      <c r="A1334">
        <v>41</v>
      </c>
      <c r="B1334">
        <v>0</v>
      </c>
      <c r="C1334">
        <v>4</v>
      </c>
      <c r="D1334">
        <v>0</v>
      </c>
      <c r="E1334">
        <v>1</v>
      </c>
      <c r="F1334">
        <v>34.433544244894598</v>
      </c>
      <c r="G1334">
        <v>19</v>
      </c>
      <c r="H1334">
        <v>56</v>
      </c>
      <c r="I1334">
        <v>98</v>
      </c>
      <c r="J1334">
        <v>2</v>
      </c>
      <c r="K1334">
        <v>0</v>
      </c>
      <c r="L1334" s="2">
        <f t="shared" si="120"/>
        <v>45292</v>
      </c>
      <c r="M1334" s="2">
        <f t="shared" ca="1" si="121"/>
        <v>45321</v>
      </c>
      <c r="N1334" s="2" t="str">
        <f t="shared" ca="1" si="122"/>
        <v>N/A</v>
      </c>
      <c r="O1334" s="3">
        <f t="shared" ca="1" si="123"/>
        <v>29</v>
      </c>
      <c r="P1334" s="3" t="str">
        <f t="shared" ca="1" si="124"/>
        <v>N/A</v>
      </c>
      <c r="Q1334" s="1" t="str">
        <f>IF(K1334=1,"Joined",IF(H1334&gt;=70,"Dropped at Offer",IF(H1334&gt;=50,"Dropped at Interview","Dropped at Screening")))</f>
        <v>Dropped at Interview</v>
      </c>
      <c r="R1334" s="1" t="str">
        <f t="shared" ca="1" si="125"/>
        <v>Jan-2024</v>
      </c>
    </row>
    <row r="1335" spans="1:18">
      <c r="A1335">
        <v>23</v>
      </c>
      <c r="B1335">
        <v>1</v>
      </c>
      <c r="C1335">
        <v>1</v>
      </c>
      <c r="D1335">
        <v>2</v>
      </c>
      <c r="E1335">
        <v>5</v>
      </c>
      <c r="F1335">
        <v>16.770819562934101</v>
      </c>
      <c r="G1335">
        <v>23</v>
      </c>
      <c r="H1335">
        <v>7</v>
      </c>
      <c r="I1335">
        <v>50</v>
      </c>
      <c r="J1335">
        <v>3</v>
      </c>
      <c r="K1335">
        <v>0</v>
      </c>
      <c r="L1335" s="2">
        <f t="shared" si="120"/>
        <v>45292</v>
      </c>
      <c r="M1335" s="2">
        <f t="shared" ca="1" si="121"/>
        <v>45314</v>
      </c>
      <c r="N1335" s="2" t="str">
        <f t="shared" ca="1" si="122"/>
        <v>N/A</v>
      </c>
      <c r="O1335" s="3">
        <f t="shared" ca="1" si="123"/>
        <v>22</v>
      </c>
      <c r="P1335" s="3" t="str">
        <f t="shared" ca="1" si="124"/>
        <v>N/A</v>
      </c>
      <c r="Q1335" s="1" t="str">
        <f>IF(K1335=1,"Joined",IF(H1335&gt;=70,"Dropped at Offer",IF(H1335&gt;=50,"Dropped at Interview","Dropped at Screening")))</f>
        <v>Dropped at Screening</v>
      </c>
      <c r="R1335" s="1" t="str">
        <f t="shared" ca="1" si="125"/>
        <v>Jan-2024</v>
      </c>
    </row>
    <row r="1336" spans="1:18">
      <c r="A1336">
        <v>38</v>
      </c>
      <c r="B1336">
        <v>1</v>
      </c>
      <c r="C1336">
        <v>2</v>
      </c>
      <c r="D1336">
        <v>2</v>
      </c>
      <c r="E1336">
        <v>4</v>
      </c>
      <c r="F1336">
        <v>35.129963989065203</v>
      </c>
      <c r="G1336">
        <v>63</v>
      </c>
      <c r="H1336">
        <v>55</v>
      </c>
      <c r="I1336">
        <v>31</v>
      </c>
      <c r="J1336">
        <v>2</v>
      </c>
      <c r="K1336">
        <v>0</v>
      </c>
      <c r="L1336" s="2">
        <f t="shared" si="120"/>
        <v>45292</v>
      </c>
      <c r="M1336" s="2">
        <f t="shared" ca="1" si="121"/>
        <v>45313</v>
      </c>
      <c r="N1336" s="2" t="str">
        <f t="shared" ca="1" si="122"/>
        <v>N/A</v>
      </c>
      <c r="O1336" s="3">
        <f t="shared" ca="1" si="123"/>
        <v>21</v>
      </c>
      <c r="P1336" s="3" t="str">
        <f t="shared" ca="1" si="124"/>
        <v>N/A</v>
      </c>
      <c r="Q1336" s="1" t="str">
        <f>IF(K1336=1,"Joined",IF(H1336&gt;=70,"Dropped at Offer",IF(H1336&gt;=50,"Dropped at Interview","Dropped at Screening")))</f>
        <v>Dropped at Interview</v>
      </c>
      <c r="R1336" s="1" t="str">
        <f t="shared" ca="1" si="125"/>
        <v>Jan-2024</v>
      </c>
    </row>
    <row r="1337" spans="1:18">
      <c r="A1337">
        <v>39</v>
      </c>
      <c r="B1337">
        <v>0</v>
      </c>
      <c r="C1337">
        <v>2</v>
      </c>
      <c r="D1337">
        <v>10</v>
      </c>
      <c r="E1337">
        <v>2</v>
      </c>
      <c r="F1337">
        <v>44.574427087869402</v>
      </c>
      <c r="G1337">
        <v>79</v>
      </c>
      <c r="H1337">
        <v>30</v>
      </c>
      <c r="I1337">
        <v>74</v>
      </c>
      <c r="J1337">
        <v>2</v>
      </c>
      <c r="K1337">
        <v>0</v>
      </c>
      <c r="L1337" s="2">
        <f t="shared" si="120"/>
        <v>45292</v>
      </c>
      <c r="M1337" s="2">
        <f t="shared" ca="1" si="121"/>
        <v>45309</v>
      </c>
      <c r="N1337" s="2" t="str">
        <f t="shared" ca="1" si="122"/>
        <v>N/A</v>
      </c>
      <c r="O1337" s="3">
        <f t="shared" ca="1" si="123"/>
        <v>17</v>
      </c>
      <c r="P1337" s="3" t="str">
        <f t="shared" ca="1" si="124"/>
        <v>N/A</v>
      </c>
      <c r="Q1337" s="1" t="str">
        <f>IF(K1337=1,"Joined",IF(H1337&gt;=70,"Dropped at Offer",IF(H1337&gt;=50,"Dropped at Interview","Dropped at Screening")))</f>
        <v>Dropped at Screening</v>
      </c>
      <c r="R1337" s="1" t="str">
        <f t="shared" ca="1" si="125"/>
        <v>Jan-2024</v>
      </c>
    </row>
    <row r="1338" spans="1:18">
      <c r="A1338">
        <v>20</v>
      </c>
      <c r="B1338">
        <v>0</v>
      </c>
      <c r="C1338">
        <v>2</v>
      </c>
      <c r="D1338">
        <v>7</v>
      </c>
      <c r="E1338">
        <v>2</v>
      </c>
      <c r="F1338">
        <v>12.874302118109901</v>
      </c>
      <c r="G1338">
        <v>93</v>
      </c>
      <c r="H1338">
        <v>58</v>
      </c>
      <c r="I1338">
        <v>23</v>
      </c>
      <c r="J1338">
        <v>1</v>
      </c>
      <c r="K1338">
        <v>1</v>
      </c>
      <c r="L1338" s="2">
        <f t="shared" si="120"/>
        <v>45292</v>
      </c>
      <c r="M1338" s="2">
        <f t="shared" ca="1" si="121"/>
        <v>45332</v>
      </c>
      <c r="N1338" s="2">
        <f t="shared" ca="1" si="122"/>
        <v>45355</v>
      </c>
      <c r="O1338" s="3">
        <f t="shared" ca="1" si="123"/>
        <v>40</v>
      </c>
      <c r="P1338" s="3">
        <f t="shared" ca="1" si="124"/>
        <v>23</v>
      </c>
      <c r="Q1338" s="1" t="str">
        <f>IF(K1338=1,"Joined",IF(H1338&gt;=70,"Dropped at Offer",IF(H1338&gt;=50,"Dropped at Interview","Dropped at Screening")))</f>
        <v>Joined</v>
      </c>
      <c r="R1338" s="1" t="str">
        <f t="shared" ca="1" si="125"/>
        <v>Feb-2024</v>
      </c>
    </row>
    <row r="1339" spans="1:18">
      <c r="A1339">
        <v>39</v>
      </c>
      <c r="B1339">
        <v>1</v>
      </c>
      <c r="C1339">
        <v>3</v>
      </c>
      <c r="D1339">
        <v>0</v>
      </c>
      <c r="E1339">
        <v>2</v>
      </c>
      <c r="F1339">
        <v>49.9459778059949</v>
      </c>
      <c r="G1339">
        <v>97</v>
      </c>
      <c r="H1339">
        <v>57</v>
      </c>
      <c r="I1339">
        <v>34</v>
      </c>
      <c r="J1339">
        <v>2</v>
      </c>
      <c r="K1339">
        <v>0</v>
      </c>
      <c r="L1339" s="2">
        <f t="shared" si="120"/>
        <v>45292</v>
      </c>
      <c r="M1339" s="2">
        <f t="shared" ca="1" si="121"/>
        <v>45320</v>
      </c>
      <c r="N1339" s="2" t="str">
        <f t="shared" ca="1" si="122"/>
        <v>N/A</v>
      </c>
      <c r="O1339" s="3">
        <f t="shared" ca="1" si="123"/>
        <v>28</v>
      </c>
      <c r="P1339" s="3" t="str">
        <f t="shared" ca="1" si="124"/>
        <v>N/A</v>
      </c>
      <c r="Q1339" s="1" t="str">
        <f>IF(K1339=1,"Joined",IF(H1339&gt;=70,"Dropped at Offer",IF(H1339&gt;=50,"Dropped at Interview","Dropped at Screening")))</f>
        <v>Dropped at Interview</v>
      </c>
      <c r="R1339" s="1" t="str">
        <f t="shared" ca="1" si="125"/>
        <v>Jan-2024</v>
      </c>
    </row>
    <row r="1340" spans="1:18">
      <c r="A1340">
        <v>36</v>
      </c>
      <c r="B1340">
        <v>0</v>
      </c>
      <c r="C1340">
        <v>2</v>
      </c>
      <c r="D1340">
        <v>4</v>
      </c>
      <c r="E1340">
        <v>4</v>
      </c>
      <c r="F1340">
        <v>20.318406856840301</v>
      </c>
      <c r="G1340">
        <v>64</v>
      </c>
      <c r="H1340">
        <v>11</v>
      </c>
      <c r="I1340">
        <v>82</v>
      </c>
      <c r="J1340">
        <v>1</v>
      </c>
      <c r="K1340">
        <v>0</v>
      </c>
      <c r="L1340" s="2">
        <f t="shared" si="120"/>
        <v>45292</v>
      </c>
      <c r="M1340" s="2">
        <f t="shared" ca="1" si="121"/>
        <v>45307</v>
      </c>
      <c r="N1340" s="2" t="str">
        <f t="shared" ca="1" si="122"/>
        <v>N/A</v>
      </c>
      <c r="O1340" s="3">
        <f t="shared" ca="1" si="123"/>
        <v>15</v>
      </c>
      <c r="P1340" s="3" t="str">
        <f t="shared" ca="1" si="124"/>
        <v>N/A</v>
      </c>
      <c r="Q1340" s="1" t="str">
        <f>IF(K1340=1,"Joined",IF(H1340&gt;=70,"Dropped at Offer",IF(H1340&gt;=50,"Dropped at Interview","Dropped at Screening")))</f>
        <v>Dropped at Screening</v>
      </c>
      <c r="R1340" s="1" t="str">
        <f t="shared" ca="1" si="125"/>
        <v>Jan-2024</v>
      </c>
    </row>
    <row r="1341" spans="1:18">
      <c r="A1341">
        <v>31</v>
      </c>
      <c r="B1341">
        <v>1</v>
      </c>
      <c r="C1341">
        <v>2</v>
      </c>
      <c r="D1341">
        <v>2</v>
      </c>
      <c r="E1341">
        <v>5</v>
      </c>
      <c r="F1341">
        <v>14.362934257353</v>
      </c>
      <c r="G1341">
        <v>87</v>
      </c>
      <c r="H1341">
        <v>47</v>
      </c>
      <c r="I1341">
        <v>69</v>
      </c>
      <c r="J1341">
        <v>2</v>
      </c>
      <c r="K1341">
        <v>0</v>
      </c>
      <c r="L1341" s="2">
        <f t="shared" si="120"/>
        <v>45292</v>
      </c>
      <c r="M1341" s="2">
        <f t="shared" ca="1" si="121"/>
        <v>45327</v>
      </c>
      <c r="N1341" s="2" t="str">
        <f t="shared" ca="1" si="122"/>
        <v>N/A</v>
      </c>
      <c r="O1341" s="3">
        <f t="shared" ca="1" si="123"/>
        <v>35</v>
      </c>
      <c r="P1341" s="3" t="str">
        <f t="shared" ca="1" si="124"/>
        <v>N/A</v>
      </c>
      <c r="Q1341" s="1" t="str">
        <f>IF(K1341=1,"Joined",IF(H1341&gt;=70,"Dropped at Offer",IF(H1341&gt;=50,"Dropped at Interview","Dropped at Screening")))</f>
        <v>Dropped at Screening</v>
      </c>
      <c r="R1341" s="1" t="str">
        <f t="shared" ca="1" si="125"/>
        <v>Feb-2024</v>
      </c>
    </row>
    <row r="1342" spans="1:18">
      <c r="A1342">
        <v>34</v>
      </c>
      <c r="B1342">
        <v>0</v>
      </c>
      <c r="C1342">
        <v>2</v>
      </c>
      <c r="D1342">
        <v>1</v>
      </c>
      <c r="E1342">
        <v>4</v>
      </c>
      <c r="F1342">
        <v>22.075559125514499</v>
      </c>
      <c r="G1342">
        <v>87</v>
      </c>
      <c r="H1342">
        <v>30</v>
      </c>
      <c r="I1342">
        <v>39</v>
      </c>
      <c r="J1342">
        <v>3</v>
      </c>
      <c r="K1342">
        <v>0</v>
      </c>
      <c r="L1342" s="2">
        <f t="shared" si="120"/>
        <v>45292</v>
      </c>
      <c r="M1342" s="2">
        <f t="shared" ca="1" si="121"/>
        <v>45307</v>
      </c>
      <c r="N1342" s="2" t="str">
        <f t="shared" ca="1" si="122"/>
        <v>N/A</v>
      </c>
      <c r="O1342" s="3">
        <f t="shared" ca="1" si="123"/>
        <v>15</v>
      </c>
      <c r="P1342" s="3" t="str">
        <f t="shared" ca="1" si="124"/>
        <v>N/A</v>
      </c>
      <c r="Q1342" s="1" t="str">
        <f>IF(K1342=1,"Joined",IF(H1342&gt;=70,"Dropped at Offer",IF(H1342&gt;=50,"Dropped at Interview","Dropped at Screening")))</f>
        <v>Dropped at Screening</v>
      </c>
      <c r="R1342" s="1" t="str">
        <f t="shared" ca="1" si="125"/>
        <v>Jan-2024</v>
      </c>
    </row>
    <row r="1343" spans="1:18">
      <c r="A1343">
        <v>20</v>
      </c>
      <c r="B1343">
        <v>0</v>
      </c>
      <c r="C1343">
        <v>3</v>
      </c>
      <c r="D1343">
        <v>14</v>
      </c>
      <c r="E1343">
        <v>1</v>
      </c>
      <c r="F1343">
        <v>5.7198737951929504</v>
      </c>
      <c r="G1343">
        <v>72</v>
      </c>
      <c r="H1343">
        <v>82</v>
      </c>
      <c r="I1343">
        <v>53</v>
      </c>
      <c r="J1343">
        <v>2</v>
      </c>
      <c r="K1343">
        <v>1</v>
      </c>
      <c r="L1343" s="2">
        <f t="shared" si="120"/>
        <v>45292</v>
      </c>
      <c r="M1343" s="2">
        <f t="shared" ca="1" si="121"/>
        <v>45313</v>
      </c>
      <c r="N1343" s="2">
        <f t="shared" ca="1" si="122"/>
        <v>45325</v>
      </c>
      <c r="O1343" s="3">
        <f t="shared" ca="1" si="123"/>
        <v>21</v>
      </c>
      <c r="P1343" s="3">
        <f t="shared" ca="1" si="124"/>
        <v>12</v>
      </c>
      <c r="Q1343" s="1" t="str">
        <f>IF(K1343=1,"Joined",IF(H1343&gt;=70,"Dropped at Offer",IF(H1343&gt;=50,"Dropped at Interview","Dropped at Screening")))</f>
        <v>Joined</v>
      </c>
      <c r="R1343" s="1" t="str">
        <f t="shared" ca="1" si="125"/>
        <v>Jan-2024</v>
      </c>
    </row>
    <row r="1344" spans="1:18">
      <c r="A1344">
        <v>45</v>
      </c>
      <c r="B1344">
        <v>0</v>
      </c>
      <c r="C1344">
        <v>1</v>
      </c>
      <c r="D1344">
        <v>7</v>
      </c>
      <c r="E1344">
        <v>1</v>
      </c>
      <c r="F1344">
        <v>7.2852953256057802</v>
      </c>
      <c r="G1344">
        <v>85</v>
      </c>
      <c r="H1344">
        <v>62</v>
      </c>
      <c r="I1344">
        <v>43</v>
      </c>
      <c r="J1344">
        <v>2</v>
      </c>
      <c r="K1344">
        <v>0</v>
      </c>
      <c r="L1344" s="2">
        <f t="shared" si="120"/>
        <v>45292</v>
      </c>
      <c r="M1344" s="2">
        <f t="shared" ca="1" si="121"/>
        <v>45315</v>
      </c>
      <c r="N1344" s="2" t="str">
        <f t="shared" ca="1" si="122"/>
        <v>N/A</v>
      </c>
      <c r="O1344" s="3">
        <f t="shared" ca="1" si="123"/>
        <v>23</v>
      </c>
      <c r="P1344" s="3" t="str">
        <f t="shared" ca="1" si="124"/>
        <v>N/A</v>
      </c>
      <c r="Q1344" s="1" t="str">
        <f>IF(K1344=1,"Joined",IF(H1344&gt;=70,"Dropped at Offer",IF(H1344&gt;=50,"Dropped at Interview","Dropped at Screening")))</f>
        <v>Dropped at Interview</v>
      </c>
      <c r="R1344" s="1" t="str">
        <f t="shared" ca="1" si="125"/>
        <v>Jan-2024</v>
      </c>
    </row>
    <row r="1345" spans="1:18">
      <c r="A1345">
        <v>33</v>
      </c>
      <c r="B1345">
        <v>1</v>
      </c>
      <c r="C1345">
        <v>2</v>
      </c>
      <c r="D1345">
        <v>2</v>
      </c>
      <c r="E1345">
        <v>2</v>
      </c>
      <c r="F1345">
        <v>21.7217023484165</v>
      </c>
      <c r="G1345">
        <v>75</v>
      </c>
      <c r="H1345">
        <v>73</v>
      </c>
      <c r="I1345">
        <v>61</v>
      </c>
      <c r="J1345">
        <v>2</v>
      </c>
      <c r="K1345">
        <v>0</v>
      </c>
      <c r="L1345" s="2">
        <f t="shared" si="120"/>
        <v>45292</v>
      </c>
      <c r="M1345" s="2">
        <f t="shared" ca="1" si="121"/>
        <v>45335</v>
      </c>
      <c r="N1345" s="2" t="str">
        <f t="shared" ca="1" si="122"/>
        <v>N/A</v>
      </c>
      <c r="O1345" s="3">
        <f t="shared" ca="1" si="123"/>
        <v>43</v>
      </c>
      <c r="P1345" s="3" t="str">
        <f t="shared" ca="1" si="124"/>
        <v>N/A</v>
      </c>
      <c r="Q1345" s="1" t="str">
        <f>IF(K1345=1,"Joined",IF(H1345&gt;=70,"Dropped at Offer",IF(H1345&gt;=50,"Dropped at Interview","Dropped at Screening")))</f>
        <v>Dropped at Offer</v>
      </c>
      <c r="R1345" s="1" t="str">
        <f t="shared" ca="1" si="125"/>
        <v>Feb-2024</v>
      </c>
    </row>
    <row r="1346" spans="1:18">
      <c r="A1346">
        <v>25</v>
      </c>
      <c r="B1346">
        <v>0</v>
      </c>
      <c r="C1346">
        <v>4</v>
      </c>
      <c r="D1346">
        <v>6</v>
      </c>
      <c r="E1346">
        <v>3</v>
      </c>
      <c r="F1346">
        <v>39.122226096955004</v>
      </c>
      <c r="G1346">
        <v>16</v>
      </c>
      <c r="H1346">
        <v>38</v>
      </c>
      <c r="I1346">
        <v>98</v>
      </c>
      <c r="J1346">
        <v>2</v>
      </c>
      <c r="K1346">
        <v>0</v>
      </c>
      <c r="L1346" s="2">
        <f t="shared" ref="L1346:L1409" si="126">DATE(2024,1,1)</f>
        <v>45292</v>
      </c>
      <c r="M1346" s="2">
        <f t="shared" ref="M1346:M1409" ca="1" si="127">L1346+RANDBETWEEN(14,45)</f>
        <v>45311</v>
      </c>
      <c r="N1346" s="2" t="str">
        <f t="shared" ref="N1346:N1409" ca="1" si="128">IF(K1346=1, M1346+RANDBETWEEN(7,30), "N/A")</f>
        <v>N/A</v>
      </c>
      <c r="O1346" s="3">
        <f t="shared" ref="O1346:O1409" ca="1" si="129">IF(AND(M1346&lt;&gt;"",L1346&lt;&gt;""), M1346-L1346, "N/A")</f>
        <v>19</v>
      </c>
      <c r="P1346" s="3" t="str">
        <f t="shared" ref="P1346:Q1409" ca="1" si="130">IF(AND(K1346=1, N1346&lt;&gt;"", M1346&lt;&gt;""), N1346 - M1346, "N/A")</f>
        <v>N/A</v>
      </c>
      <c r="Q1346" s="1" t="str">
        <f>IF(K1346=1,"Joined",IF(H1346&gt;=70,"Dropped at Offer",IF(H1346&gt;=50,"Dropped at Interview","Dropped at Screening")))</f>
        <v>Dropped at Screening</v>
      </c>
      <c r="R1346" s="1" t="str">
        <f t="shared" ref="R1346:R1409" ca="1" si="131">TEXT(M1346,"MMM-YYYY")</f>
        <v>Jan-2024</v>
      </c>
    </row>
    <row r="1347" spans="1:18">
      <c r="A1347">
        <v>24</v>
      </c>
      <c r="B1347">
        <v>1</v>
      </c>
      <c r="C1347">
        <v>3</v>
      </c>
      <c r="D1347">
        <v>11</v>
      </c>
      <c r="E1347">
        <v>2</v>
      </c>
      <c r="F1347">
        <v>46.0156119787245</v>
      </c>
      <c r="G1347">
        <v>88</v>
      </c>
      <c r="H1347">
        <v>75</v>
      </c>
      <c r="I1347">
        <v>67</v>
      </c>
      <c r="J1347">
        <v>2</v>
      </c>
      <c r="K1347">
        <v>1</v>
      </c>
      <c r="L1347" s="2">
        <f t="shared" si="126"/>
        <v>45292</v>
      </c>
      <c r="M1347" s="2">
        <f t="shared" ca="1" si="127"/>
        <v>45321</v>
      </c>
      <c r="N1347" s="2">
        <f t="shared" ca="1" si="128"/>
        <v>45331</v>
      </c>
      <c r="O1347" s="3">
        <f t="shared" ca="1" si="129"/>
        <v>29</v>
      </c>
      <c r="P1347" s="3">
        <f t="shared" ca="1" si="130"/>
        <v>10</v>
      </c>
      <c r="Q1347" s="1" t="str">
        <f>IF(K1347=1,"Joined",IF(H1347&gt;=70,"Dropped at Offer",IF(H1347&gt;=50,"Dropped at Interview","Dropped at Screening")))</f>
        <v>Joined</v>
      </c>
      <c r="R1347" s="1" t="str">
        <f t="shared" ca="1" si="131"/>
        <v>Jan-2024</v>
      </c>
    </row>
    <row r="1348" spans="1:18">
      <c r="A1348">
        <v>49</v>
      </c>
      <c r="B1348">
        <v>1</v>
      </c>
      <c r="C1348">
        <v>2</v>
      </c>
      <c r="D1348">
        <v>10</v>
      </c>
      <c r="E1348">
        <v>3</v>
      </c>
      <c r="F1348">
        <v>34.240899535813497</v>
      </c>
      <c r="G1348">
        <v>91</v>
      </c>
      <c r="H1348">
        <v>19</v>
      </c>
      <c r="I1348">
        <v>32</v>
      </c>
      <c r="J1348">
        <v>2</v>
      </c>
      <c r="K1348">
        <v>0</v>
      </c>
      <c r="L1348" s="2">
        <f t="shared" si="126"/>
        <v>45292</v>
      </c>
      <c r="M1348" s="2">
        <f t="shared" ca="1" si="127"/>
        <v>45312</v>
      </c>
      <c r="N1348" s="2" t="str">
        <f t="shared" ca="1" si="128"/>
        <v>N/A</v>
      </c>
      <c r="O1348" s="3">
        <f t="shared" ca="1" si="129"/>
        <v>20</v>
      </c>
      <c r="P1348" s="3" t="str">
        <f t="shared" ca="1" si="130"/>
        <v>N/A</v>
      </c>
      <c r="Q1348" s="1" t="str">
        <f>IF(K1348=1,"Joined",IF(H1348&gt;=70,"Dropped at Offer",IF(H1348&gt;=50,"Dropped at Interview","Dropped at Screening")))</f>
        <v>Dropped at Screening</v>
      </c>
      <c r="R1348" s="1" t="str">
        <f t="shared" ca="1" si="131"/>
        <v>Jan-2024</v>
      </c>
    </row>
    <row r="1349" spans="1:18">
      <c r="A1349">
        <v>30</v>
      </c>
      <c r="B1349">
        <v>1</v>
      </c>
      <c r="C1349">
        <v>3</v>
      </c>
      <c r="D1349">
        <v>0</v>
      </c>
      <c r="E1349">
        <v>4</v>
      </c>
      <c r="F1349">
        <v>6.2609777619084799</v>
      </c>
      <c r="G1349">
        <v>60</v>
      </c>
      <c r="H1349">
        <v>100</v>
      </c>
      <c r="I1349">
        <v>76</v>
      </c>
      <c r="J1349">
        <v>1</v>
      </c>
      <c r="K1349">
        <v>1</v>
      </c>
      <c r="L1349" s="2">
        <f t="shared" si="126"/>
        <v>45292</v>
      </c>
      <c r="M1349" s="2">
        <f t="shared" ca="1" si="127"/>
        <v>45335</v>
      </c>
      <c r="N1349" s="2">
        <f t="shared" ca="1" si="128"/>
        <v>45356</v>
      </c>
      <c r="O1349" s="3">
        <f t="shared" ca="1" si="129"/>
        <v>43</v>
      </c>
      <c r="P1349" s="3">
        <f t="shared" ca="1" si="130"/>
        <v>21</v>
      </c>
      <c r="Q1349" s="1" t="str">
        <f>IF(K1349=1,"Joined",IF(H1349&gt;=70,"Dropped at Offer",IF(H1349&gt;=50,"Dropped at Interview","Dropped at Screening")))</f>
        <v>Joined</v>
      </c>
      <c r="R1349" s="1" t="str">
        <f t="shared" ca="1" si="131"/>
        <v>Feb-2024</v>
      </c>
    </row>
    <row r="1350" spans="1:18">
      <c r="A1350">
        <v>50</v>
      </c>
      <c r="B1350">
        <v>1</v>
      </c>
      <c r="C1350">
        <v>3</v>
      </c>
      <c r="D1350">
        <v>5</v>
      </c>
      <c r="E1350">
        <v>1</v>
      </c>
      <c r="F1350">
        <v>34.600988109026702</v>
      </c>
      <c r="G1350">
        <v>14</v>
      </c>
      <c r="H1350">
        <v>47</v>
      </c>
      <c r="I1350">
        <v>55</v>
      </c>
      <c r="J1350">
        <v>1</v>
      </c>
      <c r="K1350">
        <v>0</v>
      </c>
      <c r="L1350" s="2">
        <f t="shared" si="126"/>
        <v>45292</v>
      </c>
      <c r="M1350" s="2">
        <f t="shared" ca="1" si="127"/>
        <v>45320</v>
      </c>
      <c r="N1350" s="2" t="str">
        <f t="shared" ca="1" si="128"/>
        <v>N/A</v>
      </c>
      <c r="O1350" s="3">
        <f t="shared" ca="1" si="129"/>
        <v>28</v>
      </c>
      <c r="P1350" s="3" t="str">
        <f t="shared" ca="1" si="130"/>
        <v>N/A</v>
      </c>
      <c r="Q1350" s="1" t="str">
        <f>IF(K1350=1,"Joined",IF(H1350&gt;=70,"Dropped at Offer",IF(H1350&gt;=50,"Dropped at Interview","Dropped at Screening")))</f>
        <v>Dropped at Screening</v>
      </c>
      <c r="R1350" s="1" t="str">
        <f t="shared" ca="1" si="131"/>
        <v>Jan-2024</v>
      </c>
    </row>
    <row r="1351" spans="1:18">
      <c r="A1351">
        <v>23</v>
      </c>
      <c r="B1351">
        <v>0</v>
      </c>
      <c r="C1351">
        <v>3</v>
      </c>
      <c r="D1351">
        <v>2</v>
      </c>
      <c r="E1351">
        <v>3</v>
      </c>
      <c r="F1351">
        <v>32.771396035148598</v>
      </c>
      <c r="G1351">
        <v>93</v>
      </c>
      <c r="H1351">
        <v>70</v>
      </c>
      <c r="I1351">
        <v>35</v>
      </c>
      <c r="J1351">
        <v>2</v>
      </c>
      <c r="K1351">
        <v>0</v>
      </c>
      <c r="L1351" s="2">
        <f t="shared" si="126"/>
        <v>45292</v>
      </c>
      <c r="M1351" s="2">
        <f t="shared" ca="1" si="127"/>
        <v>45334</v>
      </c>
      <c r="N1351" s="2" t="str">
        <f t="shared" ca="1" si="128"/>
        <v>N/A</v>
      </c>
      <c r="O1351" s="3">
        <f t="shared" ca="1" si="129"/>
        <v>42</v>
      </c>
      <c r="P1351" s="3" t="str">
        <f t="shared" ca="1" si="130"/>
        <v>N/A</v>
      </c>
      <c r="Q1351" s="1" t="str">
        <f>IF(K1351=1,"Joined",IF(H1351&gt;=70,"Dropped at Offer",IF(H1351&gt;=50,"Dropped at Interview","Dropped at Screening")))</f>
        <v>Dropped at Offer</v>
      </c>
      <c r="R1351" s="1" t="str">
        <f t="shared" ca="1" si="131"/>
        <v>Feb-2024</v>
      </c>
    </row>
    <row r="1352" spans="1:18">
      <c r="A1352">
        <v>32</v>
      </c>
      <c r="B1352">
        <v>1</v>
      </c>
      <c r="C1352">
        <v>2</v>
      </c>
      <c r="D1352">
        <v>7</v>
      </c>
      <c r="E1352">
        <v>4</v>
      </c>
      <c r="F1352">
        <v>41.288195914666503</v>
      </c>
      <c r="G1352">
        <v>50</v>
      </c>
      <c r="H1352">
        <v>53</v>
      </c>
      <c r="I1352">
        <v>53</v>
      </c>
      <c r="J1352">
        <v>2</v>
      </c>
      <c r="K1352">
        <v>0</v>
      </c>
      <c r="L1352" s="2">
        <f t="shared" si="126"/>
        <v>45292</v>
      </c>
      <c r="M1352" s="2">
        <f t="shared" ca="1" si="127"/>
        <v>45308</v>
      </c>
      <c r="N1352" s="2" t="str">
        <f t="shared" ca="1" si="128"/>
        <v>N/A</v>
      </c>
      <c r="O1352" s="3">
        <f t="shared" ca="1" si="129"/>
        <v>16</v>
      </c>
      <c r="P1352" s="3" t="str">
        <f t="shared" ca="1" si="130"/>
        <v>N/A</v>
      </c>
      <c r="Q1352" s="1" t="str">
        <f>IF(K1352=1,"Joined",IF(H1352&gt;=70,"Dropped at Offer",IF(H1352&gt;=50,"Dropped at Interview","Dropped at Screening")))</f>
        <v>Dropped at Interview</v>
      </c>
      <c r="R1352" s="1" t="str">
        <f t="shared" ca="1" si="131"/>
        <v>Jan-2024</v>
      </c>
    </row>
    <row r="1353" spans="1:18">
      <c r="A1353">
        <v>30</v>
      </c>
      <c r="B1353">
        <v>1</v>
      </c>
      <c r="C1353">
        <v>2</v>
      </c>
      <c r="D1353">
        <v>5</v>
      </c>
      <c r="E1353">
        <v>1</v>
      </c>
      <c r="F1353">
        <v>42.262433332609</v>
      </c>
      <c r="G1353">
        <v>26</v>
      </c>
      <c r="H1353">
        <v>77</v>
      </c>
      <c r="I1353">
        <v>18</v>
      </c>
      <c r="J1353">
        <v>1</v>
      </c>
      <c r="K1353">
        <v>0</v>
      </c>
      <c r="L1353" s="2">
        <f t="shared" si="126"/>
        <v>45292</v>
      </c>
      <c r="M1353" s="2">
        <f t="shared" ca="1" si="127"/>
        <v>45336</v>
      </c>
      <c r="N1353" s="2" t="str">
        <f t="shared" ca="1" si="128"/>
        <v>N/A</v>
      </c>
      <c r="O1353" s="3">
        <f t="shared" ca="1" si="129"/>
        <v>44</v>
      </c>
      <c r="P1353" s="3" t="str">
        <f t="shared" ca="1" si="130"/>
        <v>N/A</v>
      </c>
      <c r="Q1353" s="1" t="str">
        <f>IF(K1353=1,"Joined",IF(H1353&gt;=70,"Dropped at Offer",IF(H1353&gt;=50,"Dropped at Interview","Dropped at Screening")))</f>
        <v>Dropped at Offer</v>
      </c>
      <c r="R1353" s="1" t="str">
        <f t="shared" ca="1" si="131"/>
        <v>Feb-2024</v>
      </c>
    </row>
    <row r="1354" spans="1:18">
      <c r="A1354">
        <v>22</v>
      </c>
      <c r="B1354">
        <v>0</v>
      </c>
      <c r="C1354">
        <v>2</v>
      </c>
      <c r="D1354">
        <v>11</v>
      </c>
      <c r="E1354">
        <v>3</v>
      </c>
      <c r="F1354">
        <v>44.410153788948897</v>
      </c>
      <c r="G1354">
        <v>85</v>
      </c>
      <c r="H1354">
        <v>74</v>
      </c>
      <c r="I1354">
        <v>42</v>
      </c>
      <c r="J1354">
        <v>2</v>
      </c>
      <c r="K1354">
        <v>0</v>
      </c>
      <c r="L1354" s="2">
        <f t="shared" si="126"/>
        <v>45292</v>
      </c>
      <c r="M1354" s="2">
        <f t="shared" ca="1" si="127"/>
        <v>45322</v>
      </c>
      <c r="N1354" s="2" t="str">
        <f t="shared" ca="1" si="128"/>
        <v>N/A</v>
      </c>
      <c r="O1354" s="3">
        <f t="shared" ca="1" si="129"/>
        <v>30</v>
      </c>
      <c r="P1354" s="3" t="str">
        <f t="shared" ca="1" si="130"/>
        <v>N/A</v>
      </c>
      <c r="Q1354" s="1" t="str">
        <f>IF(K1354=1,"Joined",IF(H1354&gt;=70,"Dropped at Offer",IF(H1354&gt;=50,"Dropped at Interview","Dropped at Screening")))</f>
        <v>Dropped at Offer</v>
      </c>
      <c r="R1354" s="1" t="str">
        <f t="shared" ca="1" si="131"/>
        <v>Jan-2024</v>
      </c>
    </row>
    <row r="1355" spans="1:18">
      <c r="A1355">
        <v>20</v>
      </c>
      <c r="B1355">
        <v>1</v>
      </c>
      <c r="C1355">
        <v>2</v>
      </c>
      <c r="D1355">
        <v>1</v>
      </c>
      <c r="E1355">
        <v>2</v>
      </c>
      <c r="F1355">
        <v>21.706575728954899</v>
      </c>
      <c r="G1355">
        <v>73</v>
      </c>
      <c r="H1355">
        <v>70</v>
      </c>
      <c r="I1355">
        <v>11</v>
      </c>
      <c r="J1355">
        <v>1</v>
      </c>
      <c r="K1355">
        <v>1</v>
      </c>
      <c r="L1355" s="2">
        <f t="shared" si="126"/>
        <v>45292</v>
      </c>
      <c r="M1355" s="2">
        <f t="shared" ca="1" si="127"/>
        <v>45334</v>
      </c>
      <c r="N1355" s="2">
        <f t="shared" ca="1" si="128"/>
        <v>45352</v>
      </c>
      <c r="O1355" s="3">
        <f t="shared" ca="1" si="129"/>
        <v>42</v>
      </c>
      <c r="P1355" s="3">
        <f t="shared" ca="1" si="130"/>
        <v>18</v>
      </c>
      <c r="Q1355" s="1" t="str">
        <f>IF(K1355=1,"Joined",IF(H1355&gt;=70,"Dropped at Offer",IF(H1355&gt;=50,"Dropped at Interview","Dropped at Screening")))</f>
        <v>Joined</v>
      </c>
      <c r="R1355" s="1" t="str">
        <f t="shared" ca="1" si="131"/>
        <v>Feb-2024</v>
      </c>
    </row>
    <row r="1356" spans="1:18">
      <c r="A1356">
        <v>25</v>
      </c>
      <c r="B1356">
        <v>0</v>
      </c>
      <c r="C1356">
        <v>2</v>
      </c>
      <c r="D1356">
        <v>5</v>
      </c>
      <c r="E1356">
        <v>2</v>
      </c>
      <c r="F1356">
        <v>35.893219767607199</v>
      </c>
      <c r="G1356">
        <v>60</v>
      </c>
      <c r="H1356">
        <v>28</v>
      </c>
      <c r="I1356">
        <v>10</v>
      </c>
      <c r="J1356">
        <v>1</v>
      </c>
      <c r="K1356">
        <v>0</v>
      </c>
      <c r="L1356" s="2">
        <f t="shared" si="126"/>
        <v>45292</v>
      </c>
      <c r="M1356" s="2">
        <f t="shared" ca="1" si="127"/>
        <v>45336</v>
      </c>
      <c r="N1356" s="2" t="str">
        <f t="shared" ca="1" si="128"/>
        <v>N/A</v>
      </c>
      <c r="O1356" s="3">
        <f t="shared" ca="1" si="129"/>
        <v>44</v>
      </c>
      <c r="P1356" s="3" t="str">
        <f t="shared" ca="1" si="130"/>
        <v>N/A</v>
      </c>
      <c r="Q1356" s="1" t="str">
        <f>IF(K1356=1,"Joined",IF(H1356&gt;=70,"Dropped at Offer",IF(H1356&gt;=50,"Dropped at Interview","Dropped at Screening")))</f>
        <v>Dropped at Screening</v>
      </c>
      <c r="R1356" s="1" t="str">
        <f t="shared" ca="1" si="131"/>
        <v>Feb-2024</v>
      </c>
    </row>
    <row r="1357" spans="1:18">
      <c r="A1357">
        <v>37</v>
      </c>
      <c r="B1357">
        <v>1</v>
      </c>
      <c r="C1357">
        <v>1</v>
      </c>
      <c r="D1357">
        <v>6</v>
      </c>
      <c r="E1357">
        <v>2</v>
      </c>
      <c r="F1357">
        <v>14.4125179461155</v>
      </c>
      <c r="G1357">
        <v>57</v>
      </c>
      <c r="H1357">
        <v>73</v>
      </c>
      <c r="I1357">
        <v>69</v>
      </c>
      <c r="J1357">
        <v>2</v>
      </c>
      <c r="K1357">
        <v>0</v>
      </c>
      <c r="L1357" s="2">
        <f t="shared" si="126"/>
        <v>45292</v>
      </c>
      <c r="M1357" s="2">
        <f t="shared" ca="1" si="127"/>
        <v>45316</v>
      </c>
      <c r="N1357" s="2" t="str">
        <f t="shared" ca="1" si="128"/>
        <v>N/A</v>
      </c>
      <c r="O1357" s="3">
        <f t="shared" ca="1" si="129"/>
        <v>24</v>
      </c>
      <c r="P1357" s="3" t="str">
        <f t="shared" ca="1" si="130"/>
        <v>N/A</v>
      </c>
      <c r="Q1357" s="1" t="str">
        <f>IF(K1357=1,"Joined",IF(H1357&gt;=70,"Dropped at Offer",IF(H1357&gt;=50,"Dropped at Interview","Dropped at Screening")))</f>
        <v>Dropped at Offer</v>
      </c>
      <c r="R1357" s="1" t="str">
        <f t="shared" ca="1" si="131"/>
        <v>Jan-2024</v>
      </c>
    </row>
    <row r="1358" spans="1:18">
      <c r="A1358">
        <v>43</v>
      </c>
      <c r="B1358">
        <v>0</v>
      </c>
      <c r="C1358">
        <v>2</v>
      </c>
      <c r="D1358">
        <v>4</v>
      </c>
      <c r="E1358">
        <v>4</v>
      </c>
      <c r="F1358">
        <v>50.966813999175201</v>
      </c>
      <c r="G1358">
        <v>30</v>
      </c>
      <c r="H1358">
        <v>92</v>
      </c>
      <c r="I1358">
        <v>11</v>
      </c>
      <c r="J1358">
        <v>2</v>
      </c>
      <c r="K1358">
        <v>0</v>
      </c>
      <c r="L1358" s="2">
        <f t="shared" si="126"/>
        <v>45292</v>
      </c>
      <c r="M1358" s="2">
        <f t="shared" ca="1" si="127"/>
        <v>45306</v>
      </c>
      <c r="N1358" s="2" t="str">
        <f t="shared" ca="1" si="128"/>
        <v>N/A</v>
      </c>
      <c r="O1358" s="3">
        <f t="shared" ca="1" si="129"/>
        <v>14</v>
      </c>
      <c r="P1358" s="3" t="str">
        <f t="shared" ca="1" si="130"/>
        <v>N/A</v>
      </c>
      <c r="Q1358" s="1" t="str">
        <f>IF(K1358=1,"Joined",IF(H1358&gt;=70,"Dropped at Offer",IF(H1358&gt;=50,"Dropped at Interview","Dropped at Screening")))</f>
        <v>Dropped at Offer</v>
      </c>
      <c r="R1358" s="1" t="str">
        <f t="shared" ca="1" si="131"/>
        <v>Jan-2024</v>
      </c>
    </row>
    <row r="1359" spans="1:18">
      <c r="A1359">
        <v>29</v>
      </c>
      <c r="B1359">
        <v>1</v>
      </c>
      <c r="C1359">
        <v>2</v>
      </c>
      <c r="D1359">
        <v>2</v>
      </c>
      <c r="E1359">
        <v>2</v>
      </c>
      <c r="F1359">
        <v>9.76671206884299</v>
      </c>
      <c r="G1359">
        <v>90</v>
      </c>
      <c r="H1359">
        <v>72</v>
      </c>
      <c r="I1359">
        <v>90</v>
      </c>
      <c r="J1359">
        <v>2</v>
      </c>
      <c r="K1359">
        <v>0</v>
      </c>
      <c r="L1359" s="2">
        <f t="shared" si="126"/>
        <v>45292</v>
      </c>
      <c r="M1359" s="2">
        <f t="shared" ca="1" si="127"/>
        <v>45337</v>
      </c>
      <c r="N1359" s="2" t="str">
        <f t="shared" ca="1" si="128"/>
        <v>N/A</v>
      </c>
      <c r="O1359" s="3">
        <f t="shared" ca="1" si="129"/>
        <v>45</v>
      </c>
      <c r="P1359" s="3" t="str">
        <f t="shared" ca="1" si="130"/>
        <v>N/A</v>
      </c>
      <c r="Q1359" s="1" t="str">
        <f>IF(K1359=1,"Joined",IF(H1359&gt;=70,"Dropped at Offer",IF(H1359&gt;=50,"Dropped at Interview","Dropped at Screening")))</f>
        <v>Dropped at Offer</v>
      </c>
      <c r="R1359" s="1" t="str">
        <f t="shared" ca="1" si="131"/>
        <v>Feb-2024</v>
      </c>
    </row>
    <row r="1360" spans="1:18">
      <c r="A1360">
        <v>24</v>
      </c>
      <c r="B1360">
        <v>0</v>
      </c>
      <c r="C1360">
        <v>2</v>
      </c>
      <c r="D1360">
        <v>3</v>
      </c>
      <c r="E1360">
        <v>5</v>
      </c>
      <c r="F1360">
        <v>1.50572158304179</v>
      </c>
      <c r="G1360">
        <v>11</v>
      </c>
      <c r="H1360">
        <v>99</v>
      </c>
      <c r="I1360">
        <v>40</v>
      </c>
      <c r="J1360">
        <v>2</v>
      </c>
      <c r="K1360">
        <v>0</v>
      </c>
      <c r="L1360" s="2">
        <f t="shared" si="126"/>
        <v>45292</v>
      </c>
      <c r="M1360" s="2">
        <f t="shared" ca="1" si="127"/>
        <v>45336</v>
      </c>
      <c r="N1360" s="2" t="str">
        <f t="shared" ca="1" si="128"/>
        <v>N/A</v>
      </c>
      <c r="O1360" s="3">
        <f t="shared" ca="1" si="129"/>
        <v>44</v>
      </c>
      <c r="P1360" s="3" t="str">
        <f t="shared" ca="1" si="130"/>
        <v>N/A</v>
      </c>
      <c r="Q1360" s="1" t="str">
        <f>IF(K1360=1,"Joined",IF(H1360&gt;=70,"Dropped at Offer",IF(H1360&gt;=50,"Dropped at Interview","Dropped at Screening")))</f>
        <v>Dropped at Offer</v>
      </c>
      <c r="R1360" s="1" t="str">
        <f t="shared" ca="1" si="131"/>
        <v>Feb-2024</v>
      </c>
    </row>
    <row r="1361" spans="1:18">
      <c r="A1361">
        <v>42</v>
      </c>
      <c r="B1361">
        <v>1</v>
      </c>
      <c r="C1361">
        <v>3</v>
      </c>
      <c r="D1361">
        <v>3</v>
      </c>
      <c r="E1361">
        <v>1</v>
      </c>
      <c r="F1361">
        <v>8.4404357259088005</v>
      </c>
      <c r="G1361">
        <v>45</v>
      </c>
      <c r="H1361">
        <v>47</v>
      </c>
      <c r="I1361">
        <v>24</v>
      </c>
      <c r="J1361">
        <v>3</v>
      </c>
      <c r="K1361">
        <v>0</v>
      </c>
      <c r="L1361" s="2">
        <f t="shared" si="126"/>
        <v>45292</v>
      </c>
      <c r="M1361" s="2">
        <f t="shared" ca="1" si="127"/>
        <v>45319</v>
      </c>
      <c r="N1361" s="2" t="str">
        <f t="shared" ca="1" si="128"/>
        <v>N/A</v>
      </c>
      <c r="O1361" s="3">
        <f t="shared" ca="1" si="129"/>
        <v>27</v>
      </c>
      <c r="P1361" s="3" t="str">
        <f t="shared" ca="1" si="130"/>
        <v>N/A</v>
      </c>
      <c r="Q1361" s="1" t="str">
        <f>IF(K1361=1,"Joined",IF(H1361&gt;=70,"Dropped at Offer",IF(H1361&gt;=50,"Dropped at Interview","Dropped at Screening")))</f>
        <v>Dropped at Screening</v>
      </c>
      <c r="R1361" s="1" t="str">
        <f t="shared" ca="1" si="131"/>
        <v>Jan-2024</v>
      </c>
    </row>
    <row r="1362" spans="1:18">
      <c r="A1362">
        <v>29</v>
      </c>
      <c r="B1362">
        <v>1</v>
      </c>
      <c r="C1362">
        <v>2</v>
      </c>
      <c r="D1362">
        <v>5</v>
      </c>
      <c r="E1362">
        <v>4</v>
      </c>
      <c r="F1362">
        <v>39.793614477206297</v>
      </c>
      <c r="G1362">
        <v>30</v>
      </c>
      <c r="H1362">
        <v>73</v>
      </c>
      <c r="I1362">
        <v>2</v>
      </c>
      <c r="J1362">
        <v>2</v>
      </c>
      <c r="K1362">
        <v>0</v>
      </c>
      <c r="L1362" s="2">
        <f t="shared" si="126"/>
        <v>45292</v>
      </c>
      <c r="M1362" s="2">
        <f t="shared" ca="1" si="127"/>
        <v>45332</v>
      </c>
      <c r="N1362" s="2" t="str">
        <f t="shared" ca="1" si="128"/>
        <v>N/A</v>
      </c>
      <c r="O1362" s="3">
        <f t="shared" ca="1" si="129"/>
        <v>40</v>
      </c>
      <c r="P1362" s="3" t="str">
        <f t="shared" ca="1" si="130"/>
        <v>N/A</v>
      </c>
      <c r="Q1362" s="1" t="str">
        <f>IF(K1362=1,"Joined",IF(H1362&gt;=70,"Dropped at Offer",IF(H1362&gt;=50,"Dropped at Interview","Dropped at Screening")))</f>
        <v>Dropped at Offer</v>
      </c>
      <c r="R1362" s="1" t="str">
        <f t="shared" ca="1" si="131"/>
        <v>Feb-2024</v>
      </c>
    </row>
    <row r="1363" spans="1:18">
      <c r="A1363">
        <v>31</v>
      </c>
      <c r="B1363">
        <v>0</v>
      </c>
      <c r="C1363">
        <v>1</v>
      </c>
      <c r="D1363">
        <v>9</v>
      </c>
      <c r="E1363">
        <v>2</v>
      </c>
      <c r="F1363">
        <v>23.339183825410501</v>
      </c>
      <c r="G1363">
        <v>31</v>
      </c>
      <c r="H1363">
        <v>82</v>
      </c>
      <c r="I1363">
        <v>2</v>
      </c>
      <c r="J1363">
        <v>1</v>
      </c>
      <c r="K1363">
        <v>1</v>
      </c>
      <c r="L1363" s="2">
        <f t="shared" si="126"/>
        <v>45292</v>
      </c>
      <c r="M1363" s="2">
        <f t="shared" ca="1" si="127"/>
        <v>45329</v>
      </c>
      <c r="N1363" s="2">
        <f t="shared" ca="1" si="128"/>
        <v>45350</v>
      </c>
      <c r="O1363" s="3">
        <f t="shared" ca="1" si="129"/>
        <v>37</v>
      </c>
      <c r="P1363" s="3">
        <f t="shared" ca="1" si="130"/>
        <v>21</v>
      </c>
      <c r="Q1363" s="1" t="str">
        <f>IF(K1363=1,"Joined",IF(H1363&gt;=70,"Dropped at Offer",IF(H1363&gt;=50,"Dropped at Interview","Dropped at Screening")))</f>
        <v>Joined</v>
      </c>
      <c r="R1363" s="1" t="str">
        <f t="shared" ca="1" si="131"/>
        <v>Feb-2024</v>
      </c>
    </row>
    <row r="1364" spans="1:18">
      <c r="A1364">
        <v>21</v>
      </c>
      <c r="B1364">
        <v>0</v>
      </c>
      <c r="C1364">
        <v>3</v>
      </c>
      <c r="D1364">
        <v>0</v>
      </c>
      <c r="E1364">
        <v>1</v>
      </c>
      <c r="F1364">
        <v>23.375012390521398</v>
      </c>
      <c r="G1364">
        <v>31</v>
      </c>
      <c r="H1364">
        <v>55</v>
      </c>
      <c r="I1364">
        <v>83</v>
      </c>
      <c r="J1364">
        <v>2</v>
      </c>
      <c r="K1364">
        <v>0</v>
      </c>
      <c r="L1364" s="2">
        <f t="shared" si="126"/>
        <v>45292</v>
      </c>
      <c r="M1364" s="2">
        <f t="shared" ca="1" si="127"/>
        <v>45306</v>
      </c>
      <c r="N1364" s="2" t="str">
        <f t="shared" ca="1" si="128"/>
        <v>N/A</v>
      </c>
      <c r="O1364" s="3">
        <f t="shared" ca="1" si="129"/>
        <v>14</v>
      </c>
      <c r="P1364" s="3" t="str">
        <f t="shared" ca="1" si="130"/>
        <v>N/A</v>
      </c>
      <c r="Q1364" s="1" t="str">
        <f>IF(K1364=1,"Joined",IF(H1364&gt;=70,"Dropped at Offer",IF(H1364&gt;=50,"Dropped at Interview","Dropped at Screening")))</f>
        <v>Dropped at Interview</v>
      </c>
      <c r="R1364" s="1" t="str">
        <f t="shared" ca="1" si="131"/>
        <v>Jan-2024</v>
      </c>
    </row>
    <row r="1365" spans="1:18">
      <c r="A1365">
        <v>32</v>
      </c>
      <c r="B1365">
        <v>0</v>
      </c>
      <c r="C1365">
        <v>1</v>
      </c>
      <c r="D1365">
        <v>10</v>
      </c>
      <c r="E1365">
        <v>3</v>
      </c>
      <c r="F1365">
        <v>48.751145980583402</v>
      </c>
      <c r="G1365">
        <v>98</v>
      </c>
      <c r="H1365">
        <v>94</v>
      </c>
      <c r="I1365">
        <v>27</v>
      </c>
      <c r="J1365">
        <v>1</v>
      </c>
      <c r="K1365">
        <v>1</v>
      </c>
      <c r="L1365" s="2">
        <f t="shared" si="126"/>
        <v>45292</v>
      </c>
      <c r="M1365" s="2">
        <f t="shared" ca="1" si="127"/>
        <v>45311</v>
      </c>
      <c r="N1365" s="2">
        <f t="shared" ca="1" si="128"/>
        <v>45335</v>
      </c>
      <c r="O1365" s="3">
        <f t="shared" ca="1" si="129"/>
        <v>19</v>
      </c>
      <c r="P1365" s="3">
        <f t="shared" ca="1" si="130"/>
        <v>24</v>
      </c>
      <c r="Q1365" s="1" t="str">
        <f>IF(K1365=1,"Joined",IF(H1365&gt;=70,"Dropped at Offer",IF(H1365&gt;=50,"Dropped at Interview","Dropped at Screening")))</f>
        <v>Joined</v>
      </c>
      <c r="R1365" s="1" t="str">
        <f t="shared" ca="1" si="131"/>
        <v>Jan-2024</v>
      </c>
    </row>
    <row r="1366" spans="1:18">
      <c r="A1366">
        <v>27</v>
      </c>
      <c r="B1366">
        <v>0</v>
      </c>
      <c r="C1366">
        <v>3</v>
      </c>
      <c r="D1366">
        <v>3</v>
      </c>
      <c r="E1366">
        <v>2</v>
      </c>
      <c r="F1366">
        <v>46.9817454014037</v>
      </c>
      <c r="G1366">
        <v>52</v>
      </c>
      <c r="H1366">
        <v>16</v>
      </c>
      <c r="I1366">
        <v>22</v>
      </c>
      <c r="J1366">
        <v>3</v>
      </c>
      <c r="K1366">
        <v>0</v>
      </c>
      <c r="L1366" s="2">
        <f t="shared" si="126"/>
        <v>45292</v>
      </c>
      <c r="M1366" s="2">
        <f t="shared" ca="1" si="127"/>
        <v>45310</v>
      </c>
      <c r="N1366" s="2" t="str">
        <f t="shared" ca="1" si="128"/>
        <v>N/A</v>
      </c>
      <c r="O1366" s="3">
        <f t="shared" ca="1" si="129"/>
        <v>18</v>
      </c>
      <c r="P1366" s="3" t="str">
        <f t="shared" ca="1" si="130"/>
        <v>N/A</v>
      </c>
      <c r="Q1366" s="1" t="str">
        <f>IF(K1366=1,"Joined",IF(H1366&gt;=70,"Dropped at Offer",IF(H1366&gt;=50,"Dropped at Interview","Dropped at Screening")))</f>
        <v>Dropped at Screening</v>
      </c>
      <c r="R1366" s="1" t="str">
        <f t="shared" ca="1" si="131"/>
        <v>Jan-2024</v>
      </c>
    </row>
    <row r="1367" spans="1:18">
      <c r="A1367">
        <v>21</v>
      </c>
      <c r="B1367">
        <v>1</v>
      </c>
      <c r="C1367">
        <v>3</v>
      </c>
      <c r="D1367">
        <v>9</v>
      </c>
      <c r="E1367">
        <v>1</v>
      </c>
      <c r="F1367">
        <v>16.559736890200401</v>
      </c>
      <c r="G1367">
        <v>60</v>
      </c>
      <c r="H1367">
        <v>8</v>
      </c>
      <c r="I1367">
        <v>47</v>
      </c>
      <c r="J1367">
        <v>1</v>
      </c>
      <c r="K1367">
        <v>1</v>
      </c>
      <c r="L1367" s="2">
        <f t="shared" si="126"/>
        <v>45292</v>
      </c>
      <c r="M1367" s="2">
        <f t="shared" ca="1" si="127"/>
        <v>45337</v>
      </c>
      <c r="N1367" s="2">
        <f t="shared" ca="1" si="128"/>
        <v>45355</v>
      </c>
      <c r="O1367" s="3">
        <f t="shared" ca="1" si="129"/>
        <v>45</v>
      </c>
      <c r="P1367" s="3">
        <f t="shared" ca="1" si="130"/>
        <v>18</v>
      </c>
      <c r="Q1367" s="1" t="str">
        <f>IF(K1367=1,"Joined",IF(H1367&gt;=70,"Dropped at Offer",IF(H1367&gt;=50,"Dropped at Interview","Dropped at Screening")))</f>
        <v>Joined</v>
      </c>
      <c r="R1367" s="1" t="str">
        <f t="shared" ca="1" si="131"/>
        <v>Feb-2024</v>
      </c>
    </row>
    <row r="1368" spans="1:18">
      <c r="A1368">
        <v>39</v>
      </c>
      <c r="B1368">
        <v>1</v>
      </c>
      <c r="C1368">
        <v>2</v>
      </c>
      <c r="D1368">
        <v>12</v>
      </c>
      <c r="E1368">
        <v>5</v>
      </c>
      <c r="F1368">
        <v>11.4529064390433</v>
      </c>
      <c r="G1368">
        <v>45</v>
      </c>
      <c r="H1368">
        <v>96</v>
      </c>
      <c r="I1368">
        <v>66</v>
      </c>
      <c r="J1368">
        <v>2</v>
      </c>
      <c r="K1368">
        <v>0</v>
      </c>
      <c r="L1368" s="2">
        <f t="shared" si="126"/>
        <v>45292</v>
      </c>
      <c r="M1368" s="2">
        <f t="shared" ca="1" si="127"/>
        <v>45317</v>
      </c>
      <c r="N1368" s="2" t="str">
        <f t="shared" ca="1" si="128"/>
        <v>N/A</v>
      </c>
      <c r="O1368" s="3">
        <f t="shared" ca="1" si="129"/>
        <v>25</v>
      </c>
      <c r="P1368" s="3" t="str">
        <f t="shared" ca="1" si="130"/>
        <v>N/A</v>
      </c>
      <c r="Q1368" s="1" t="str">
        <f>IF(K1368=1,"Joined",IF(H1368&gt;=70,"Dropped at Offer",IF(H1368&gt;=50,"Dropped at Interview","Dropped at Screening")))</f>
        <v>Dropped at Offer</v>
      </c>
      <c r="R1368" s="1" t="str">
        <f t="shared" ca="1" si="131"/>
        <v>Jan-2024</v>
      </c>
    </row>
    <row r="1369" spans="1:18">
      <c r="A1369">
        <v>20</v>
      </c>
      <c r="B1369">
        <v>0</v>
      </c>
      <c r="C1369">
        <v>3</v>
      </c>
      <c r="D1369">
        <v>3</v>
      </c>
      <c r="E1369">
        <v>3</v>
      </c>
      <c r="F1369">
        <v>43.4241104966869</v>
      </c>
      <c r="G1369">
        <v>84</v>
      </c>
      <c r="H1369">
        <v>33</v>
      </c>
      <c r="I1369">
        <v>41</v>
      </c>
      <c r="J1369">
        <v>1</v>
      </c>
      <c r="K1369">
        <v>1</v>
      </c>
      <c r="L1369" s="2">
        <f t="shared" si="126"/>
        <v>45292</v>
      </c>
      <c r="M1369" s="2">
        <f t="shared" ca="1" si="127"/>
        <v>45307</v>
      </c>
      <c r="N1369" s="2">
        <f t="shared" ca="1" si="128"/>
        <v>45335</v>
      </c>
      <c r="O1369" s="3">
        <f t="shared" ca="1" si="129"/>
        <v>15</v>
      </c>
      <c r="P1369" s="3">
        <f t="shared" ca="1" si="130"/>
        <v>28</v>
      </c>
      <c r="Q1369" s="1" t="str">
        <f>IF(K1369=1,"Joined",IF(H1369&gt;=70,"Dropped at Offer",IF(H1369&gt;=50,"Dropped at Interview","Dropped at Screening")))</f>
        <v>Joined</v>
      </c>
      <c r="R1369" s="1" t="str">
        <f t="shared" ca="1" si="131"/>
        <v>Jan-2024</v>
      </c>
    </row>
    <row r="1370" spans="1:18">
      <c r="A1370">
        <v>50</v>
      </c>
      <c r="B1370">
        <v>1</v>
      </c>
      <c r="C1370">
        <v>2</v>
      </c>
      <c r="D1370">
        <v>9</v>
      </c>
      <c r="E1370">
        <v>5</v>
      </c>
      <c r="F1370">
        <v>46.300953552218097</v>
      </c>
      <c r="G1370">
        <v>73</v>
      </c>
      <c r="H1370">
        <v>44</v>
      </c>
      <c r="I1370">
        <v>87</v>
      </c>
      <c r="J1370">
        <v>3</v>
      </c>
      <c r="K1370">
        <v>0</v>
      </c>
      <c r="L1370" s="2">
        <f t="shared" si="126"/>
        <v>45292</v>
      </c>
      <c r="M1370" s="2">
        <f t="shared" ca="1" si="127"/>
        <v>45322</v>
      </c>
      <c r="N1370" s="2" t="str">
        <f t="shared" ca="1" si="128"/>
        <v>N/A</v>
      </c>
      <c r="O1370" s="3">
        <f t="shared" ca="1" si="129"/>
        <v>30</v>
      </c>
      <c r="P1370" s="3" t="str">
        <f t="shared" ca="1" si="130"/>
        <v>N/A</v>
      </c>
      <c r="Q1370" s="1" t="str">
        <f>IF(K1370=1,"Joined",IF(H1370&gt;=70,"Dropped at Offer",IF(H1370&gt;=50,"Dropped at Interview","Dropped at Screening")))</f>
        <v>Dropped at Screening</v>
      </c>
      <c r="R1370" s="1" t="str">
        <f t="shared" ca="1" si="131"/>
        <v>Jan-2024</v>
      </c>
    </row>
    <row r="1371" spans="1:18">
      <c r="A1371">
        <v>24</v>
      </c>
      <c r="B1371">
        <v>0</v>
      </c>
      <c r="C1371">
        <v>2</v>
      </c>
      <c r="D1371">
        <v>15</v>
      </c>
      <c r="E1371">
        <v>1</v>
      </c>
      <c r="F1371">
        <v>28.0798461399243</v>
      </c>
      <c r="G1371">
        <v>79</v>
      </c>
      <c r="H1371">
        <v>87</v>
      </c>
      <c r="I1371">
        <v>39</v>
      </c>
      <c r="J1371">
        <v>2</v>
      </c>
      <c r="K1371">
        <v>0</v>
      </c>
      <c r="L1371" s="2">
        <f t="shared" si="126"/>
        <v>45292</v>
      </c>
      <c r="M1371" s="2">
        <f t="shared" ca="1" si="127"/>
        <v>45335</v>
      </c>
      <c r="N1371" s="2" t="str">
        <f t="shared" ca="1" si="128"/>
        <v>N/A</v>
      </c>
      <c r="O1371" s="3">
        <f t="shared" ca="1" si="129"/>
        <v>43</v>
      </c>
      <c r="P1371" s="3" t="str">
        <f t="shared" ca="1" si="130"/>
        <v>N/A</v>
      </c>
      <c r="Q1371" s="1" t="str">
        <f>IF(K1371=1,"Joined",IF(H1371&gt;=70,"Dropped at Offer",IF(H1371&gt;=50,"Dropped at Interview","Dropped at Screening")))</f>
        <v>Dropped at Offer</v>
      </c>
      <c r="R1371" s="1" t="str">
        <f t="shared" ca="1" si="131"/>
        <v>Feb-2024</v>
      </c>
    </row>
    <row r="1372" spans="1:18">
      <c r="A1372">
        <v>28</v>
      </c>
      <c r="B1372">
        <v>0</v>
      </c>
      <c r="C1372">
        <v>1</v>
      </c>
      <c r="D1372">
        <v>0</v>
      </c>
      <c r="E1372">
        <v>5</v>
      </c>
      <c r="F1372">
        <v>32.471185555855001</v>
      </c>
      <c r="G1372">
        <v>6</v>
      </c>
      <c r="H1372">
        <v>8</v>
      </c>
      <c r="I1372">
        <v>5</v>
      </c>
      <c r="J1372">
        <v>3</v>
      </c>
      <c r="K1372">
        <v>0</v>
      </c>
      <c r="L1372" s="2">
        <f t="shared" si="126"/>
        <v>45292</v>
      </c>
      <c r="M1372" s="2">
        <f t="shared" ca="1" si="127"/>
        <v>45336</v>
      </c>
      <c r="N1372" s="2" t="str">
        <f t="shared" ca="1" si="128"/>
        <v>N/A</v>
      </c>
      <c r="O1372" s="3">
        <f t="shared" ca="1" si="129"/>
        <v>44</v>
      </c>
      <c r="P1372" s="3" t="str">
        <f t="shared" ca="1" si="130"/>
        <v>N/A</v>
      </c>
      <c r="Q1372" s="1" t="str">
        <f>IF(K1372=1,"Joined",IF(H1372&gt;=70,"Dropped at Offer",IF(H1372&gt;=50,"Dropped at Interview","Dropped at Screening")))</f>
        <v>Dropped at Screening</v>
      </c>
      <c r="R1372" s="1" t="str">
        <f t="shared" ca="1" si="131"/>
        <v>Feb-2024</v>
      </c>
    </row>
    <row r="1373" spans="1:18">
      <c r="A1373">
        <v>36</v>
      </c>
      <c r="B1373">
        <v>1</v>
      </c>
      <c r="C1373">
        <v>2</v>
      </c>
      <c r="D1373">
        <v>8</v>
      </c>
      <c r="E1373">
        <v>1</v>
      </c>
      <c r="F1373">
        <v>13.845714234614601</v>
      </c>
      <c r="G1373">
        <v>3</v>
      </c>
      <c r="H1373">
        <v>6</v>
      </c>
      <c r="I1373">
        <v>19</v>
      </c>
      <c r="J1373">
        <v>1</v>
      </c>
      <c r="K1373">
        <v>0</v>
      </c>
      <c r="L1373" s="2">
        <f t="shared" si="126"/>
        <v>45292</v>
      </c>
      <c r="M1373" s="2">
        <f t="shared" ca="1" si="127"/>
        <v>45323</v>
      </c>
      <c r="N1373" s="2" t="str">
        <f t="shared" ca="1" si="128"/>
        <v>N/A</v>
      </c>
      <c r="O1373" s="3">
        <f t="shared" ca="1" si="129"/>
        <v>31</v>
      </c>
      <c r="P1373" s="3" t="str">
        <f t="shared" ca="1" si="130"/>
        <v>N/A</v>
      </c>
      <c r="Q1373" s="1" t="str">
        <f>IF(K1373=1,"Joined",IF(H1373&gt;=70,"Dropped at Offer",IF(H1373&gt;=50,"Dropped at Interview","Dropped at Screening")))</f>
        <v>Dropped at Screening</v>
      </c>
      <c r="R1373" s="1" t="str">
        <f t="shared" ca="1" si="131"/>
        <v>Feb-2024</v>
      </c>
    </row>
    <row r="1374" spans="1:18">
      <c r="A1374">
        <v>28</v>
      </c>
      <c r="B1374">
        <v>1</v>
      </c>
      <c r="C1374">
        <v>4</v>
      </c>
      <c r="D1374">
        <v>3</v>
      </c>
      <c r="E1374">
        <v>1</v>
      </c>
      <c r="F1374">
        <v>41.040134398926199</v>
      </c>
      <c r="G1374">
        <v>90</v>
      </c>
      <c r="H1374">
        <v>15</v>
      </c>
      <c r="I1374">
        <v>10</v>
      </c>
      <c r="J1374">
        <v>1</v>
      </c>
      <c r="K1374">
        <v>1</v>
      </c>
      <c r="L1374" s="2">
        <f t="shared" si="126"/>
        <v>45292</v>
      </c>
      <c r="M1374" s="2">
        <f t="shared" ca="1" si="127"/>
        <v>45320</v>
      </c>
      <c r="N1374" s="2">
        <f t="shared" ca="1" si="128"/>
        <v>45333</v>
      </c>
      <c r="O1374" s="3">
        <f t="shared" ca="1" si="129"/>
        <v>28</v>
      </c>
      <c r="P1374" s="3">
        <f t="shared" ca="1" si="130"/>
        <v>13</v>
      </c>
      <c r="Q1374" s="1" t="str">
        <f>IF(K1374=1,"Joined",IF(H1374&gt;=70,"Dropped at Offer",IF(H1374&gt;=50,"Dropped at Interview","Dropped at Screening")))</f>
        <v>Joined</v>
      </c>
      <c r="R1374" s="1" t="str">
        <f t="shared" ca="1" si="131"/>
        <v>Jan-2024</v>
      </c>
    </row>
    <row r="1375" spans="1:18">
      <c r="A1375">
        <v>30</v>
      </c>
      <c r="B1375">
        <v>1</v>
      </c>
      <c r="C1375">
        <v>2</v>
      </c>
      <c r="D1375">
        <v>6</v>
      </c>
      <c r="E1375">
        <v>5</v>
      </c>
      <c r="F1375">
        <v>32.606121422451103</v>
      </c>
      <c r="G1375">
        <v>51</v>
      </c>
      <c r="H1375">
        <v>18</v>
      </c>
      <c r="I1375">
        <v>95</v>
      </c>
      <c r="J1375">
        <v>1</v>
      </c>
      <c r="K1375">
        <v>1</v>
      </c>
      <c r="L1375" s="2">
        <f t="shared" si="126"/>
        <v>45292</v>
      </c>
      <c r="M1375" s="2">
        <f t="shared" ca="1" si="127"/>
        <v>45315</v>
      </c>
      <c r="N1375" s="2">
        <f t="shared" ca="1" si="128"/>
        <v>45334</v>
      </c>
      <c r="O1375" s="3">
        <f t="shared" ca="1" si="129"/>
        <v>23</v>
      </c>
      <c r="P1375" s="3">
        <f t="shared" ca="1" si="130"/>
        <v>19</v>
      </c>
      <c r="Q1375" s="1" t="str">
        <f>IF(K1375=1,"Joined",IF(H1375&gt;=70,"Dropped at Offer",IF(H1375&gt;=50,"Dropped at Interview","Dropped at Screening")))</f>
        <v>Joined</v>
      </c>
      <c r="R1375" s="1" t="str">
        <f t="shared" ca="1" si="131"/>
        <v>Jan-2024</v>
      </c>
    </row>
    <row r="1376" spans="1:18">
      <c r="A1376">
        <v>34</v>
      </c>
      <c r="B1376">
        <v>1</v>
      </c>
      <c r="C1376">
        <v>2</v>
      </c>
      <c r="D1376">
        <v>11</v>
      </c>
      <c r="E1376">
        <v>1</v>
      </c>
      <c r="F1376">
        <v>26.175675564899802</v>
      </c>
      <c r="G1376">
        <v>88</v>
      </c>
      <c r="H1376">
        <v>5</v>
      </c>
      <c r="I1376">
        <v>26</v>
      </c>
      <c r="J1376">
        <v>3</v>
      </c>
      <c r="K1376">
        <v>0</v>
      </c>
      <c r="L1376" s="2">
        <f t="shared" si="126"/>
        <v>45292</v>
      </c>
      <c r="M1376" s="2">
        <f t="shared" ca="1" si="127"/>
        <v>45319</v>
      </c>
      <c r="N1376" s="2" t="str">
        <f t="shared" ca="1" si="128"/>
        <v>N/A</v>
      </c>
      <c r="O1376" s="3">
        <f t="shared" ca="1" si="129"/>
        <v>27</v>
      </c>
      <c r="P1376" s="3" t="str">
        <f t="shared" ca="1" si="130"/>
        <v>N/A</v>
      </c>
      <c r="Q1376" s="1" t="str">
        <f>IF(K1376=1,"Joined",IF(H1376&gt;=70,"Dropped at Offer",IF(H1376&gt;=50,"Dropped at Interview","Dropped at Screening")))</f>
        <v>Dropped at Screening</v>
      </c>
      <c r="R1376" s="1" t="str">
        <f t="shared" ca="1" si="131"/>
        <v>Jan-2024</v>
      </c>
    </row>
    <row r="1377" spans="1:18">
      <c r="A1377">
        <v>43</v>
      </c>
      <c r="B1377">
        <v>1</v>
      </c>
      <c r="C1377">
        <v>2</v>
      </c>
      <c r="D1377">
        <v>13</v>
      </c>
      <c r="E1377">
        <v>2</v>
      </c>
      <c r="F1377">
        <v>4.0054278039197904</v>
      </c>
      <c r="G1377">
        <v>30</v>
      </c>
      <c r="H1377">
        <v>10</v>
      </c>
      <c r="I1377">
        <v>20</v>
      </c>
      <c r="J1377">
        <v>3</v>
      </c>
      <c r="K1377">
        <v>0</v>
      </c>
      <c r="L1377" s="2">
        <f t="shared" si="126"/>
        <v>45292</v>
      </c>
      <c r="M1377" s="2">
        <f t="shared" ca="1" si="127"/>
        <v>45323</v>
      </c>
      <c r="N1377" s="2" t="str">
        <f t="shared" ca="1" si="128"/>
        <v>N/A</v>
      </c>
      <c r="O1377" s="3">
        <f t="shared" ca="1" si="129"/>
        <v>31</v>
      </c>
      <c r="P1377" s="3" t="str">
        <f t="shared" ca="1" si="130"/>
        <v>N/A</v>
      </c>
      <c r="Q1377" s="1" t="str">
        <f>IF(K1377=1,"Joined",IF(H1377&gt;=70,"Dropped at Offer",IF(H1377&gt;=50,"Dropped at Interview","Dropped at Screening")))</f>
        <v>Dropped at Screening</v>
      </c>
      <c r="R1377" s="1" t="str">
        <f t="shared" ca="1" si="131"/>
        <v>Feb-2024</v>
      </c>
    </row>
    <row r="1378" spans="1:18">
      <c r="A1378">
        <v>25</v>
      </c>
      <c r="B1378">
        <v>1</v>
      </c>
      <c r="C1378">
        <v>2</v>
      </c>
      <c r="D1378">
        <v>2</v>
      </c>
      <c r="E1378">
        <v>1</v>
      </c>
      <c r="F1378">
        <v>46.796748125557599</v>
      </c>
      <c r="G1378">
        <v>74</v>
      </c>
      <c r="H1378">
        <v>75</v>
      </c>
      <c r="I1378">
        <v>12</v>
      </c>
      <c r="J1378">
        <v>1</v>
      </c>
      <c r="K1378">
        <v>1</v>
      </c>
      <c r="L1378" s="2">
        <f t="shared" si="126"/>
        <v>45292</v>
      </c>
      <c r="M1378" s="2">
        <f t="shared" ca="1" si="127"/>
        <v>45323</v>
      </c>
      <c r="N1378" s="2">
        <f t="shared" ca="1" si="128"/>
        <v>45340</v>
      </c>
      <c r="O1378" s="3">
        <f t="shared" ca="1" si="129"/>
        <v>31</v>
      </c>
      <c r="P1378" s="3">
        <f t="shared" ca="1" si="130"/>
        <v>17</v>
      </c>
      <c r="Q1378" s="1" t="str">
        <f>IF(K1378=1,"Joined",IF(H1378&gt;=70,"Dropped at Offer",IF(H1378&gt;=50,"Dropped at Interview","Dropped at Screening")))</f>
        <v>Joined</v>
      </c>
      <c r="R1378" s="1" t="str">
        <f t="shared" ca="1" si="131"/>
        <v>Feb-2024</v>
      </c>
    </row>
    <row r="1379" spans="1:18">
      <c r="A1379">
        <v>42</v>
      </c>
      <c r="B1379">
        <v>1</v>
      </c>
      <c r="C1379">
        <v>1</v>
      </c>
      <c r="D1379">
        <v>9</v>
      </c>
      <c r="E1379">
        <v>4</v>
      </c>
      <c r="F1379">
        <v>31.772571019220301</v>
      </c>
      <c r="G1379">
        <v>83</v>
      </c>
      <c r="H1379">
        <v>60</v>
      </c>
      <c r="I1379">
        <v>85</v>
      </c>
      <c r="J1379">
        <v>1</v>
      </c>
      <c r="K1379">
        <v>1</v>
      </c>
      <c r="L1379" s="2">
        <f t="shared" si="126"/>
        <v>45292</v>
      </c>
      <c r="M1379" s="2">
        <f t="shared" ca="1" si="127"/>
        <v>45316</v>
      </c>
      <c r="N1379" s="2">
        <f t="shared" ca="1" si="128"/>
        <v>45345</v>
      </c>
      <c r="O1379" s="3">
        <f t="shared" ca="1" si="129"/>
        <v>24</v>
      </c>
      <c r="P1379" s="3">
        <f t="shared" ca="1" si="130"/>
        <v>29</v>
      </c>
      <c r="Q1379" s="1" t="str">
        <f>IF(K1379=1,"Joined",IF(H1379&gt;=70,"Dropped at Offer",IF(H1379&gt;=50,"Dropped at Interview","Dropped at Screening")))</f>
        <v>Joined</v>
      </c>
      <c r="R1379" s="1" t="str">
        <f t="shared" ca="1" si="131"/>
        <v>Jan-2024</v>
      </c>
    </row>
    <row r="1380" spans="1:18">
      <c r="A1380">
        <v>22</v>
      </c>
      <c r="B1380">
        <v>0</v>
      </c>
      <c r="C1380">
        <v>2</v>
      </c>
      <c r="D1380">
        <v>11</v>
      </c>
      <c r="E1380">
        <v>1</v>
      </c>
      <c r="F1380">
        <v>10.634554734648299</v>
      </c>
      <c r="G1380">
        <v>35</v>
      </c>
      <c r="H1380">
        <v>41</v>
      </c>
      <c r="I1380">
        <v>34</v>
      </c>
      <c r="J1380">
        <v>2</v>
      </c>
      <c r="K1380">
        <v>0</v>
      </c>
      <c r="L1380" s="2">
        <f t="shared" si="126"/>
        <v>45292</v>
      </c>
      <c r="M1380" s="2">
        <f t="shared" ca="1" si="127"/>
        <v>45329</v>
      </c>
      <c r="N1380" s="2" t="str">
        <f t="shared" ca="1" si="128"/>
        <v>N/A</v>
      </c>
      <c r="O1380" s="3">
        <f t="shared" ca="1" si="129"/>
        <v>37</v>
      </c>
      <c r="P1380" s="3" t="str">
        <f t="shared" ca="1" si="130"/>
        <v>N/A</v>
      </c>
      <c r="Q1380" s="1" t="str">
        <f>IF(K1380=1,"Joined",IF(H1380&gt;=70,"Dropped at Offer",IF(H1380&gt;=50,"Dropped at Interview","Dropped at Screening")))</f>
        <v>Dropped at Screening</v>
      </c>
      <c r="R1380" s="1" t="str">
        <f t="shared" ca="1" si="131"/>
        <v>Feb-2024</v>
      </c>
    </row>
    <row r="1381" spans="1:18">
      <c r="A1381">
        <v>49</v>
      </c>
      <c r="B1381">
        <v>0</v>
      </c>
      <c r="C1381">
        <v>3</v>
      </c>
      <c r="D1381">
        <v>2</v>
      </c>
      <c r="E1381">
        <v>4</v>
      </c>
      <c r="F1381">
        <v>31.319305849152599</v>
      </c>
      <c r="G1381">
        <v>53</v>
      </c>
      <c r="H1381">
        <v>12</v>
      </c>
      <c r="I1381">
        <v>46</v>
      </c>
      <c r="J1381">
        <v>1</v>
      </c>
      <c r="K1381">
        <v>0</v>
      </c>
      <c r="L1381" s="2">
        <f t="shared" si="126"/>
        <v>45292</v>
      </c>
      <c r="M1381" s="2">
        <f t="shared" ca="1" si="127"/>
        <v>45316</v>
      </c>
      <c r="N1381" s="2" t="str">
        <f t="shared" ca="1" si="128"/>
        <v>N/A</v>
      </c>
      <c r="O1381" s="3">
        <f t="shared" ca="1" si="129"/>
        <v>24</v>
      </c>
      <c r="P1381" s="3" t="str">
        <f t="shared" ca="1" si="130"/>
        <v>N/A</v>
      </c>
      <c r="Q1381" s="1" t="str">
        <f>IF(K1381=1,"Joined",IF(H1381&gt;=70,"Dropped at Offer",IF(H1381&gt;=50,"Dropped at Interview","Dropped at Screening")))</f>
        <v>Dropped at Screening</v>
      </c>
      <c r="R1381" s="1" t="str">
        <f t="shared" ca="1" si="131"/>
        <v>Jan-2024</v>
      </c>
    </row>
    <row r="1382" spans="1:18">
      <c r="A1382">
        <v>50</v>
      </c>
      <c r="B1382">
        <v>0</v>
      </c>
      <c r="C1382">
        <v>2</v>
      </c>
      <c r="D1382">
        <v>13</v>
      </c>
      <c r="E1382">
        <v>1</v>
      </c>
      <c r="F1382">
        <v>34.873167711998597</v>
      </c>
      <c r="G1382">
        <v>53</v>
      </c>
      <c r="H1382">
        <v>11</v>
      </c>
      <c r="I1382">
        <v>85</v>
      </c>
      <c r="J1382">
        <v>1</v>
      </c>
      <c r="K1382">
        <v>1</v>
      </c>
      <c r="L1382" s="2">
        <f t="shared" si="126"/>
        <v>45292</v>
      </c>
      <c r="M1382" s="2">
        <f t="shared" ca="1" si="127"/>
        <v>45323</v>
      </c>
      <c r="N1382" s="2">
        <f t="shared" ca="1" si="128"/>
        <v>45348</v>
      </c>
      <c r="O1382" s="3">
        <f t="shared" ca="1" si="129"/>
        <v>31</v>
      </c>
      <c r="P1382" s="3">
        <f t="shared" ca="1" si="130"/>
        <v>25</v>
      </c>
      <c r="Q1382" s="1" t="str">
        <f>IF(K1382=1,"Joined",IF(H1382&gt;=70,"Dropped at Offer",IF(H1382&gt;=50,"Dropped at Interview","Dropped at Screening")))</f>
        <v>Joined</v>
      </c>
      <c r="R1382" s="1" t="str">
        <f t="shared" ca="1" si="131"/>
        <v>Feb-2024</v>
      </c>
    </row>
    <row r="1383" spans="1:18">
      <c r="A1383">
        <v>36</v>
      </c>
      <c r="B1383">
        <v>0</v>
      </c>
      <c r="C1383">
        <v>2</v>
      </c>
      <c r="D1383">
        <v>7</v>
      </c>
      <c r="E1383">
        <v>1</v>
      </c>
      <c r="F1383">
        <v>27.2885168341612</v>
      </c>
      <c r="G1383">
        <v>16</v>
      </c>
      <c r="H1383">
        <v>84</v>
      </c>
      <c r="I1383">
        <v>27</v>
      </c>
      <c r="J1383">
        <v>1</v>
      </c>
      <c r="K1383">
        <v>1</v>
      </c>
      <c r="L1383" s="2">
        <f t="shared" si="126"/>
        <v>45292</v>
      </c>
      <c r="M1383" s="2">
        <f t="shared" ca="1" si="127"/>
        <v>45315</v>
      </c>
      <c r="N1383" s="2">
        <f t="shared" ca="1" si="128"/>
        <v>45340</v>
      </c>
      <c r="O1383" s="3">
        <f t="shared" ca="1" si="129"/>
        <v>23</v>
      </c>
      <c r="P1383" s="3">
        <f t="shared" ca="1" si="130"/>
        <v>25</v>
      </c>
      <c r="Q1383" s="1" t="str">
        <f>IF(K1383=1,"Joined",IF(H1383&gt;=70,"Dropped at Offer",IF(H1383&gt;=50,"Dropped at Interview","Dropped at Screening")))</f>
        <v>Joined</v>
      </c>
      <c r="R1383" s="1" t="str">
        <f t="shared" ca="1" si="131"/>
        <v>Jan-2024</v>
      </c>
    </row>
    <row r="1384" spans="1:18">
      <c r="A1384">
        <v>24</v>
      </c>
      <c r="B1384">
        <v>0</v>
      </c>
      <c r="C1384">
        <v>1</v>
      </c>
      <c r="D1384">
        <v>7</v>
      </c>
      <c r="E1384">
        <v>5</v>
      </c>
      <c r="F1384">
        <v>36.905086897801098</v>
      </c>
      <c r="G1384">
        <v>74</v>
      </c>
      <c r="H1384">
        <v>73</v>
      </c>
      <c r="I1384">
        <v>20</v>
      </c>
      <c r="J1384">
        <v>1</v>
      </c>
      <c r="K1384">
        <v>1</v>
      </c>
      <c r="L1384" s="2">
        <f t="shared" si="126"/>
        <v>45292</v>
      </c>
      <c r="M1384" s="2">
        <f t="shared" ca="1" si="127"/>
        <v>45309</v>
      </c>
      <c r="N1384" s="2">
        <f t="shared" ca="1" si="128"/>
        <v>45322</v>
      </c>
      <c r="O1384" s="3">
        <f t="shared" ca="1" si="129"/>
        <v>17</v>
      </c>
      <c r="P1384" s="3">
        <f t="shared" ca="1" si="130"/>
        <v>13</v>
      </c>
      <c r="Q1384" s="1" t="str">
        <f>IF(K1384=1,"Joined",IF(H1384&gt;=70,"Dropped at Offer",IF(H1384&gt;=50,"Dropped at Interview","Dropped at Screening")))</f>
        <v>Joined</v>
      </c>
      <c r="R1384" s="1" t="str">
        <f t="shared" ca="1" si="131"/>
        <v>Jan-2024</v>
      </c>
    </row>
    <row r="1385" spans="1:18">
      <c r="A1385">
        <v>49</v>
      </c>
      <c r="B1385">
        <v>1</v>
      </c>
      <c r="C1385">
        <v>2</v>
      </c>
      <c r="D1385">
        <v>10</v>
      </c>
      <c r="E1385">
        <v>2</v>
      </c>
      <c r="F1385">
        <v>30.072697396431199</v>
      </c>
      <c r="G1385">
        <v>29</v>
      </c>
      <c r="H1385">
        <v>19</v>
      </c>
      <c r="I1385">
        <v>17</v>
      </c>
      <c r="J1385">
        <v>1</v>
      </c>
      <c r="K1385">
        <v>1</v>
      </c>
      <c r="L1385" s="2">
        <f t="shared" si="126"/>
        <v>45292</v>
      </c>
      <c r="M1385" s="2">
        <f t="shared" ca="1" si="127"/>
        <v>45310</v>
      </c>
      <c r="N1385" s="2">
        <f t="shared" ca="1" si="128"/>
        <v>45337</v>
      </c>
      <c r="O1385" s="3">
        <f t="shared" ca="1" si="129"/>
        <v>18</v>
      </c>
      <c r="P1385" s="3">
        <f t="shared" ca="1" si="130"/>
        <v>27</v>
      </c>
      <c r="Q1385" s="1" t="str">
        <f>IF(K1385=1,"Joined",IF(H1385&gt;=70,"Dropped at Offer",IF(H1385&gt;=50,"Dropped at Interview","Dropped at Screening")))</f>
        <v>Joined</v>
      </c>
      <c r="R1385" s="1" t="str">
        <f t="shared" ca="1" si="131"/>
        <v>Jan-2024</v>
      </c>
    </row>
    <row r="1386" spans="1:18">
      <c r="A1386">
        <v>47</v>
      </c>
      <c r="B1386">
        <v>0</v>
      </c>
      <c r="C1386">
        <v>3</v>
      </c>
      <c r="D1386">
        <v>11</v>
      </c>
      <c r="E1386">
        <v>2</v>
      </c>
      <c r="F1386">
        <v>48.388479101607402</v>
      </c>
      <c r="G1386">
        <v>98</v>
      </c>
      <c r="H1386">
        <v>49</v>
      </c>
      <c r="I1386">
        <v>30</v>
      </c>
      <c r="J1386">
        <v>1</v>
      </c>
      <c r="K1386">
        <v>0</v>
      </c>
      <c r="L1386" s="2">
        <f t="shared" si="126"/>
        <v>45292</v>
      </c>
      <c r="M1386" s="2">
        <f t="shared" ca="1" si="127"/>
        <v>45333</v>
      </c>
      <c r="N1386" s="2" t="str">
        <f t="shared" ca="1" si="128"/>
        <v>N/A</v>
      </c>
      <c r="O1386" s="3">
        <f t="shared" ca="1" si="129"/>
        <v>41</v>
      </c>
      <c r="P1386" s="3" t="str">
        <f t="shared" ca="1" si="130"/>
        <v>N/A</v>
      </c>
      <c r="Q1386" s="1" t="str">
        <f>IF(K1386=1,"Joined",IF(H1386&gt;=70,"Dropped at Offer",IF(H1386&gt;=50,"Dropped at Interview","Dropped at Screening")))</f>
        <v>Dropped at Screening</v>
      </c>
      <c r="R1386" s="1" t="str">
        <f t="shared" ca="1" si="131"/>
        <v>Feb-2024</v>
      </c>
    </row>
    <row r="1387" spans="1:18">
      <c r="A1387">
        <v>31</v>
      </c>
      <c r="B1387">
        <v>0</v>
      </c>
      <c r="C1387">
        <v>1</v>
      </c>
      <c r="D1387">
        <v>0</v>
      </c>
      <c r="E1387">
        <v>3</v>
      </c>
      <c r="F1387">
        <v>3.6848539299653398</v>
      </c>
      <c r="G1387">
        <v>21</v>
      </c>
      <c r="H1387">
        <v>35</v>
      </c>
      <c r="I1387">
        <v>59</v>
      </c>
      <c r="J1387">
        <v>2</v>
      </c>
      <c r="K1387">
        <v>1</v>
      </c>
      <c r="L1387" s="2">
        <f t="shared" si="126"/>
        <v>45292</v>
      </c>
      <c r="M1387" s="2">
        <f t="shared" ca="1" si="127"/>
        <v>45318</v>
      </c>
      <c r="N1387" s="2">
        <f t="shared" ca="1" si="128"/>
        <v>45342</v>
      </c>
      <c r="O1387" s="3">
        <f t="shared" ca="1" si="129"/>
        <v>26</v>
      </c>
      <c r="P1387" s="3">
        <f t="shared" ca="1" si="130"/>
        <v>24</v>
      </c>
      <c r="Q1387" s="1" t="str">
        <f>IF(K1387=1,"Joined",IF(H1387&gt;=70,"Dropped at Offer",IF(H1387&gt;=50,"Dropped at Interview","Dropped at Screening")))</f>
        <v>Joined</v>
      </c>
      <c r="R1387" s="1" t="str">
        <f t="shared" ca="1" si="131"/>
        <v>Jan-2024</v>
      </c>
    </row>
    <row r="1388" spans="1:18">
      <c r="A1388">
        <v>37</v>
      </c>
      <c r="B1388">
        <v>0</v>
      </c>
      <c r="C1388">
        <v>1</v>
      </c>
      <c r="D1388">
        <v>9</v>
      </c>
      <c r="E1388">
        <v>5</v>
      </c>
      <c r="F1388">
        <v>6.3122854234780199</v>
      </c>
      <c r="G1388">
        <v>42</v>
      </c>
      <c r="H1388">
        <v>91</v>
      </c>
      <c r="I1388">
        <v>36</v>
      </c>
      <c r="J1388">
        <v>3</v>
      </c>
      <c r="K1388">
        <v>1</v>
      </c>
      <c r="L1388" s="2">
        <f t="shared" si="126"/>
        <v>45292</v>
      </c>
      <c r="M1388" s="2">
        <f t="shared" ca="1" si="127"/>
        <v>45323</v>
      </c>
      <c r="N1388" s="2">
        <f t="shared" ca="1" si="128"/>
        <v>45337</v>
      </c>
      <c r="O1388" s="3">
        <f t="shared" ca="1" si="129"/>
        <v>31</v>
      </c>
      <c r="P1388" s="3">
        <f t="shared" ca="1" si="130"/>
        <v>14</v>
      </c>
      <c r="Q1388" s="1" t="str">
        <f>IF(K1388=1,"Joined",IF(H1388&gt;=70,"Dropped at Offer",IF(H1388&gt;=50,"Dropped at Interview","Dropped at Screening")))</f>
        <v>Joined</v>
      </c>
      <c r="R1388" s="1" t="str">
        <f t="shared" ca="1" si="131"/>
        <v>Feb-2024</v>
      </c>
    </row>
    <row r="1389" spans="1:18">
      <c r="A1389">
        <v>33</v>
      </c>
      <c r="B1389">
        <v>0</v>
      </c>
      <c r="C1389">
        <v>2</v>
      </c>
      <c r="D1389">
        <v>1</v>
      </c>
      <c r="E1389">
        <v>5</v>
      </c>
      <c r="F1389">
        <v>9.6835818477169902</v>
      </c>
      <c r="G1389">
        <v>26</v>
      </c>
      <c r="H1389">
        <v>87</v>
      </c>
      <c r="I1389">
        <v>20</v>
      </c>
      <c r="J1389">
        <v>2</v>
      </c>
      <c r="K1389">
        <v>1</v>
      </c>
      <c r="L1389" s="2">
        <f t="shared" si="126"/>
        <v>45292</v>
      </c>
      <c r="M1389" s="2">
        <f t="shared" ca="1" si="127"/>
        <v>45336</v>
      </c>
      <c r="N1389" s="2">
        <f t="shared" ca="1" si="128"/>
        <v>45356</v>
      </c>
      <c r="O1389" s="3">
        <f t="shared" ca="1" si="129"/>
        <v>44</v>
      </c>
      <c r="P1389" s="3">
        <f t="shared" ca="1" si="130"/>
        <v>20</v>
      </c>
      <c r="Q1389" s="1" t="str">
        <f>IF(K1389=1,"Joined",IF(H1389&gt;=70,"Dropped at Offer",IF(H1389&gt;=50,"Dropped at Interview","Dropped at Screening")))</f>
        <v>Joined</v>
      </c>
      <c r="R1389" s="1" t="str">
        <f t="shared" ca="1" si="131"/>
        <v>Feb-2024</v>
      </c>
    </row>
    <row r="1390" spans="1:18">
      <c r="A1390">
        <v>40</v>
      </c>
      <c r="B1390">
        <v>0</v>
      </c>
      <c r="C1390">
        <v>3</v>
      </c>
      <c r="D1390">
        <v>15</v>
      </c>
      <c r="E1390">
        <v>2</v>
      </c>
      <c r="F1390">
        <v>35.508553530216602</v>
      </c>
      <c r="G1390">
        <v>36</v>
      </c>
      <c r="H1390">
        <v>68</v>
      </c>
      <c r="I1390">
        <v>13</v>
      </c>
      <c r="J1390">
        <v>2</v>
      </c>
      <c r="K1390">
        <v>0</v>
      </c>
      <c r="L1390" s="2">
        <f t="shared" si="126"/>
        <v>45292</v>
      </c>
      <c r="M1390" s="2">
        <f t="shared" ca="1" si="127"/>
        <v>45319</v>
      </c>
      <c r="N1390" s="2" t="str">
        <f t="shared" ca="1" si="128"/>
        <v>N/A</v>
      </c>
      <c r="O1390" s="3">
        <f t="shared" ca="1" si="129"/>
        <v>27</v>
      </c>
      <c r="P1390" s="3" t="str">
        <f t="shared" ca="1" si="130"/>
        <v>N/A</v>
      </c>
      <c r="Q1390" s="1" t="str">
        <f>IF(K1390=1,"Joined",IF(H1390&gt;=70,"Dropped at Offer",IF(H1390&gt;=50,"Dropped at Interview","Dropped at Screening")))</f>
        <v>Dropped at Interview</v>
      </c>
      <c r="R1390" s="1" t="str">
        <f t="shared" ca="1" si="131"/>
        <v>Jan-2024</v>
      </c>
    </row>
    <row r="1391" spans="1:18">
      <c r="A1391">
        <v>43</v>
      </c>
      <c r="B1391">
        <v>0</v>
      </c>
      <c r="C1391">
        <v>2</v>
      </c>
      <c r="D1391">
        <v>7</v>
      </c>
      <c r="E1391">
        <v>5</v>
      </c>
      <c r="F1391">
        <v>33.2797936374904</v>
      </c>
      <c r="G1391">
        <v>45</v>
      </c>
      <c r="H1391">
        <v>36</v>
      </c>
      <c r="I1391">
        <v>88</v>
      </c>
      <c r="J1391">
        <v>1</v>
      </c>
      <c r="K1391">
        <v>1</v>
      </c>
      <c r="L1391" s="2">
        <f t="shared" si="126"/>
        <v>45292</v>
      </c>
      <c r="M1391" s="2">
        <f t="shared" ca="1" si="127"/>
        <v>45334</v>
      </c>
      <c r="N1391" s="2">
        <f t="shared" ca="1" si="128"/>
        <v>45352</v>
      </c>
      <c r="O1391" s="3">
        <f t="shared" ca="1" si="129"/>
        <v>42</v>
      </c>
      <c r="P1391" s="3">
        <f t="shared" ca="1" si="130"/>
        <v>18</v>
      </c>
      <c r="Q1391" s="1" t="str">
        <f>IF(K1391=1,"Joined",IF(H1391&gt;=70,"Dropped at Offer",IF(H1391&gt;=50,"Dropped at Interview","Dropped at Screening")))</f>
        <v>Joined</v>
      </c>
      <c r="R1391" s="1" t="str">
        <f t="shared" ca="1" si="131"/>
        <v>Feb-2024</v>
      </c>
    </row>
    <row r="1392" spans="1:18">
      <c r="A1392">
        <v>30</v>
      </c>
      <c r="B1392">
        <v>0</v>
      </c>
      <c r="C1392">
        <v>2</v>
      </c>
      <c r="D1392">
        <v>0</v>
      </c>
      <c r="E1392">
        <v>2</v>
      </c>
      <c r="F1392">
        <v>45.602943010484701</v>
      </c>
      <c r="G1392">
        <v>34</v>
      </c>
      <c r="H1392">
        <v>11</v>
      </c>
      <c r="I1392">
        <v>90</v>
      </c>
      <c r="J1392">
        <v>2</v>
      </c>
      <c r="K1392">
        <v>1</v>
      </c>
      <c r="L1392" s="2">
        <f t="shared" si="126"/>
        <v>45292</v>
      </c>
      <c r="M1392" s="2">
        <f t="shared" ca="1" si="127"/>
        <v>45315</v>
      </c>
      <c r="N1392" s="2">
        <f t="shared" ca="1" si="128"/>
        <v>45336</v>
      </c>
      <c r="O1392" s="3">
        <f t="shared" ca="1" si="129"/>
        <v>23</v>
      </c>
      <c r="P1392" s="3">
        <f t="shared" ca="1" si="130"/>
        <v>21</v>
      </c>
      <c r="Q1392" s="1" t="str">
        <f>IF(K1392=1,"Joined",IF(H1392&gt;=70,"Dropped at Offer",IF(H1392&gt;=50,"Dropped at Interview","Dropped at Screening")))</f>
        <v>Joined</v>
      </c>
      <c r="R1392" s="1" t="str">
        <f t="shared" ca="1" si="131"/>
        <v>Jan-2024</v>
      </c>
    </row>
    <row r="1393" spans="1:18">
      <c r="A1393">
        <v>28</v>
      </c>
      <c r="B1393">
        <v>1</v>
      </c>
      <c r="C1393">
        <v>3</v>
      </c>
      <c r="D1393">
        <v>14</v>
      </c>
      <c r="E1393">
        <v>5</v>
      </c>
      <c r="F1393">
        <v>37.6438726441949</v>
      </c>
      <c r="G1393">
        <v>3</v>
      </c>
      <c r="H1393">
        <v>98</v>
      </c>
      <c r="I1393">
        <v>59</v>
      </c>
      <c r="J1393">
        <v>2</v>
      </c>
      <c r="K1393">
        <v>1</v>
      </c>
      <c r="L1393" s="2">
        <f t="shared" si="126"/>
        <v>45292</v>
      </c>
      <c r="M1393" s="2">
        <f t="shared" ca="1" si="127"/>
        <v>45329</v>
      </c>
      <c r="N1393" s="2">
        <f t="shared" ca="1" si="128"/>
        <v>45353</v>
      </c>
      <c r="O1393" s="3">
        <f t="shared" ca="1" si="129"/>
        <v>37</v>
      </c>
      <c r="P1393" s="3">
        <f t="shared" ca="1" si="130"/>
        <v>24</v>
      </c>
      <c r="Q1393" s="1" t="str">
        <f>IF(K1393=1,"Joined",IF(H1393&gt;=70,"Dropped at Offer",IF(H1393&gt;=50,"Dropped at Interview","Dropped at Screening")))</f>
        <v>Joined</v>
      </c>
      <c r="R1393" s="1" t="str">
        <f t="shared" ca="1" si="131"/>
        <v>Feb-2024</v>
      </c>
    </row>
    <row r="1394" spans="1:18">
      <c r="A1394">
        <v>21</v>
      </c>
      <c r="B1394">
        <v>1</v>
      </c>
      <c r="C1394">
        <v>2</v>
      </c>
      <c r="D1394">
        <v>11</v>
      </c>
      <c r="E1394">
        <v>1</v>
      </c>
      <c r="F1394">
        <v>26.417774378229598</v>
      </c>
      <c r="G1394">
        <v>79</v>
      </c>
      <c r="H1394">
        <v>39</v>
      </c>
      <c r="I1394">
        <v>22</v>
      </c>
      <c r="J1394">
        <v>2</v>
      </c>
      <c r="K1394">
        <v>0</v>
      </c>
      <c r="L1394" s="2">
        <f t="shared" si="126"/>
        <v>45292</v>
      </c>
      <c r="M1394" s="2">
        <f t="shared" ca="1" si="127"/>
        <v>45318</v>
      </c>
      <c r="N1394" s="2" t="str">
        <f t="shared" ca="1" si="128"/>
        <v>N/A</v>
      </c>
      <c r="O1394" s="3">
        <f t="shared" ca="1" si="129"/>
        <v>26</v>
      </c>
      <c r="P1394" s="3" t="str">
        <f t="shared" ca="1" si="130"/>
        <v>N/A</v>
      </c>
      <c r="Q1394" s="1" t="str">
        <f>IF(K1394=1,"Joined",IF(H1394&gt;=70,"Dropped at Offer",IF(H1394&gt;=50,"Dropped at Interview","Dropped at Screening")))</f>
        <v>Dropped at Screening</v>
      </c>
      <c r="R1394" s="1" t="str">
        <f t="shared" ca="1" si="131"/>
        <v>Jan-2024</v>
      </c>
    </row>
    <row r="1395" spans="1:18">
      <c r="A1395">
        <v>31</v>
      </c>
      <c r="B1395">
        <v>0</v>
      </c>
      <c r="C1395">
        <v>3</v>
      </c>
      <c r="D1395">
        <v>7</v>
      </c>
      <c r="E1395">
        <v>2</v>
      </c>
      <c r="F1395">
        <v>50.591589623181498</v>
      </c>
      <c r="G1395">
        <v>79</v>
      </c>
      <c r="H1395">
        <v>53</v>
      </c>
      <c r="I1395">
        <v>94</v>
      </c>
      <c r="J1395">
        <v>1</v>
      </c>
      <c r="K1395">
        <v>1</v>
      </c>
      <c r="L1395" s="2">
        <f t="shared" si="126"/>
        <v>45292</v>
      </c>
      <c r="M1395" s="2">
        <f t="shared" ca="1" si="127"/>
        <v>45307</v>
      </c>
      <c r="N1395" s="2">
        <f t="shared" ca="1" si="128"/>
        <v>45316</v>
      </c>
      <c r="O1395" s="3">
        <f t="shared" ca="1" si="129"/>
        <v>15</v>
      </c>
      <c r="P1395" s="3">
        <f t="shared" ca="1" si="130"/>
        <v>9</v>
      </c>
      <c r="Q1395" s="1" t="str">
        <f>IF(K1395=1,"Joined",IF(H1395&gt;=70,"Dropped at Offer",IF(H1395&gt;=50,"Dropped at Interview","Dropped at Screening")))</f>
        <v>Joined</v>
      </c>
      <c r="R1395" s="1" t="str">
        <f t="shared" ca="1" si="131"/>
        <v>Jan-2024</v>
      </c>
    </row>
    <row r="1396" spans="1:18">
      <c r="A1396">
        <v>22</v>
      </c>
      <c r="B1396">
        <v>1</v>
      </c>
      <c r="C1396">
        <v>3</v>
      </c>
      <c r="D1396">
        <v>7</v>
      </c>
      <c r="E1396">
        <v>2</v>
      </c>
      <c r="F1396">
        <v>14.3053978084649</v>
      </c>
      <c r="G1396">
        <v>84</v>
      </c>
      <c r="H1396">
        <v>1</v>
      </c>
      <c r="I1396">
        <v>28</v>
      </c>
      <c r="J1396">
        <v>3</v>
      </c>
      <c r="K1396">
        <v>0</v>
      </c>
      <c r="L1396" s="2">
        <f t="shared" si="126"/>
        <v>45292</v>
      </c>
      <c r="M1396" s="2">
        <f t="shared" ca="1" si="127"/>
        <v>45307</v>
      </c>
      <c r="N1396" s="2" t="str">
        <f t="shared" ca="1" si="128"/>
        <v>N/A</v>
      </c>
      <c r="O1396" s="3">
        <f t="shared" ca="1" si="129"/>
        <v>15</v>
      </c>
      <c r="P1396" s="3" t="str">
        <f t="shared" ca="1" si="130"/>
        <v>N/A</v>
      </c>
      <c r="Q1396" s="1" t="str">
        <f>IF(K1396=1,"Joined",IF(H1396&gt;=70,"Dropped at Offer",IF(H1396&gt;=50,"Dropped at Interview","Dropped at Screening")))</f>
        <v>Dropped at Screening</v>
      </c>
      <c r="R1396" s="1" t="str">
        <f t="shared" ca="1" si="131"/>
        <v>Jan-2024</v>
      </c>
    </row>
    <row r="1397" spans="1:18">
      <c r="A1397">
        <v>22</v>
      </c>
      <c r="B1397">
        <v>1</v>
      </c>
      <c r="C1397">
        <v>2</v>
      </c>
      <c r="D1397">
        <v>15</v>
      </c>
      <c r="E1397">
        <v>4</v>
      </c>
      <c r="F1397">
        <v>42.6595829892727</v>
      </c>
      <c r="G1397">
        <v>25</v>
      </c>
      <c r="H1397">
        <v>49</v>
      </c>
      <c r="I1397">
        <v>46</v>
      </c>
      <c r="J1397">
        <v>1</v>
      </c>
      <c r="K1397">
        <v>0</v>
      </c>
      <c r="L1397" s="2">
        <f t="shared" si="126"/>
        <v>45292</v>
      </c>
      <c r="M1397" s="2">
        <f t="shared" ca="1" si="127"/>
        <v>45317</v>
      </c>
      <c r="N1397" s="2" t="str">
        <f t="shared" ca="1" si="128"/>
        <v>N/A</v>
      </c>
      <c r="O1397" s="3">
        <f t="shared" ca="1" si="129"/>
        <v>25</v>
      </c>
      <c r="P1397" s="3" t="str">
        <f t="shared" ca="1" si="130"/>
        <v>N/A</v>
      </c>
      <c r="Q1397" s="1" t="str">
        <f>IF(K1397=1,"Joined",IF(H1397&gt;=70,"Dropped at Offer",IF(H1397&gt;=50,"Dropped at Interview","Dropped at Screening")))</f>
        <v>Dropped at Screening</v>
      </c>
      <c r="R1397" s="1" t="str">
        <f t="shared" ca="1" si="131"/>
        <v>Jan-2024</v>
      </c>
    </row>
    <row r="1398" spans="1:18">
      <c r="A1398">
        <v>20</v>
      </c>
      <c r="B1398">
        <v>1</v>
      </c>
      <c r="C1398">
        <v>2</v>
      </c>
      <c r="D1398">
        <v>1</v>
      </c>
      <c r="E1398">
        <v>5</v>
      </c>
      <c r="F1398">
        <v>22.339518609695901</v>
      </c>
      <c r="G1398">
        <v>99</v>
      </c>
      <c r="H1398">
        <v>40</v>
      </c>
      <c r="I1398">
        <v>29</v>
      </c>
      <c r="J1398">
        <v>2</v>
      </c>
      <c r="K1398">
        <v>0</v>
      </c>
      <c r="L1398" s="2">
        <f t="shared" si="126"/>
        <v>45292</v>
      </c>
      <c r="M1398" s="2">
        <f t="shared" ca="1" si="127"/>
        <v>45334</v>
      </c>
      <c r="N1398" s="2" t="str">
        <f t="shared" ca="1" si="128"/>
        <v>N/A</v>
      </c>
      <c r="O1398" s="3">
        <f t="shared" ca="1" si="129"/>
        <v>42</v>
      </c>
      <c r="P1398" s="3" t="str">
        <f t="shared" ca="1" si="130"/>
        <v>N/A</v>
      </c>
      <c r="Q1398" s="1" t="str">
        <f>IF(K1398=1,"Joined",IF(H1398&gt;=70,"Dropped at Offer",IF(H1398&gt;=50,"Dropped at Interview","Dropped at Screening")))</f>
        <v>Dropped at Screening</v>
      </c>
      <c r="R1398" s="1" t="str">
        <f t="shared" ca="1" si="131"/>
        <v>Feb-2024</v>
      </c>
    </row>
    <row r="1399" spans="1:18">
      <c r="A1399">
        <v>27</v>
      </c>
      <c r="B1399">
        <v>1</v>
      </c>
      <c r="C1399">
        <v>1</v>
      </c>
      <c r="D1399">
        <v>3</v>
      </c>
      <c r="E1399">
        <v>5</v>
      </c>
      <c r="F1399">
        <v>33.436756943786698</v>
      </c>
      <c r="G1399">
        <v>18</v>
      </c>
      <c r="H1399">
        <v>44</v>
      </c>
      <c r="I1399">
        <v>89</v>
      </c>
      <c r="J1399">
        <v>3</v>
      </c>
      <c r="K1399">
        <v>0</v>
      </c>
      <c r="L1399" s="2">
        <f t="shared" si="126"/>
        <v>45292</v>
      </c>
      <c r="M1399" s="2">
        <f t="shared" ca="1" si="127"/>
        <v>45321</v>
      </c>
      <c r="N1399" s="2" t="str">
        <f t="shared" ca="1" si="128"/>
        <v>N/A</v>
      </c>
      <c r="O1399" s="3">
        <f t="shared" ca="1" si="129"/>
        <v>29</v>
      </c>
      <c r="P1399" s="3" t="str">
        <f t="shared" ca="1" si="130"/>
        <v>N/A</v>
      </c>
      <c r="Q1399" s="1" t="str">
        <f>IF(K1399=1,"Joined",IF(H1399&gt;=70,"Dropped at Offer",IF(H1399&gt;=50,"Dropped at Interview","Dropped at Screening")))</f>
        <v>Dropped at Screening</v>
      </c>
      <c r="R1399" s="1" t="str">
        <f t="shared" ca="1" si="131"/>
        <v>Jan-2024</v>
      </c>
    </row>
    <row r="1400" spans="1:18">
      <c r="A1400">
        <v>41</v>
      </c>
      <c r="B1400">
        <v>0</v>
      </c>
      <c r="C1400">
        <v>2</v>
      </c>
      <c r="D1400">
        <v>5</v>
      </c>
      <c r="E1400">
        <v>2</v>
      </c>
      <c r="F1400">
        <v>37.363423522621702</v>
      </c>
      <c r="G1400">
        <v>80</v>
      </c>
      <c r="H1400">
        <v>8</v>
      </c>
      <c r="I1400">
        <v>83</v>
      </c>
      <c r="J1400">
        <v>2</v>
      </c>
      <c r="K1400">
        <v>1</v>
      </c>
      <c r="L1400" s="2">
        <f t="shared" si="126"/>
        <v>45292</v>
      </c>
      <c r="M1400" s="2">
        <f t="shared" ca="1" si="127"/>
        <v>45327</v>
      </c>
      <c r="N1400" s="2">
        <f t="shared" ca="1" si="128"/>
        <v>45344</v>
      </c>
      <c r="O1400" s="3">
        <f t="shared" ca="1" si="129"/>
        <v>35</v>
      </c>
      <c r="P1400" s="3">
        <f t="shared" ca="1" si="130"/>
        <v>17</v>
      </c>
      <c r="Q1400" s="1" t="str">
        <f>IF(K1400=1,"Joined",IF(H1400&gt;=70,"Dropped at Offer",IF(H1400&gt;=50,"Dropped at Interview","Dropped at Screening")))</f>
        <v>Joined</v>
      </c>
      <c r="R1400" s="1" t="str">
        <f t="shared" ca="1" si="131"/>
        <v>Feb-2024</v>
      </c>
    </row>
    <row r="1401" spans="1:18">
      <c r="A1401">
        <v>47</v>
      </c>
      <c r="B1401">
        <v>1</v>
      </c>
      <c r="C1401">
        <v>4</v>
      </c>
      <c r="D1401">
        <v>11</v>
      </c>
      <c r="E1401">
        <v>1</v>
      </c>
      <c r="F1401">
        <v>32.6877043595168</v>
      </c>
      <c r="G1401">
        <v>44</v>
      </c>
      <c r="H1401">
        <v>61</v>
      </c>
      <c r="I1401">
        <v>37</v>
      </c>
      <c r="J1401">
        <v>2</v>
      </c>
      <c r="K1401">
        <v>0</v>
      </c>
      <c r="L1401" s="2">
        <f t="shared" si="126"/>
        <v>45292</v>
      </c>
      <c r="M1401" s="2">
        <f t="shared" ca="1" si="127"/>
        <v>45312</v>
      </c>
      <c r="N1401" s="2" t="str">
        <f t="shared" ca="1" si="128"/>
        <v>N/A</v>
      </c>
      <c r="O1401" s="3">
        <f t="shared" ca="1" si="129"/>
        <v>20</v>
      </c>
      <c r="P1401" s="3" t="str">
        <f t="shared" ca="1" si="130"/>
        <v>N/A</v>
      </c>
      <c r="Q1401" s="1" t="str">
        <f>IF(K1401=1,"Joined",IF(H1401&gt;=70,"Dropped at Offer",IF(H1401&gt;=50,"Dropped at Interview","Dropped at Screening")))</f>
        <v>Dropped at Interview</v>
      </c>
      <c r="R1401" s="1" t="str">
        <f t="shared" ca="1" si="131"/>
        <v>Jan-2024</v>
      </c>
    </row>
    <row r="1402" spans="1:18">
      <c r="A1402">
        <v>48</v>
      </c>
      <c r="B1402">
        <v>1</v>
      </c>
      <c r="C1402">
        <v>2</v>
      </c>
      <c r="D1402">
        <v>10</v>
      </c>
      <c r="E1402">
        <v>1</v>
      </c>
      <c r="F1402">
        <v>8.0253651554296592</v>
      </c>
      <c r="G1402">
        <v>25</v>
      </c>
      <c r="H1402">
        <v>85</v>
      </c>
      <c r="I1402">
        <v>82</v>
      </c>
      <c r="J1402">
        <v>3</v>
      </c>
      <c r="K1402">
        <v>0</v>
      </c>
      <c r="L1402" s="2">
        <f t="shared" si="126"/>
        <v>45292</v>
      </c>
      <c r="M1402" s="2">
        <f t="shared" ca="1" si="127"/>
        <v>45316</v>
      </c>
      <c r="N1402" s="2" t="str">
        <f t="shared" ca="1" si="128"/>
        <v>N/A</v>
      </c>
      <c r="O1402" s="3">
        <f t="shared" ca="1" si="129"/>
        <v>24</v>
      </c>
      <c r="P1402" s="3" t="str">
        <f t="shared" ca="1" si="130"/>
        <v>N/A</v>
      </c>
      <c r="Q1402" s="1" t="str">
        <f>IF(K1402=1,"Joined",IF(H1402&gt;=70,"Dropped at Offer",IF(H1402&gt;=50,"Dropped at Interview","Dropped at Screening")))</f>
        <v>Dropped at Offer</v>
      </c>
      <c r="R1402" s="1" t="str">
        <f t="shared" ca="1" si="131"/>
        <v>Jan-2024</v>
      </c>
    </row>
    <row r="1403" spans="1:18">
      <c r="A1403">
        <v>27</v>
      </c>
      <c r="B1403">
        <v>1</v>
      </c>
      <c r="C1403">
        <v>2</v>
      </c>
      <c r="D1403">
        <v>8</v>
      </c>
      <c r="E1403">
        <v>1</v>
      </c>
      <c r="F1403">
        <v>23.147550537396601</v>
      </c>
      <c r="G1403">
        <v>21</v>
      </c>
      <c r="H1403">
        <v>46</v>
      </c>
      <c r="I1403">
        <v>26</v>
      </c>
      <c r="J1403">
        <v>2</v>
      </c>
      <c r="K1403">
        <v>1</v>
      </c>
      <c r="L1403" s="2">
        <f t="shared" si="126"/>
        <v>45292</v>
      </c>
      <c r="M1403" s="2">
        <f t="shared" ca="1" si="127"/>
        <v>45327</v>
      </c>
      <c r="N1403" s="2">
        <f t="shared" ca="1" si="128"/>
        <v>45342</v>
      </c>
      <c r="O1403" s="3">
        <f t="shared" ca="1" si="129"/>
        <v>35</v>
      </c>
      <c r="P1403" s="3">
        <f t="shared" ca="1" si="130"/>
        <v>15</v>
      </c>
      <c r="Q1403" s="1" t="str">
        <f>IF(K1403=1,"Joined",IF(H1403&gt;=70,"Dropped at Offer",IF(H1403&gt;=50,"Dropped at Interview","Dropped at Screening")))</f>
        <v>Joined</v>
      </c>
      <c r="R1403" s="1" t="str">
        <f t="shared" ca="1" si="131"/>
        <v>Feb-2024</v>
      </c>
    </row>
    <row r="1404" spans="1:18">
      <c r="A1404">
        <v>30</v>
      </c>
      <c r="B1404">
        <v>0</v>
      </c>
      <c r="C1404">
        <v>3</v>
      </c>
      <c r="D1404">
        <v>14</v>
      </c>
      <c r="E1404">
        <v>5</v>
      </c>
      <c r="F1404">
        <v>29.0719188966562</v>
      </c>
      <c r="G1404">
        <v>57</v>
      </c>
      <c r="H1404">
        <v>4</v>
      </c>
      <c r="I1404">
        <v>88</v>
      </c>
      <c r="J1404">
        <v>1</v>
      </c>
      <c r="K1404">
        <v>0</v>
      </c>
      <c r="L1404" s="2">
        <f t="shared" si="126"/>
        <v>45292</v>
      </c>
      <c r="M1404" s="2">
        <f t="shared" ca="1" si="127"/>
        <v>45330</v>
      </c>
      <c r="N1404" s="2" t="str">
        <f t="shared" ca="1" si="128"/>
        <v>N/A</v>
      </c>
      <c r="O1404" s="3">
        <f t="shared" ca="1" si="129"/>
        <v>38</v>
      </c>
      <c r="P1404" s="3" t="str">
        <f t="shared" ca="1" si="130"/>
        <v>N/A</v>
      </c>
      <c r="Q1404" s="1" t="str">
        <f>IF(K1404=1,"Joined",IF(H1404&gt;=70,"Dropped at Offer",IF(H1404&gt;=50,"Dropped at Interview","Dropped at Screening")))</f>
        <v>Dropped at Screening</v>
      </c>
      <c r="R1404" s="1" t="str">
        <f t="shared" ca="1" si="131"/>
        <v>Feb-2024</v>
      </c>
    </row>
    <row r="1405" spans="1:18">
      <c r="A1405">
        <v>28</v>
      </c>
      <c r="B1405">
        <v>0</v>
      </c>
      <c r="C1405">
        <v>2</v>
      </c>
      <c r="D1405">
        <v>15</v>
      </c>
      <c r="E1405">
        <v>4</v>
      </c>
      <c r="F1405">
        <v>43.452187958929798</v>
      </c>
      <c r="G1405">
        <v>62</v>
      </c>
      <c r="H1405">
        <v>75</v>
      </c>
      <c r="I1405">
        <v>86</v>
      </c>
      <c r="J1405">
        <v>3</v>
      </c>
      <c r="K1405">
        <v>0</v>
      </c>
      <c r="L1405" s="2">
        <f t="shared" si="126"/>
        <v>45292</v>
      </c>
      <c r="M1405" s="2">
        <f t="shared" ca="1" si="127"/>
        <v>45327</v>
      </c>
      <c r="N1405" s="2" t="str">
        <f t="shared" ca="1" si="128"/>
        <v>N/A</v>
      </c>
      <c r="O1405" s="3">
        <f t="shared" ca="1" si="129"/>
        <v>35</v>
      </c>
      <c r="P1405" s="3" t="str">
        <f t="shared" ca="1" si="130"/>
        <v>N/A</v>
      </c>
      <c r="Q1405" s="1" t="str">
        <f>IF(K1405=1,"Joined",IF(H1405&gt;=70,"Dropped at Offer",IF(H1405&gt;=50,"Dropped at Interview","Dropped at Screening")))</f>
        <v>Dropped at Offer</v>
      </c>
      <c r="R1405" s="1" t="str">
        <f t="shared" ca="1" si="131"/>
        <v>Feb-2024</v>
      </c>
    </row>
    <row r="1406" spans="1:18">
      <c r="A1406">
        <v>24</v>
      </c>
      <c r="B1406">
        <v>0</v>
      </c>
      <c r="C1406">
        <v>1</v>
      </c>
      <c r="D1406">
        <v>7</v>
      </c>
      <c r="E1406">
        <v>2</v>
      </c>
      <c r="F1406">
        <v>23.182287439928601</v>
      </c>
      <c r="G1406">
        <v>27</v>
      </c>
      <c r="H1406">
        <v>0</v>
      </c>
      <c r="I1406">
        <v>92</v>
      </c>
      <c r="J1406">
        <v>1</v>
      </c>
      <c r="K1406">
        <v>0</v>
      </c>
      <c r="L1406" s="2">
        <f t="shared" si="126"/>
        <v>45292</v>
      </c>
      <c r="M1406" s="2">
        <f t="shared" ca="1" si="127"/>
        <v>45308</v>
      </c>
      <c r="N1406" s="2" t="str">
        <f t="shared" ca="1" si="128"/>
        <v>N/A</v>
      </c>
      <c r="O1406" s="3">
        <f t="shared" ca="1" si="129"/>
        <v>16</v>
      </c>
      <c r="P1406" s="3" t="str">
        <f t="shared" ca="1" si="130"/>
        <v>N/A</v>
      </c>
      <c r="Q1406" s="1" t="str">
        <f>IF(K1406=1,"Joined",IF(H1406&gt;=70,"Dropped at Offer",IF(H1406&gt;=50,"Dropped at Interview","Dropped at Screening")))</f>
        <v>Dropped at Screening</v>
      </c>
      <c r="R1406" s="1" t="str">
        <f t="shared" ca="1" si="131"/>
        <v>Jan-2024</v>
      </c>
    </row>
    <row r="1407" spans="1:18">
      <c r="A1407">
        <v>33</v>
      </c>
      <c r="B1407">
        <v>0</v>
      </c>
      <c r="C1407">
        <v>2</v>
      </c>
      <c r="D1407">
        <v>11</v>
      </c>
      <c r="E1407">
        <v>3</v>
      </c>
      <c r="F1407">
        <v>46.9373652402125</v>
      </c>
      <c r="G1407">
        <v>64</v>
      </c>
      <c r="H1407">
        <v>43</v>
      </c>
      <c r="I1407">
        <v>14</v>
      </c>
      <c r="J1407">
        <v>3</v>
      </c>
      <c r="K1407">
        <v>0</v>
      </c>
      <c r="L1407" s="2">
        <f t="shared" si="126"/>
        <v>45292</v>
      </c>
      <c r="M1407" s="2">
        <f t="shared" ca="1" si="127"/>
        <v>45308</v>
      </c>
      <c r="N1407" s="2" t="str">
        <f t="shared" ca="1" si="128"/>
        <v>N/A</v>
      </c>
      <c r="O1407" s="3">
        <f t="shared" ca="1" si="129"/>
        <v>16</v>
      </c>
      <c r="P1407" s="3" t="str">
        <f t="shared" ca="1" si="130"/>
        <v>N/A</v>
      </c>
      <c r="Q1407" s="1" t="str">
        <f>IF(K1407=1,"Joined",IF(H1407&gt;=70,"Dropped at Offer",IF(H1407&gt;=50,"Dropped at Interview","Dropped at Screening")))</f>
        <v>Dropped at Screening</v>
      </c>
      <c r="R1407" s="1" t="str">
        <f t="shared" ca="1" si="131"/>
        <v>Jan-2024</v>
      </c>
    </row>
    <row r="1408" spans="1:18">
      <c r="A1408">
        <v>47</v>
      </c>
      <c r="B1408">
        <v>0</v>
      </c>
      <c r="C1408">
        <v>2</v>
      </c>
      <c r="D1408">
        <v>14</v>
      </c>
      <c r="E1408">
        <v>4</v>
      </c>
      <c r="F1408">
        <v>23.018711151260501</v>
      </c>
      <c r="G1408">
        <v>43</v>
      </c>
      <c r="H1408">
        <v>21</v>
      </c>
      <c r="I1408">
        <v>58</v>
      </c>
      <c r="J1408">
        <v>1</v>
      </c>
      <c r="K1408">
        <v>0</v>
      </c>
      <c r="L1408" s="2">
        <f t="shared" si="126"/>
        <v>45292</v>
      </c>
      <c r="M1408" s="2">
        <f t="shared" ca="1" si="127"/>
        <v>45332</v>
      </c>
      <c r="N1408" s="2" t="str">
        <f t="shared" ca="1" si="128"/>
        <v>N/A</v>
      </c>
      <c r="O1408" s="3">
        <f t="shared" ca="1" si="129"/>
        <v>40</v>
      </c>
      <c r="P1408" s="3" t="str">
        <f t="shared" ca="1" si="130"/>
        <v>N/A</v>
      </c>
      <c r="Q1408" s="1" t="str">
        <f>IF(K1408=1,"Joined",IF(H1408&gt;=70,"Dropped at Offer",IF(H1408&gt;=50,"Dropped at Interview","Dropped at Screening")))</f>
        <v>Dropped at Screening</v>
      </c>
      <c r="R1408" s="1" t="str">
        <f t="shared" ca="1" si="131"/>
        <v>Feb-2024</v>
      </c>
    </row>
    <row r="1409" spans="1:18">
      <c r="A1409">
        <v>49</v>
      </c>
      <c r="B1409">
        <v>0</v>
      </c>
      <c r="C1409">
        <v>3</v>
      </c>
      <c r="D1409">
        <v>7</v>
      </c>
      <c r="E1409">
        <v>3</v>
      </c>
      <c r="F1409">
        <v>28.438992963150501</v>
      </c>
      <c r="G1409">
        <v>99</v>
      </c>
      <c r="H1409">
        <v>37</v>
      </c>
      <c r="I1409">
        <v>2</v>
      </c>
      <c r="J1409">
        <v>2</v>
      </c>
      <c r="K1409">
        <v>0</v>
      </c>
      <c r="L1409" s="2">
        <f t="shared" si="126"/>
        <v>45292</v>
      </c>
      <c r="M1409" s="2">
        <f t="shared" ca="1" si="127"/>
        <v>45314</v>
      </c>
      <c r="N1409" s="2" t="str">
        <f t="shared" ca="1" si="128"/>
        <v>N/A</v>
      </c>
      <c r="O1409" s="3">
        <f t="shared" ca="1" si="129"/>
        <v>22</v>
      </c>
      <c r="P1409" s="3" t="str">
        <f t="shared" ca="1" si="130"/>
        <v>N/A</v>
      </c>
      <c r="Q1409" s="1" t="str">
        <f>IF(K1409=1,"Joined",IF(H1409&gt;=70,"Dropped at Offer",IF(H1409&gt;=50,"Dropped at Interview","Dropped at Screening")))</f>
        <v>Dropped at Screening</v>
      </c>
      <c r="R1409" s="1" t="str">
        <f t="shared" ca="1" si="131"/>
        <v>Jan-2024</v>
      </c>
    </row>
    <row r="1410" spans="1:18">
      <c r="A1410">
        <v>22</v>
      </c>
      <c r="B1410">
        <v>0</v>
      </c>
      <c r="C1410">
        <v>1</v>
      </c>
      <c r="D1410">
        <v>6</v>
      </c>
      <c r="E1410">
        <v>4</v>
      </c>
      <c r="F1410">
        <v>40.81428414714</v>
      </c>
      <c r="G1410">
        <v>42</v>
      </c>
      <c r="H1410">
        <v>18</v>
      </c>
      <c r="I1410">
        <v>9</v>
      </c>
      <c r="J1410">
        <v>2</v>
      </c>
      <c r="K1410">
        <v>1</v>
      </c>
      <c r="L1410" s="2">
        <f t="shared" ref="L1410:L1473" si="132">DATE(2024,1,1)</f>
        <v>45292</v>
      </c>
      <c r="M1410" s="2">
        <f t="shared" ref="M1410:M1473" ca="1" si="133">L1410+RANDBETWEEN(14,45)</f>
        <v>45307</v>
      </c>
      <c r="N1410" s="2">
        <f t="shared" ref="N1410:N1473" ca="1" si="134">IF(K1410=1, M1410+RANDBETWEEN(7,30), "N/A")</f>
        <v>45324</v>
      </c>
      <c r="O1410" s="3">
        <f t="shared" ref="O1410:O1473" ca="1" si="135">IF(AND(M1410&lt;&gt;"",L1410&lt;&gt;""), M1410-L1410, "N/A")</f>
        <v>15</v>
      </c>
      <c r="P1410" s="3">
        <f t="shared" ref="P1410:Q1473" ca="1" si="136">IF(AND(K1410=1, N1410&lt;&gt;"", M1410&lt;&gt;""), N1410 - M1410, "N/A")</f>
        <v>17</v>
      </c>
      <c r="Q1410" s="1" t="str">
        <f>IF(K1410=1,"Joined",IF(H1410&gt;=70,"Dropped at Offer",IF(H1410&gt;=50,"Dropped at Interview","Dropped at Screening")))</f>
        <v>Joined</v>
      </c>
      <c r="R1410" s="1" t="str">
        <f t="shared" ref="R1410:R1473" ca="1" si="137">TEXT(M1410,"MMM-YYYY")</f>
        <v>Jan-2024</v>
      </c>
    </row>
    <row r="1411" spans="1:18">
      <c r="A1411">
        <v>40</v>
      </c>
      <c r="B1411">
        <v>1</v>
      </c>
      <c r="C1411">
        <v>2</v>
      </c>
      <c r="D1411">
        <v>13</v>
      </c>
      <c r="E1411">
        <v>1</v>
      </c>
      <c r="F1411">
        <v>30.1533842211071</v>
      </c>
      <c r="G1411">
        <v>36</v>
      </c>
      <c r="H1411">
        <v>79</v>
      </c>
      <c r="I1411">
        <v>78</v>
      </c>
      <c r="J1411">
        <v>3</v>
      </c>
      <c r="K1411">
        <v>1</v>
      </c>
      <c r="L1411" s="2">
        <f t="shared" si="132"/>
        <v>45292</v>
      </c>
      <c r="M1411" s="2">
        <f t="shared" ca="1" si="133"/>
        <v>45334</v>
      </c>
      <c r="N1411" s="2">
        <f t="shared" ca="1" si="134"/>
        <v>45358</v>
      </c>
      <c r="O1411" s="3">
        <f t="shared" ca="1" si="135"/>
        <v>42</v>
      </c>
      <c r="P1411" s="3">
        <f t="shared" ca="1" si="136"/>
        <v>24</v>
      </c>
      <c r="Q1411" s="1" t="str">
        <f>IF(K1411=1,"Joined",IF(H1411&gt;=70,"Dropped at Offer",IF(H1411&gt;=50,"Dropped at Interview","Dropped at Screening")))</f>
        <v>Joined</v>
      </c>
      <c r="R1411" s="1" t="str">
        <f t="shared" ca="1" si="137"/>
        <v>Feb-2024</v>
      </c>
    </row>
    <row r="1412" spans="1:18">
      <c r="A1412">
        <v>24</v>
      </c>
      <c r="B1412">
        <v>1</v>
      </c>
      <c r="C1412">
        <v>2</v>
      </c>
      <c r="D1412">
        <v>12</v>
      </c>
      <c r="E1412">
        <v>5</v>
      </c>
      <c r="F1412">
        <v>49.010903619141203</v>
      </c>
      <c r="G1412">
        <v>65</v>
      </c>
      <c r="H1412">
        <v>30</v>
      </c>
      <c r="I1412">
        <v>79</v>
      </c>
      <c r="J1412">
        <v>2</v>
      </c>
      <c r="K1412">
        <v>1</v>
      </c>
      <c r="L1412" s="2">
        <f t="shared" si="132"/>
        <v>45292</v>
      </c>
      <c r="M1412" s="2">
        <f t="shared" ca="1" si="133"/>
        <v>45327</v>
      </c>
      <c r="N1412" s="2">
        <f t="shared" ca="1" si="134"/>
        <v>45344</v>
      </c>
      <c r="O1412" s="3">
        <f t="shared" ca="1" si="135"/>
        <v>35</v>
      </c>
      <c r="P1412" s="3">
        <f t="shared" ca="1" si="136"/>
        <v>17</v>
      </c>
      <c r="Q1412" s="1" t="str">
        <f>IF(K1412=1,"Joined",IF(H1412&gt;=70,"Dropped at Offer",IF(H1412&gt;=50,"Dropped at Interview","Dropped at Screening")))</f>
        <v>Joined</v>
      </c>
      <c r="R1412" s="1" t="str">
        <f t="shared" ca="1" si="137"/>
        <v>Feb-2024</v>
      </c>
    </row>
    <row r="1413" spans="1:18">
      <c r="A1413">
        <v>24</v>
      </c>
      <c r="B1413">
        <v>1</v>
      </c>
      <c r="C1413">
        <v>2</v>
      </c>
      <c r="D1413">
        <v>8</v>
      </c>
      <c r="E1413">
        <v>3</v>
      </c>
      <c r="F1413">
        <v>34.016791525706303</v>
      </c>
      <c r="G1413">
        <v>16</v>
      </c>
      <c r="H1413">
        <v>66</v>
      </c>
      <c r="I1413">
        <v>16</v>
      </c>
      <c r="J1413">
        <v>1</v>
      </c>
      <c r="K1413">
        <v>1</v>
      </c>
      <c r="L1413" s="2">
        <f t="shared" si="132"/>
        <v>45292</v>
      </c>
      <c r="M1413" s="2">
        <f t="shared" ca="1" si="133"/>
        <v>45311</v>
      </c>
      <c r="N1413" s="2">
        <f t="shared" ca="1" si="134"/>
        <v>45333</v>
      </c>
      <c r="O1413" s="3">
        <f t="shared" ca="1" si="135"/>
        <v>19</v>
      </c>
      <c r="P1413" s="3">
        <f t="shared" ca="1" si="136"/>
        <v>22</v>
      </c>
      <c r="Q1413" s="1" t="str">
        <f>IF(K1413=1,"Joined",IF(H1413&gt;=70,"Dropped at Offer",IF(H1413&gt;=50,"Dropped at Interview","Dropped at Screening")))</f>
        <v>Joined</v>
      </c>
      <c r="R1413" s="1" t="str">
        <f t="shared" ca="1" si="137"/>
        <v>Jan-2024</v>
      </c>
    </row>
    <row r="1414" spans="1:18">
      <c r="A1414">
        <v>38</v>
      </c>
      <c r="B1414">
        <v>0</v>
      </c>
      <c r="C1414">
        <v>2</v>
      </c>
      <c r="D1414">
        <v>14</v>
      </c>
      <c r="E1414">
        <v>4</v>
      </c>
      <c r="F1414">
        <v>27.13547270338</v>
      </c>
      <c r="G1414">
        <v>39</v>
      </c>
      <c r="H1414">
        <v>86</v>
      </c>
      <c r="I1414">
        <v>82</v>
      </c>
      <c r="J1414">
        <v>2</v>
      </c>
      <c r="K1414">
        <v>0</v>
      </c>
      <c r="L1414" s="2">
        <f t="shared" si="132"/>
        <v>45292</v>
      </c>
      <c r="M1414" s="2">
        <f t="shared" ca="1" si="133"/>
        <v>45320</v>
      </c>
      <c r="N1414" s="2" t="str">
        <f t="shared" ca="1" si="134"/>
        <v>N/A</v>
      </c>
      <c r="O1414" s="3">
        <f t="shared" ca="1" si="135"/>
        <v>28</v>
      </c>
      <c r="P1414" s="3" t="str">
        <f t="shared" ca="1" si="136"/>
        <v>N/A</v>
      </c>
      <c r="Q1414" s="1" t="str">
        <f>IF(K1414=1,"Joined",IF(H1414&gt;=70,"Dropped at Offer",IF(H1414&gt;=50,"Dropped at Interview","Dropped at Screening")))</f>
        <v>Dropped at Offer</v>
      </c>
      <c r="R1414" s="1" t="str">
        <f t="shared" ca="1" si="137"/>
        <v>Jan-2024</v>
      </c>
    </row>
    <row r="1415" spans="1:18">
      <c r="A1415">
        <v>46</v>
      </c>
      <c r="B1415">
        <v>0</v>
      </c>
      <c r="C1415">
        <v>2</v>
      </c>
      <c r="D1415">
        <v>1</v>
      </c>
      <c r="E1415">
        <v>5</v>
      </c>
      <c r="F1415">
        <v>2.1795983890397901</v>
      </c>
      <c r="G1415">
        <v>37</v>
      </c>
      <c r="H1415">
        <v>41</v>
      </c>
      <c r="I1415">
        <v>10</v>
      </c>
      <c r="J1415">
        <v>1</v>
      </c>
      <c r="K1415">
        <v>0</v>
      </c>
      <c r="L1415" s="2">
        <f t="shared" si="132"/>
        <v>45292</v>
      </c>
      <c r="M1415" s="2">
        <f t="shared" ca="1" si="133"/>
        <v>45316</v>
      </c>
      <c r="N1415" s="2" t="str">
        <f t="shared" ca="1" si="134"/>
        <v>N/A</v>
      </c>
      <c r="O1415" s="3">
        <f t="shared" ca="1" si="135"/>
        <v>24</v>
      </c>
      <c r="P1415" s="3" t="str">
        <f t="shared" ca="1" si="136"/>
        <v>N/A</v>
      </c>
      <c r="Q1415" s="1" t="str">
        <f>IF(K1415=1,"Joined",IF(H1415&gt;=70,"Dropped at Offer",IF(H1415&gt;=50,"Dropped at Interview","Dropped at Screening")))</f>
        <v>Dropped at Screening</v>
      </c>
      <c r="R1415" s="1" t="str">
        <f t="shared" ca="1" si="137"/>
        <v>Jan-2024</v>
      </c>
    </row>
    <row r="1416" spans="1:18">
      <c r="A1416">
        <v>33</v>
      </c>
      <c r="B1416">
        <v>0</v>
      </c>
      <c r="C1416">
        <v>2</v>
      </c>
      <c r="D1416">
        <v>2</v>
      </c>
      <c r="E1416">
        <v>3</v>
      </c>
      <c r="F1416">
        <v>21.686644879016399</v>
      </c>
      <c r="G1416">
        <v>84</v>
      </c>
      <c r="H1416">
        <v>81</v>
      </c>
      <c r="I1416">
        <v>47</v>
      </c>
      <c r="J1416">
        <v>2</v>
      </c>
      <c r="K1416">
        <v>0</v>
      </c>
      <c r="L1416" s="2">
        <f t="shared" si="132"/>
        <v>45292</v>
      </c>
      <c r="M1416" s="2">
        <f t="shared" ca="1" si="133"/>
        <v>45313</v>
      </c>
      <c r="N1416" s="2" t="str">
        <f t="shared" ca="1" si="134"/>
        <v>N/A</v>
      </c>
      <c r="O1416" s="3">
        <f t="shared" ca="1" si="135"/>
        <v>21</v>
      </c>
      <c r="P1416" s="3" t="str">
        <f t="shared" ca="1" si="136"/>
        <v>N/A</v>
      </c>
      <c r="Q1416" s="1" t="str">
        <f>IF(K1416=1,"Joined",IF(H1416&gt;=70,"Dropped at Offer",IF(H1416&gt;=50,"Dropped at Interview","Dropped at Screening")))</f>
        <v>Dropped at Offer</v>
      </c>
      <c r="R1416" s="1" t="str">
        <f t="shared" ca="1" si="137"/>
        <v>Jan-2024</v>
      </c>
    </row>
    <row r="1417" spans="1:18">
      <c r="A1417">
        <v>45</v>
      </c>
      <c r="B1417">
        <v>0</v>
      </c>
      <c r="C1417">
        <v>4</v>
      </c>
      <c r="D1417">
        <v>9</v>
      </c>
      <c r="E1417">
        <v>2</v>
      </c>
      <c r="F1417">
        <v>15.962420963008</v>
      </c>
      <c r="G1417">
        <v>60</v>
      </c>
      <c r="H1417">
        <v>25</v>
      </c>
      <c r="I1417">
        <v>4</v>
      </c>
      <c r="J1417">
        <v>3</v>
      </c>
      <c r="K1417">
        <v>1</v>
      </c>
      <c r="L1417" s="2">
        <f t="shared" si="132"/>
        <v>45292</v>
      </c>
      <c r="M1417" s="2">
        <f t="shared" ca="1" si="133"/>
        <v>45332</v>
      </c>
      <c r="N1417" s="2">
        <f t="shared" ca="1" si="134"/>
        <v>45348</v>
      </c>
      <c r="O1417" s="3">
        <f t="shared" ca="1" si="135"/>
        <v>40</v>
      </c>
      <c r="P1417" s="3">
        <f t="shared" ca="1" si="136"/>
        <v>16</v>
      </c>
      <c r="Q1417" s="1" t="str">
        <f>IF(K1417=1,"Joined",IF(H1417&gt;=70,"Dropped at Offer",IF(H1417&gt;=50,"Dropped at Interview","Dropped at Screening")))</f>
        <v>Joined</v>
      </c>
      <c r="R1417" s="1" t="str">
        <f t="shared" ca="1" si="137"/>
        <v>Feb-2024</v>
      </c>
    </row>
    <row r="1418" spans="1:18">
      <c r="A1418">
        <v>49</v>
      </c>
      <c r="B1418">
        <v>0</v>
      </c>
      <c r="C1418">
        <v>2</v>
      </c>
      <c r="D1418">
        <v>7</v>
      </c>
      <c r="E1418">
        <v>4</v>
      </c>
      <c r="F1418">
        <v>38.405283394374401</v>
      </c>
      <c r="G1418">
        <v>8</v>
      </c>
      <c r="H1418">
        <v>12</v>
      </c>
      <c r="I1418">
        <v>68</v>
      </c>
      <c r="J1418">
        <v>2</v>
      </c>
      <c r="K1418">
        <v>1</v>
      </c>
      <c r="L1418" s="2">
        <f t="shared" si="132"/>
        <v>45292</v>
      </c>
      <c r="M1418" s="2">
        <f t="shared" ca="1" si="133"/>
        <v>45320</v>
      </c>
      <c r="N1418" s="2">
        <f t="shared" ca="1" si="134"/>
        <v>45340</v>
      </c>
      <c r="O1418" s="3">
        <f t="shared" ca="1" si="135"/>
        <v>28</v>
      </c>
      <c r="P1418" s="3">
        <f t="shared" ca="1" si="136"/>
        <v>20</v>
      </c>
      <c r="Q1418" s="1" t="str">
        <f>IF(K1418=1,"Joined",IF(H1418&gt;=70,"Dropped at Offer",IF(H1418&gt;=50,"Dropped at Interview","Dropped at Screening")))</f>
        <v>Joined</v>
      </c>
      <c r="R1418" s="1" t="str">
        <f t="shared" ca="1" si="137"/>
        <v>Jan-2024</v>
      </c>
    </row>
    <row r="1419" spans="1:18">
      <c r="A1419">
        <v>23</v>
      </c>
      <c r="B1419">
        <v>1</v>
      </c>
      <c r="C1419">
        <v>1</v>
      </c>
      <c r="D1419">
        <v>13</v>
      </c>
      <c r="E1419">
        <v>2</v>
      </c>
      <c r="F1419">
        <v>11.413883757677199</v>
      </c>
      <c r="G1419">
        <v>76</v>
      </c>
      <c r="H1419">
        <v>57</v>
      </c>
      <c r="I1419">
        <v>63</v>
      </c>
      <c r="J1419">
        <v>2</v>
      </c>
      <c r="K1419">
        <v>0</v>
      </c>
      <c r="L1419" s="2">
        <f t="shared" si="132"/>
        <v>45292</v>
      </c>
      <c r="M1419" s="2">
        <f t="shared" ca="1" si="133"/>
        <v>45328</v>
      </c>
      <c r="N1419" s="2" t="str">
        <f t="shared" ca="1" si="134"/>
        <v>N/A</v>
      </c>
      <c r="O1419" s="3">
        <f t="shared" ca="1" si="135"/>
        <v>36</v>
      </c>
      <c r="P1419" s="3" t="str">
        <f t="shared" ca="1" si="136"/>
        <v>N/A</v>
      </c>
      <c r="Q1419" s="1" t="str">
        <f>IF(K1419=1,"Joined",IF(H1419&gt;=70,"Dropped at Offer",IF(H1419&gt;=50,"Dropped at Interview","Dropped at Screening")))</f>
        <v>Dropped at Interview</v>
      </c>
      <c r="R1419" s="1" t="str">
        <f t="shared" ca="1" si="137"/>
        <v>Feb-2024</v>
      </c>
    </row>
    <row r="1420" spans="1:18">
      <c r="A1420">
        <v>44</v>
      </c>
      <c r="B1420">
        <v>1</v>
      </c>
      <c r="C1420">
        <v>2</v>
      </c>
      <c r="D1420">
        <v>5</v>
      </c>
      <c r="E1420">
        <v>1</v>
      </c>
      <c r="F1420">
        <v>11.261004364703499</v>
      </c>
      <c r="G1420">
        <v>74</v>
      </c>
      <c r="H1420">
        <v>17</v>
      </c>
      <c r="I1420">
        <v>13</v>
      </c>
      <c r="J1420">
        <v>1</v>
      </c>
      <c r="K1420">
        <v>0</v>
      </c>
      <c r="L1420" s="2">
        <f t="shared" si="132"/>
        <v>45292</v>
      </c>
      <c r="M1420" s="2">
        <f t="shared" ca="1" si="133"/>
        <v>45333</v>
      </c>
      <c r="N1420" s="2" t="str">
        <f t="shared" ca="1" si="134"/>
        <v>N/A</v>
      </c>
      <c r="O1420" s="3">
        <f t="shared" ca="1" si="135"/>
        <v>41</v>
      </c>
      <c r="P1420" s="3" t="str">
        <f t="shared" ca="1" si="136"/>
        <v>N/A</v>
      </c>
      <c r="Q1420" s="1" t="str">
        <f>IF(K1420=1,"Joined",IF(H1420&gt;=70,"Dropped at Offer",IF(H1420&gt;=50,"Dropped at Interview","Dropped at Screening")))</f>
        <v>Dropped at Screening</v>
      </c>
      <c r="R1420" s="1" t="str">
        <f t="shared" ca="1" si="137"/>
        <v>Feb-2024</v>
      </c>
    </row>
    <row r="1421" spans="1:18">
      <c r="A1421">
        <v>32</v>
      </c>
      <c r="B1421">
        <v>0</v>
      </c>
      <c r="C1421">
        <v>3</v>
      </c>
      <c r="D1421">
        <v>9</v>
      </c>
      <c r="E1421">
        <v>2</v>
      </c>
      <c r="F1421">
        <v>10.475952161868801</v>
      </c>
      <c r="G1421">
        <v>60</v>
      </c>
      <c r="H1421">
        <v>66</v>
      </c>
      <c r="I1421">
        <v>49</v>
      </c>
      <c r="J1421">
        <v>2</v>
      </c>
      <c r="K1421">
        <v>1</v>
      </c>
      <c r="L1421" s="2">
        <f t="shared" si="132"/>
        <v>45292</v>
      </c>
      <c r="M1421" s="2">
        <f t="shared" ca="1" si="133"/>
        <v>45311</v>
      </c>
      <c r="N1421" s="2">
        <f t="shared" ca="1" si="134"/>
        <v>45338</v>
      </c>
      <c r="O1421" s="3">
        <f t="shared" ca="1" si="135"/>
        <v>19</v>
      </c>
      <c r="P1421" s="3">
        <f t="shared" ca="1" si="136"/>
        <v>27</v>
      </c>
      <c r="Q1421" s="1" t="str">
        <f>IF(K1421=1,"Joined",IF(H1421&gt;=70,"Dropped at Offer",IF(H1421&gt;=50,"Dropped at Interview","Dropped at Screening")))</f>
        <v>Joined</v>
      </c>
      <c r="R1421" s="1" t="str">
        <f t="shared" ca="1" si="137"/>
        <v>Jan-2024</v>
      </c>
    </row>
    <row r="1422" spans="1:18">
      <c r="A1422">
        <v>29</v>
      </c>
      <c r="B1422">
        <v>0</v>
      </c>
      <c r="C1422">
        <v>3</v>
      </c>
      <c r="D1422">
        <v>8</v>
      </c>
      <c r="E1422">
        <v>2</v>
      </c>
      <c r="F1422">
        <v>7.28078065781179</v>
      </c>
      <c r="G1422">
        <v>79</v>
      </c>
      <c r="H1422">
        <v>86</v>
      </c>
      <c r="I1422">
        <v>25</v>
      </c>
      <c r="J1422">
        <v>2</v>
      </c>
      <c r="K1422">
        <v>1</v>
      </c>
      <c r="L1422" s="2">
        <f t="shared" si="132"/>
        <v>45292</v>
      </c>
      <c r="M1422" s="2">
        <f t="shared" ca="1" si="133"/>
        <v>45335</v>
      </c>
      <c r="N1422" s="2">
        <f t="shared" ca="1" si="134"/>
        <v>45359</v>
      </c>
      <c r="O1422" s="3">
        <f t="shared" ca="1" si="135"/>
        <v>43</v>
      </c>
      <c r="P1422" s="3">
        <f t="shared" ca="1" si="136"/>
        <v>24</v>
      </c>
      <c r="Q1422" s="1" t="str">
        <f>IF(K1422=1,"Joined",IF(H1422&gt;=70,"Dropped at Offer",IF(H1422&gt;=50,"Dropped at Interview","Dropped at Screening")))</f>
        <v>Joined</v>
      </c>
      <c r="R1422" s="1" t="str">
        <f t="shared" ca="1" si="137"/>
        <v>Feb-2024</v>
      </c>
    </row>
    <row r="1423" spans="1:18">
      <c r="A1423">
        <v>44</v>
      </c>
      <c r="B1423">
        <v>0</v>
      </c>
      <c r="C1423">
        <v>1</v>
      </c>
      <c r="D1423">
        <v>9</v>
      </c>
      <c r="E1423">
        <v>4</v>
      </c>
      <c r="F1423">
        <v>16.5503501835443</v>
      </c>
      <c r="G1423">
        <v>15</v>
      </c>
      <c r="H1423">
        <v>2</v>
      </c>
      <c r="I1423">
        <v>71</v>
      </c>
      <c r="J1423">
        <v>2</v>
      </c>
      <c r="K1423">
        <v>1</v>
      </c>
      <c r="L1423" s="2">
        <f t="shared" si="132"/>
        <v>45292</v>
      </c>
      <c r="M1423" s="2">
        <f t="shared" ca="1" si="133"/>
        <v>45335</v>
      </c>
      <c r="N1423" s="2">
        <f t="shared" ca="1" si="134"/>
        <v>45348</v>
      </c>
      <c r="O1423" s="3">
        <f t="shared" ca="1" si="135"/>
        <v>43</v>
      </c>
      <c r="P1423" s="3">
        <f t="shared" ca="1" si="136"/>
        <v>13</v>
      </c>
      <c r="Q1423" s="1" t="str">
        <f>IF(K1423=1,"Joined",IF(H1423&gt;=70,"Dropped at Offer",IF(H1423&gt;=50,"Dropped at Interview","Dropped at Screening")))</f>
        <v>Joined</v>
      </c>
      <c r="R1423" s="1" t="str">
        <f t="shared" ca="1" si="137"/>
        <v>Feb-2024</v>
      </c>
    </row>
    <row r="1424" spans="1:18">
      <c r="A1424">
        <v>37</v>
      </c>
      <c r="B1424">
        <v>0</v>
      </c>
      <c r="C1424">
        <v>4</v>
      </c>
      <c r="D1424">
        <v>3</v>
      </c>
      <c r="E1424">
        <v>1</v>
      </c>
      <c r="F1424">
        <v>45.296105722171198</v>
      </c>
      <c r="G1424">
        <v>1</v>
      </c>
      <c r="H1424">
        <v>54</v>
      </c>
      <c r="I1424">
        <v>68</v>
      </c>
      <c r="J1424">
        <v>1</v>
      </c>
      <c r="K1424">
        <v>1</v>
      </c>
      <c r="L1424" s="2">
        <f t="shared" si="132"/>
        <v>45292</v>
      </c>
      <c r="M1424" s="2">
        <f t="shared" ca="1" si="133"/>
        <v>45315</v>
      </c>
      <c r="N1424" s="2">
        <f t="shared" ca="1" si="134"/>
        <v>45333</v>
      </c>
      <c r="O1424" s="3">
        <f t="shared" ca="1" si="135"/>
        <v>23</v>
      </c>
      <c r="P1424" s="3">
        <f t="shared" ca="1" si="136"/>
        <v>18</v>
      </c>
      <c r="Q1424" s="1" t="str">
        <f>IF(K1424=1,"Joined",IF(H1424&gt;=70,"Dropped at Offer",IF(H1424&gt;=50,"Dropped at Interview","Dropped at Screening")))</f>
        <v>Joined</v>
      </c>
      <c r="R1424" s="1" t="str">
        <f t="shared" ca="1" si="137"/>
        <v>Jan-2024</v>
      </c>
    </row>
    <row r="1425" spans="1:18">
      <c r="A1425">
        <v>27</v>
      </c>
      <c r="B1425">
        <v>1</v>
      </c>
      <c r="C1425">
        <v>2</v>
      </c>
      <c r="D1425">
        <v>15</v>
      </c>
      <c r="E1425">
        <v>2</v>
      </c>
      <c r="F1425">
        <v>39.746423615297701</v>
      </c>
      <c r="G1425">
        <v>71</v>
      </c>
      <c r="H1425">
        <v>88</v>
      </c>
      <c r="I1425">
        <v>6</v>
      </c>
      <c r="J1425">
        <v>2</v>
      </c>
      <c r="K1425">
        <v>0</v>
      </c>
      <c r="L1425" s="2">
        <f t="shared" si="132"/>
        <v>45292</v>
      </c>
      <c r="M1425" s="2">
        <f t="shared" ca="1" si="133"/>
        <v>45311</v>
      </c>
      <c r="N1425" s="2" t="str">
        <f t="shared" ca="1" si="134"/>
        <v>N/A</v>
      </c>
      <c r="O1425" s="3">
        <f t="shared" ca="1" si="135"/>
        <v>19</v>
      </c>
      <c r="P1425" s="3" t="str">
        <f t="shared" ca="1" si="136"/>
        <v>N/A</v>
      </c>
      <c r="Q1425" s="1" t="str">
        <f>IF(K1425=1,"Joined",IF(H1425&gt;=70,"Dropped at Offer",IF(H1425&gt;=50,"Dropped at Interview","Dropped at Screening")))</f>
        <v>Dropped at Offer</v>
      </c>
      <c r="R1425" s="1" t="str">
        <f t="shared" ca="1" si="137"/>
        <v>Jan-2024</v>
      </c>
    </row>
    <row r="1426" spans="1:18">
      <c r="A1426">
        <v>27</v>
      </c>
      <c r="B1426">
        <v>0</v>
      </c>
      <c r="C1426">
        <v>1</v>
      </c>
      <c r="D1426">
        <v>7</v>
      </c>
      <c r="E1426">
        <v>5</v>
      </c>
      <c r="F1426">
        <v>37.762560815339597</v>
      </c>
      <c r="G1426">
        <v>42</v>
      </c>
      <c r="H1426">
        <v>90</v>
      </c>
      <c r="I1426">
        <v>15</v>
      </c>
      <c r="J1426">
        <v>1</v>
      </c>
      <c r="K1426">
        <v>1</v>
      </c>
      <c r="L1426" s="2">
        <f t="shared" si="132"/>
        <v>45292</v>
      </c>
      <c r="M1426" s="2">
        <f t="shared" ca="1" si="133"/>
        <v>45325</v>
      </c>
      <c r="N1426" s="2">
        <f t="shared" ca="1" si="134"/>
        <v>45333</v>
      </c>
      <c r="O1426" s="3">
        <f t="shared" ca="1" si="135"/>
        <v>33</v>
      </c>
      <c r="P1426" s="3">
        <f t="shared" ca="1" si="136"/>
        <v>8</v>
      </c>
      <c r="Q1426" s="1" t="str">
        <f>IF(K1426=1,"Joined",IF(H1426&gt;=70,"Dropped at Offer",IF(H1426&gt;=50,"Dropped at Interview","Dropped at Screening")))</f>
        <v>Joined</v>
      </c>
      <c r="R1426" s="1" t="str">
        <f t="shared" ca="1" si="137"/>
        <v>Feb-2024</v>
      </c>
    </row>
    <row r="1427" spans="1:18">
      <c r="A1427">
        <v>26</v>
      </c>
      <c r="B1427">
        <v>0</v>
      </c>
      <c r="C1427">
        <v>1</v>
      </c>
      <c r="D1427">
        <v>9</v>
      </c>
      <c r="E1427">
        <v>3</v>
      </c>
      <c r="F1427">
        <v>40.866840282498103</v>
      </c>
      <c r="G1427">
        <v>41</v>
      </c>
      <c r="H1427">
        <v>57</v>
      </c>
      <c r="I1427">
        <v>54</v>
      </c>
      <c r="J1427">
        <v>2</v>
      </c>
      <c r="K1427">
        <v>1</v>
      </c>
      <c r="L1427" s="2">
        <f t="shared" si="132"/>
        <v>45292</v>
      </c>
      <c r="M1427" s="2">
        <f t="shared" ca="1" si="133"/>
        <v>45337</v>
      </c>
      <c r="N1427" s="2">
        <f t="shared" ca="1" si="134"/>
        <v>45354</v>
      </c>
      <c r="O1427" s="3">
        <f t="shared" ca="1" si="135"/>
        <v>45</v>
      </c>
      <c r="P1427" s="3">
        <f t="shared" ca="1" si="136"/>
        <v>17</v>
      </c>
      <c r="Q1427" s="1" t="str">
        <f>IF(K1427=1,"Joined",IF(H1427&gt;=70,"Dropped at Offer",IF(H1427&gt;=50,"Dropped at Interview","Dropped at Screening")))</f>
        <v>Joined</v>
      </c>
      <c r="R1427" s="1" t="str">
        <f t="shared" ca="1" si="137"/>
        <v>Feb-2024</v>
      </c>
    </row>
    <row r="1428" spans="1:18">
      <c r="A1428">
        <v>27</v>
      </c>
      <c r="B1428">
        <v>0</v>
      </c>
      <c r="C1428">
        <v>1</v>
      </c>
      <c r="D1428">
        <v>2</v>
      </c>
      <c r="E1428">
        <v>2</v>
      </c>
      <c r="F1428">
        <v>14.4708944664785</v>
      </c>
      <c r="G1428">
        <v>76</v>
      </c>
      <c r="H1428">
        <v>62</v>
      </c>
      <c r="I1428">
        <v>77</v>
      </c>
      <c r="J1428">
        <v>1</v>
      </c>
      <c r="K1428">
        <v>0</v>
      </c>
      <c r="L1428" s="2">
        <f t="shared" si="132"/>
        <v>45292</v>
      </c>
      <c r="M1428" s="2">
        <f t="shared" ca="1" si="133"/>
        <v>45332</v>
      </c>
      <c r="N1428" s="2" t="str">
        <f t="shared" ca="1" si="134"/>
        <v>N/A</v>
      </c>
      <c r="O1428" s="3">
        <f t="shared" ca="1" si="135"/>
        <v>40</v>
      </c>
      <c r="P1428" s="3" t="str">
        <f t="shared" ca="1" si="136"/>
        <v>N/A</v>
      </c>
      <c r="Q1428" s="1" t="str">
        <f>IF(K1428=1,"Joined",IF(H1428&gt;=70,"Dropped at Offer",IF(H1428&gt;=50,"Dropped at Interview","Dropped at Screening")))</f>
        <v>Dropped at Interview</v>
      </c>
      <c r="R1428" s="1" t="str">
        <f t="shared" ca="1" si="137"/>
        <v>Feb-2024</v>
      </c>
    </row>
    <row r="1429" spans="1:18">
      <c r="A1429">
        <v>33</v>
      </c>
      <c r="B1429">
        <v>0</v>
      </c>
      <c r="C1429">
        <v>3</v>
      </c>
      <c r="D1429">
        <v>2</v>
      </c>
      <c r="E1429">
        <v>1</v>
      </c>
      <c r="F1429">
        <v>45.372084537624303</v>
      </c>
      <c r="G1429">
        <v>56</v>
      </c>
      <c r="H1429">
        <v>90</v>
      </c>
      <c r="I1429">
        <v>100</v>
      </c>
      <c r="J1429">
        <v>3</v>
      </c>
      <c r="K1429">
        <v>0</v>
      </c>
      <c r="L1429" s="2">
        <f t="shared" si="132"/>
        <v>45292</v>
      </c>
      <c r="M1429" s="2">
        <f t="shared" ca="1" si="133"/>
        <v>45333</v>
      </c>
      <c r="N1429" s="2" t="str">
        <f t="shared" ca="1" si="134"/>
        <v>N/A</v>
      </c>
      <c r="O1429" s="3">
        <f t="shared" ca="1" si="135"/>
        <v>41</v>
      </c>
      <c r="P1429" s="3" t="str">
        <f t="shared" ca="1" si="136"/>
        <v>N/A</v>
      </c>
      <c r="Q1429" s="1" t="str">
        <f>IF(K1429=1,"Joined",IF(H1429&gt;=70,"Dropped at Offer",IF(H1429&gt;=50,"Dropped at Interview","Dropped at Screening")))</f>
        <v>Dropped at Offer</v>
      </c>
      <c r="R1429" s="1" t="str">
        <f t="shared" ca="1" si="137"/>
        <v>Feb-2024</v>
      </c>
    </row>
    <row r="1430" spans="1:18">
      <c r="A1430">
        <v>38</v>
      </c>
      <c r="B1430">
        <v>1</v>
      </c>
      <c r="C1430">
        <v>1</v>
      </c>
      <c r="D1430">
        <v>7</v>
      </c>
      <c r="E1430">
        <v>2</v>
      </c>
      <c r="F1430">
        <v>7.8651687570802196</v>
      </c>
      <c r="G1430">
        <v>80</v>
      </c>
      <c r="H1430">
        <v>51</v>
      </c>
      <c r="I1430">
        <v>55</v>
      </c>
      <c r="J1430">
        <v>1</v>
      </c>
      <c r="K1430">
        <v>0</v>
      </c>
      <c r="L1430" s="2">
        <f t="shared" si="132"/>
        <v>45292</v>
      </c>
      <c r="M1430" s="2">
        <f t="shared" ca="1" si="133"/>
        <v>45324</v>
      </c>
      <c r="N1430" s="2" t="str">
        <f t="shared" ca="1" si="134"/>
        <v>N/A</v>
      </c>
      <c r="O1430" s="3">
        <f t="shared" ca="1" si="135"/>
        <v>32</v>
      </c>
      <c r="P1430" s="3" t="str">
        <f t="shared" ca="1" si="136"/>
        <v>N/A</v>
      </c>
      <c r="Q1430" s="1" t="str">
        <f>IF(K1430=1,"Joined",IF(H1430&gt;=70,"Dropped at Offer",IF(H1430&gt;=50,"Dropped at Interview","Dropped at Screening")))</f>
        <v>Dropped at Interview</v>
      </c>
      <c r="R1430" s="1" t="str">
        <f t="shared" ca="1" si="137"/>
        <v>Feb-2024</v>
      </c>
    </row>
    <row r="1431" spans="1:18">
      <c r="A1431">
        <v>48</v>
      </c>
      <c r="B1431">
        <v>0</v>
      </c>
      <c r="C1431">
        <v>1</v>
      </c>
      <c r="D1431">
        <v>4</v>
      </c>
      <c r="E1431">
        <v>3</v>
      </c>
      <c r="F1431">
        <v>17.817286335778999</v>
      </c>
      <c r="G1431">
        <v>87</v>
      </c>
      <c r="H1431">
        <v>88</v>
      </c>
      <c r="I1431">
        <v>3</v>
      </c>
      <c r="J1431">
        <v>2</v>
      </c>
      <c r="K1431">
        <v>1</v>
      </c>
      <c r="L1431" s="2">
        <f t="shared" si="132"/>
        <v>45292</v>
      </c>
      <c r="M1431" s="2">
        <f t="shared" ca="1" si="133"/>
        <v>45325</v>
      </c>
      <c r="N1431" s="2">
        <f t="shared" ca="1" si="134"/>
        <v>45344</v>
      </c>
      <c r="O1431" s="3">
        <f t="shared" ca="1" si="135"/>
        <v>33</v>
      </c>
      <c r="P1431" s="3">
        <f t="shared" ca="1" si="136"/>
        <v>19</v>
      </c>
      <c r="Q1431" s="1" t="str">
        <f>IF(K1431=1,"Joined",IF(H1431&gt;=70,"Dropped at Offer",IF(H1431&gt;=50,"Dropped at Interview","Dropped at Screening")))</f>
        <v>Joined</v>
      </c>
      <c r="R1431" s="1" t="str">
        <f t="shared" ca="1" si="137"/>
        <v>Feb-2024</v>
      </c>
    </row>
    <row r="1432" spans="1:18">
      <c r="A1432">
        <v>25</v>
      </c>
      <c r="B1432">
        <v>0</v>
      </c>
      <c r="C1432">
        <v>3</v>
      </c>
      <c r="D1432">
        <v>2</v>
      </c>
      <c r="E1432">
        <v>1</v>
      </c>
      <c r="F1432">
        <v>30.337405948367099</v>
      </c>
      <c r="G1432">
        <v>66</v>
      </c>
      <c r="H1432">
        <v>23</v>
      </c>
      <c r="I1432">
        <v>99</v>
      </c>
      <c r="J1432">
        <v>1</v>
      </c>
      <c r="K1432">
        <v>1</v>
      </c>
      <c r="L1432" s="2">
        <f t="shared" si="132"/>
        <v>45292</v>
      </c>
      <c r="M1432" s="2">
        <f t="shared" ca="1" si="133"/>
        <v>45326</v>
      </c>
      <c r="N1432" s="2">
        <f t="shared" ca="1" si="134"/>
        <v>45335</v>
      </c>
      <c r="O1432" s="3">
        <f t="shared" ca="1" si="135"/>
        <v>34</v>
      </c>
      <c r="P1432" s="3">
        <f t="shared" ca="1" si="136"/>
        <v>9</v>
      </c>
      <c r="Q1432" s="1" t="str">
        <f>IF(K1432=1,"Joined",IF(H1432&gt;=70,"Dropped at Offer",IF(H1432&gt;=50,"Dropped at Interview","Dropped at Screening")))</f>
        <v>Joined</v>
      </c>
      <c r="R1432" s="1" t="str">
        <f t="shared" ca="1" si="137"/>
        <v>Feb-2024</v>
      </c>
    </row>
    <row r="1433" spans="1:18">
      <c r="A1433">
        <v>20</v>
      </c>
      <c r="B1433">
        <v>1</v>
      </c>
      <c r="C1433">
        <v>2</v>
      </c>
      <c r="D1433">
        <v>9</v>
      </c>
      <c r="E1433">
        <v>4</v>
      </c>
      <c r="F1433">
        <v>6.1452544171000296</v>
      </c>
      <c r="G1433">
        <v>29</v>
      </c>
      <c r="H1433">
        <v>71</v>
      </c>
      <c r="I1433">
        <v>47</v>
      </c>
      <c r="J1433">
        <v>2</v>
      </c>
      <c r="K1433">
        <v>1</v>
      </c>
      <c r="L1433" s="2">
        <f t="shared" si="132"/>
        <v>45292</v>
      </c>
      <c r="M1433" s="2">
        <f t="shared" ca="1" si="133"/>
        <v>45318</v>
      </c>
      <c r="N1433" s="2">
        <f t="shared" ca="1" si="134"/>
        <v>45340</v>
      </c>
      <c r="O1433" s="3">
        <f t="shared" ca="1" si="135"/>
        <v>26</v>
      </c>
      <c r="P1433" s="3">
        <f t="shared" ca="1" si="136"/>
        <v>22</v>
      </c>
      <c r="Q1433" s="1" t="str">
        <f>IF(K1433=1,"Joined",IF(H1433&gt;=70,"Dropped at Offer",IF(H1433&gt;=50,"Dropped at Interview","Dropped at Screening")))</f>
        <v>Joined</v>
      </c>
      <c r="R1433" s="1" t="str">
        <f t="shared" ca="1" si="137"/>
        <v>Jan-2024</v>
      </c>
    </row>
    <row r="1434" spans="1:18">
      <c r="A1434">
        <v>42</v>
      </c>
      <c r="B1434">
        <v>1</v>
      </c>
      <c r="C1434">
        <v>1</v>
      </c>
      <c r="D1434">
        <v>10</v>
      </c>
      <c r="E1434">
        <v>1</v>
      </c>
      <c r="F1434">
        <v>37.5065093888212</v>
      </c>
      <c r="G1434">
        <v>12</v>
      </c>
      <c r="H1434">
        <v>8</v>
      </c>
      <c r="I1434">
        <v>16</v>
      </c>
      <c r="J1434">
        <v>2</v>
      </c>
      <c r="K1434">
        <v>1</v>
      </c>
      <c r="L1434" s="2">
        <f t="shared" si="132"/>
        <v>45292</v>
      </c>
      <c r="M1434" s="2">
        <f t="shared" ca="1" si="133"/>
        <v>45314</v>
      </c>
      <c r="N1434" s="2">
        <f t="shared" ca="1" si="134"/>
        <v>45323</v>
      </c>
      <c r="O1434" s="3">
        <f t="shared" ca="1" si="135"/>
        <v>22</v>
      </c>
      <c r="P1434" s="3">
        <f t="shared" ca="1" si="136"/>
        <v>9</v>
      </c>
      <c r="Q1434" s="1" t="str">
        <f>IF(K1434=1,"Joined",IF(H1434&gt;=70,"Dropped at Offer",IF(H1434&gt;=50,"Dropped at Interview","Dropped at Screening")))</f>
        <v>Joined</v>
      </c>
      <c r="R1434" s="1" t="str">
        <f t="shared" ca="1" si="137"/>
        <v>Jan-2024</v>
      </c>
    </row>
    <row r="1435" spans="1:18">
      <c r="A1435">
        <v>50</v>
      </c>
      <c r="B1435">
        <v>1</v>
      </c>
      <c r="C1435">
        <v>1</v>
      </c>
      <c r="D1435">
        <v>15</v>
      </c>
      <c r="E1435">
        <v>4</v>
      </c>
      <c r="F1435">
        <v>20.362302410173701</v>
      </c>
      <c r="G1435">
        <v>18</v>
      </c>
      <c r="H1435">
        <v>36</v>
      </c>
      <c r="I1435">
        <v>35</v>
      </c>
      <c r="J1435">
        <v>2</v>
      </c>
      <c r="K1435">
        <v>0</v>
      </c>
      <c r="L1435" s="2">
        <f t="shared" si="132"/>
        <v>45292</v>
      </c>
      <c r="M1435" s="2">
        <f t="shared" ca="1" si="133"/>
        <v>45311</v>
      </c>
      <c r="N1435" s="2" t="str">
        <f t="shared" ca="1" si="134"/>
        <v>N/A</v>
      </c>
      <c r="O1435" s="3">
        <f t="shared" ca="1" si="135"/>
        <v>19</v>
      </c>
      <c r="P1435" s="3" t="str">
        <f t="shared" ca="1" si="136"/>
        <v>N/A</v>
      </c>
      <c r="Q1435" s="1" t="str">
        <f>IF(K1435=1,"Joined",IF(H1435&gt;=70,"Dropped at Offer",IF(H1435&gt;=50,"Dropped at Interview","Dropped at Screening")))</f>
        <v>Dropped at Screening</v>
      </c>
      <c r="R1435" s="1" t="str">
        <f t="shared" ca="1" si="137"/>
        <v>Jan-2024</v>
      </c>
    </row>
    <row r="1436" spans="1:18">
      <c r="A1436">
        <v>34</v>
      </c>
      <c r="B1436">
        <v>0</v>
      </c>
      <c r="C1436">
        <v>1</v>
      </c>
      <c r="D1436">
        <v>0</v>
      </c>
      <c r="E1436">
        <v>1</v>
      </c>
      <c r="F1436">
        <v>40.220283280419999</v>
      </c>
      <c r="G1436">
        <v>6</v>
      </c>
      <c r="H1436">
        <v>93</v>
      </c>
      <c r="I1436">
        <v>69</v>
      </c>
      <c r="J1436">
        <v>1</v>
      </c>
      <c r="K1436">
        <v>0</v>
      </c>
      <c r="L1436" s="2">
        <f t="shared" si="132"/>
        <v>45292</v>
      </c>
      <c r="M1436" s="2">
        <f t="shared" ca="1" si="133"/>
        <v>45337</v>
      </c>
      <c r="N1436" s="2" t="str">
        <f t="shared" ca="1" si="134"/>
        <v>N/A</v>
      </c>
      <c r="O1436" s="3">
        <f t="shared" ca="1" si="135"/>
        <v>45</v>
      </c>
      <c r="P1436" s="3" t="str">
        <f t="shared" ca="1" si="136"/>
        <v>N/A</v>
      </c>
      <c r="Q1436" s="1" t="str">
        <f>IF(K1436=1,"Joined",IF(H1436&gt;=70,"Dropped at Offer",IF(H1436&gt;=50,"Dropped at Interview","Dropped at Screening")))</f>
        <v>Dropped at Offer</v>
      </c>
      <c r="R1436" s="1" t="str">
        <f t="shared" ca="1" si="137"/>
        <v>Feb-2024</v>
      </c>
    </row>
    <row r="1437" spans="1:18">
      <c r="A1437">
        <v>20</v>
      </c>
      <c r="B1437">
        <v>0</v>
      </c>
      <c r="C1437">
        <v>2</v>
      </c>
      <c r="D1437">
        <v>14</v>
      </c>
      <c r="E1437">
        <v>3</v>
      </c>
      <c r="F1437">
        <v>25.644814279230101</v>
      </c>
      <c r="G1437">
        <v>8</v>
      </c>
      <c r="H1437">
        <v>82</v>
      </c>
      <c r="I1437">
        <v>79</v>
      </c>
      <c r="J1437">
        <v>2</v>
      </c>
      <c r="K1437">
        <v>1</v>
      </c>
      <c r="L1437" s="2">
        <f t="shared" si="132"/>
        <v>45292</v>
      </c>
      <c r="M1437" s="2">
        <f t="shared" ca="1" si="133"/>
        <v>45332</v>
      </c>
      <c r="N1437" s="2">
        <f t="shared" ca="1" si="134"/>
        <v>45340</v>
      </c>
      <c r="O1437" s="3">
        <f t="shared" ca="1" si="135"/>
        <v>40</v>
      </c>
      <c r="P1437" s="3">
        <f t="shared" ca="1" si="136"/>
        <v>8</v>
      </c>
      <c r="Q1437" s="1" t="str">
        <f>IF(K1437=1,"Joined",IF(H1437&gt;=70,"Dropped at Offer",IF(H1437&gt;=50,"Dropped at Interview","Dropped at Screening")))</f>
        <v>Joined</v>
      </c>
      <c r="R1437" s="1" t="str">
        <f t="shared" ca="1" si="137"/>
        <v>Feb-2024</v>
      </c>
    </row>
    <row r="1438" spans="1:18">
      <c r="A1438">
        <v>44</v>
      </c>
      <c r="B1438">
        <v>1</v>
      </c>
      <c r="C1438">
        <v>2</v>
      </c>
      <c r="D1438">
        <v>2</v>
      </c>
      <c r="E1438">
        <v>3</v>
      </c>
      <c r="F1438">
        <v>10.0437262212668</v>
      </c>
      <c r="G1438">
        <v>82</v>
      </c>
      <c r="H1438">
        <v>52</v>
      </c>
      <c r="I1438">
        <v>92</v>
      </c>
      <c r="J1438">
        <v>1</v>
      </c>
      <c r="K1438">
        <v>1</v>
      </c>
      <c r="L1438" s="2">
        <f t="shared" si="132"/>
        <v>45292</v>
      </c>
      <c r="M1438" s="2">
        <f t="shared" ca="1" si="133"/>
        <v>45332</v>
      </c>
      <c r="N1438" s="2">
        <f t="shared" ca="1" si="134"/>
        <v>45356</v>
      </c>
      <c r="O1438" s="3">
        <f t="shared" ca="1" si="135"/>
        <v>40</v>
      </c>
      <c r="P1438" s="3">
        <f t="shared" ca="1" si="136"/>
        <v>24</v>
      </c>
      <c r="Q1438" s="1" t="str">
        <f>IF(K1438=1,"Joined",IF(H1438&gt;=70,"Dropped at Offer",IF(H1438&gt;=50,"Dropped at Interview","Dropped at Screening")))</f>
        <v>Joined</v>
      </c>
      <c r="R1438" s="1" t="str">
        <f t="shared" ca="1" si="137"/>
        <v>Feb-2024</v>
      </c>
    </row>
    <row r="1439" spans="1:18">
      <c r="A1439">
        <v>36</v>
      </c>
      <c r="B1439">
        <v>1</v>
      </c>
      <c r="C1439">
        <v>1</v>
      </c>
      <c r="D1439">
        <v>11</v>
      </c>
      <c r="E1439">
        <v>1</v>
      </c>
      <c r="F1439">
        <v>37.738090567767202</v>
      </c>
      <c r="G1439">
        <v>53</v>
      </c>
      <c r="H1439">
        <v>79</v>
      </c>
      <c r="I1439">
        <v>99</v>
      </c>
      <c r="J1439">
        <v>1</v>
      </c>
      <c r="K1439">
        <v>1</v>
      </c>
      <c r="L1439" s="2">
        <f t="shared" si="132"/>
        <v>45292</v>
      </c>
      <c r="M1439" s="2">
        <f t="shared" ca="1" si="133"/>
        <v>45320</v>
      </c>
      <c r="N1439" s="2">
        <f t="shared" ca="1" si="134"/>
        <v>45349</v>
      </c>
      <c r="O1439" s="3">
        <f t="shared" ca="1" si="135"/>
        <v>28</v>
      </c>
      <c r="P1439" s="3">
        <f t="shared" ca="1" si="136"/>
        <v>29</v>
      </c>
      <c r="Q1439" s="1" t="str">
        <f>IF(K1439=1,"Joined",IF(H1439&gt;=70,"Dropped at Offer",IF(H1439&gt;=50,"Dropped at Interview","Dropped at Screening")))</f>
        <v>Joined</v>
      </c>
      <c r="R1439" s="1" t="str">
        <f t="shared" ca="1" si="137"/>
        <v>Jan-2024</v>
      </c>
    </row>
    <row r="1440" spans="1:18">
      <c r="A1440">
        <v>20</v>
      </c>
      <c r="B1440">
        <v>1</v>
      </c>
      <c r="C1440">
        <v>1</v>
      </c>
      <c r="D1440">
        <v>8</v>
      </c>
      <c r="E1440">
        <v>2</v>
      </c>
      <c r="F1440">
        <v>13.607197791947099</v>
      </c>
      <c r="G1440">
        <v>85</v>
      </c>
      <c r="H1440">
        <v>23</v>
      </c>
      <c r="I1440">
        <v>37</v>
      </c>
      <c r="J1440">
        <v>2</v>
      </c>
      <c r="K1440">
        <v>0</v>
      </c>
      <c r="L1440" s="2">
        <f t="shared" si="132"/>
        <v>45292</v>
      </c>
      <c r="M1440" s="2">
        <f t="shared" ca="1" si="133"/>
        <v>45326</v>
      </c>
      <c r="N1440" s="2" t="str">
        <f t="shared" ca="1" si="134"/>
        <v>N/A</v>
      </c>
      <c r="O1440" s="3">
        <f t="shared" ca="1" si="135"/>
        <v>34</v>
      </c>
      <c r="P1440" s="3" t="str">
        <f t="shared" ca="1" si="136"/>
        <v>N/A</v>
      </c>
      <c r="Q1440" s="1" t="str">
        <f>IF(K1440=1,"Joined",IF(H1440&gt;=70,"Dropped at Offer",IF(H1440&gt;=50,"Dropped at Interview","Dropped at Screening")))</f>
        <v>Dropped at Screening</v>
      </c>
      <c r="R1440" s="1" t="str">
        <f t="shared" ca="1" si="137"/>
        <v>Feb-2024</v>
      </c>
    </row>
    <row r="1441" spans="1:18">
      <c r="A1441">
        <v>34</v>
      </c>
      <c r="B1441">
        <v>1</v>
      </c>
      <c r="C1441">
        <v>3</v>
      </c>
      <c r="D1441">
        <v>4</v>
      </c>
      <c r="E1441">
        <v>3</v>
      </c>
      <c r="F1441">
        <v>25.540515063402101</v>
      </c>
      <c r="G1441">
        <v>81</v>
      </c>
      <c r="H1441">
        <v>20</v>
      </c>
      <c r="I1441">
        <v>100</v>
      </c>
      <c r="J1441">
        <v>1</v>
      </c>
      <c r="K1441">
        <v>1</v>
      </c>
      <c r="L1441" s="2">
        <f t="shared" si="132"/>
        <v>45292</v>
      </c>
      <c r="M1441" s="2">
        <f t="shared" ca="1" si="133"/>
        <v>45320</v>
      </c>
      <c r="N1441" s="2">
        <f t="shared" ca="1" si="134"/>
        <v>45345</v>
      </c>
      <c r="O1441" s="3">
        <f t="shared" ca="1" si="135"/>
        <v>28</v>
      </c>
      <c r="P1441" s="3">
        <f t="shared" ca="1" si="136"/>
        <v>25</v>
      </c>
      <c r="Q1441" s="1" t="str">
        <f>IF(K1441=1,"Joined",IF(H1441&gt;=70,"Dropped at Offer",IF(H1441&gt;=50,"Dropped at Interview","Dropped at Screening")))</f>
        <v>Joined</v>
      </c>
      <c r="R1441" s="1" t="str">
        <f t="shared" ca="1" si="137"/>
        <v>Jan-2024</v>
      </c>
    </row>
    <row r="1442" spans="1:18">
      <c r="A1442">
        <v>42</v>
      </c>
      <c r="B1442">
        <v>1</v>
      </c>
      <c r="C1442">
        <v>2</v>
      </c>
      <c r="D1442">
        <v>11</v>
      </c>
      <c r="E1442">
        <v>4</v>
      </c>
      <c r="F1442">
        <v>4.7766634578453804</v>
      </c>
      <c r="G1442">
        <v>60</v>
      </c>
      <c r="H1442">
        <v>99</v>
      </c>
      <c r="I1442">
        <v>61</v>
      </c>
      <c r="J1442">
        <v>1</v>
      </c>
      <c r="K1442">
        <v>0</v>
      </c>
      <c r="L1442" s="2">
        <f t="shared" si="132"/>
        <v>45292</v>
      </c>
      <c r="M1442" s="2">
        <f t="shared" ca="1" si="133"/>
        <v>45311</v>
      </c>
      <c r="N1442" s="2" t="str">
        <f t="shared" ca="1" si="134"/>
        <v>N/A</v>
      </c>
      <c r="O1442" s="3">
        <f t="shared" ca="1" si="135"/>
        <v>19</v>
      </c>
      <c r="P1442" s="3" t="str">
        <f t="shared" ca="1" si="136"/>
        <v>N/A</v>
      </c>
      <c r="Q1442" s="1" t="str">
        <f>IF(K1442=1,"Joined",IF(H1442&gt;=70,"Dropped at Offer",IF(H1442&gt;=50,"Dropped at Interview","Dropped at Screening")))</f>
        <v>Dropped at Offer</v>
      </c>
      <c r="R1442" s="1" t="str">
        <f t="shared" ca="1" si="137"/>
        <v>Jan-2024</v>
      </c>
    </row>
    <row r="1443" spans="1:18">
      <c r="A1443">
        <v>21</v>
      </c>
      <c r="B1443">
        <v>1</v>
      </c>
      <c r="C1443">
        <v>2</v>
      </c>
      <c r="D1443">
        <v>9</v>
      </c>
      <c r="E1443">
        <v>4</v>
      </c>
      <c r="F1443">
        <v>31.893332720601801</v>
      </c>
      <c r="G1443">
        <v>86</v>
      </c>
      <c r="H1443">
        <v>39</v>
      </c>
      <c r="I1443">
        <v>47</v>
      </c>
      <c r="J1443">
        <v>3</v>
      </c>
      <c r="K1443">
        <v>1</v>
      </c>
      <c r="L1443" s="2">
        <f t="shared" si="132"/>
        <v>45292</v>
      </c>
      <c r="M1443" s="2">
        <f t="shared" ca="1" si="133"/>
        <v>45306</v>
      </c>
      <c r="N1443" s="2">
        <f t="shared" ca="1" si="134"/>
        <v>45332</v>
      </c>
      <c r="O1443" s="3">
        <f t="shared" ca="1" si="135"/>
        <v>14</v>
      </c>
      <c r="P1443" s="3">
        <f t="shared" ca="1" si="136"/>
        <v>26</v>
      </c>
      <c r="Q1443" s="1" t="str">
        <f>IF(K1443=1,"Joined",IF(H1443&gt;=70,"Dropped at Offer",IF(H1443&gt;=50,"Dropped at Interview","Dropped at Screening")))</f>
        <v>Joined</v>
      </c>
      <c r="R1443" s="1" t="str">
        <f t="shared" ca="1" si="137"/>
        <v>Jan-2024</v>
      </c>
    </row>
    <row r="1444" spans="1:18">
      <c r="A1444">
        <v>33</v>
      </c>
      <c r="B1444">
        <v>0</v>
      </c>
      <c r="C1444">
        <v>2</v>
      </c>
      <c r="D1444">
        <v>14</v>
      </c>
      <c r="E1444">
        <v>5</v>
      </c>
      <c r="F1444">
        <v>34.292888310813801</v>
      </c>
      <c r="G1444">
        <v>1</v>
      </c>
      <c r="H1444">
        <v>61</v>
      </c>
      <c r="I1444">
        <v>9</v>
      </c>
      <c r="J1444">
        <v>3</v>
      </c>
      <c r="K1444">
        <v>0</v>
      </c>
      <c r="L1444" s="2">
        <f t="shared" si="132"/>
        <v>45292</v>
      </c>
      <c r="M1444" s="2">
        <f t="shared" ca="1" si="133"/>
        <v>45331</v>
      </c>
      <c r="N1444" s="2" t="str">
        <f t="shared" ca="1" si="134"/>
        <v>N/A</v>
      </c>
      <c r="O1444" s="3">
        <f t="shared" ca="1" si="135"/>
        <v>39</v>
      </c>
      <c r="P1444" s="3" t="str">
        <f t="shared" ca="1" si="136"/>
        <v>N/A</v>
      </c>
      <c r="Q1444" s="1" t="str">
        <f>IF(K1444=1,"Joined",IF(H1444&gt;=70,"Dropped at Offer",IF(H1444&gt;=50,"Dropped at Interview","Dropped at Screening")))</f>
        <v>Dropped at Interview</v>
      </c>
      <c r="R1444" s="1" t="str">
        <f t="shared" ca="1" si="137"/>
        <v>Feb-2024</v>
      </c>
    </row>
    <row r="1445" spans="1:18">
      <c r="A1445">
        <v>40</v>
      </c>
      <c r="B1445">
        <v>0</v>
      </c>
      <c r="C1445">
        <v>2</v>
      </c>
      <c r="D1445">
        <v>1</v>
      </c>
      <c r="E1445">
        <v>4</v>
      </c>
      <c r="F1445">
        <v>19.933710498639101</v>
      </c>
      <c r="G1445">
        <v>49</v>
      </c>
      <c r="H1445">
        <v>69</v>
      </c>
      <c r="I1445">
        <v>35</v>
      </c>
      <c r="J1445">
        <v>2</v>
      </c>
      <c r="K1445">
        <v>0</v>
      </c>
      <c r="L1445" s="2">
        <f t="shared" si="132"/>
        <v>45292</v>
      </c>
      <c r="M1445" s="2">
        <f t="shared" ca="1" si="133"/>
        <v>45327</v>
      </c>
      <c r="N1445" s="2" t="str">
        <f t="shared" ca="1" si="134"/>
        <v>N/A</v>
      </c>
      <c r="O1445" s="3">
        <f t="shared" ca="1" si="135"/>
        <v>35</v>
      </c>
      <c r="P1445" s="3" t="str">
        <f t="shared" ca="1" si="136"/>
        <v>N/A</v>
      </c>
      <c r="Q1445" s="1" t="str">
        <f>IF(K1445=1,"Joined",IF(H1445&gt;=70,"Dropped at Offer",IF(H1445&gt;=50,"Dropped at Interview","Dropped at Screening")))</f>
        <v>Dropped at Interview</v>
      </c>
      <c r="R1445" s="1" t="str">
        <f t="shared" ca="1" si="137"/>
        <v>Feb-2024</v>
      </c>
    </row>
    <row r="1446" spans="1:18">
      <c r="A1446">
        <v>27</v>
      </c>
      <c r="B1446">
        <v>0</v>
      </c>
      <c r="C1446">
        <v>2</v>
      </c>
      <c r="D1446">
        <v>6</v>
      </c>
      <c r="E1446">
        <v>5</v>
      </c>
      <c r="F1446">
        <v>48.721139016053598</v>
      </c>
      <c r="G1446">
        <v>74</v>
      </c>
      <c r="H1446">
        <v>68</v>
      </c>
      <c r="I1446">
        <v>28</v>
      </c>
      <c r="J1446">
        <v>1</v>
      </c>
      <c r="K1446">
        <v>1</v>
      </c>
      <c r="L1446" s="2">
        <f t="shared" si="132"/>
        <v>45292</v>
      </c>
      <c r="M1446" s="2">
        <f t="shared" ca="1" si="133"/>
        <v>45326</v>
      </c>
      <c r="N1446" s="2">
        <f t="shared" ca="1" si="134"/>
        <v>45345</v>
      </c>
      <c r="O1446" s="3">
        <f t="shared" ca="1" si="135"/>
        <v>34</v>
      </c>
      <c r="P1446" s="3">
        <f t="shared" ca="1" si="136"/>
        <v>19</v>
      </c>
      <c r="Q1446" s="1" t="str">
        <f>IF(K1446=1,"Joined",IF(H1446&gt;=70,"Dropped at Offer",IF(H1446&gt;=50,"Dropped at Interview","Dropped at Screening")))</f>
        <v>Joined</v>
      </c>
      <c r="R1446" s="1" t="str">
        <f t="shared" ca="1" si="137"/>
        <v>Feb-2024</v>
      </c>
    </row>
    <row r="1447" spans="1:18">
      <c r="A1447">
        <v>27</v>
      </c>
      <c r="B1447">
        <v>1</v>
      </c>
      <c r="C1447">
        <v>2</v>
      </c>
      <c r="D1447">
        <v>14</v>
      </c>
      <c r="E1447">
        <v>1</v>
      </c>
      <c r="F1447">
        <v>44.708446074103399</v>
      </c>
      <c r="G1447">
        <v>30</v>
      </c>
      <c r="H1447">
        <v>13</v>
      </c>
      <c r="I1447">
        <v>77</v>
      </c>
      <c r="J1447">
        <v>1</v>
      </c>
      <c r="K1447">
        <v>0</v>
      </c>
      <c r="L1447" s="2">
        <f t="shared" si="132"/>
        <v>45292</v>
      </c>
      <c r="M1447" s="2">
        <f t="shared" ca="1" si="133"/>
        <v>45320</v>
      </c>
      <c r="N1447" s="2" t="str">
        <f t="shared" ca="1" si="134"/>
        <v>N/A</v>
      </c>
      <c r="O1447" s="3">
        <f t="shared" ca="1" si="135"/>
        <v>28</v>
      </c>
      <c r="P1447" s="3" t="str">
        <f t="shared" ca="1" si="136"/>
        <v>N/A</v>
      </c>
      <c r="Q1447" s="1" t="str">
        <f>IF(K1447=1,"Joined",IF(H1447&gt;=70,"Dropped at Offer",IF(H1447&gt;=50,"Dropped at Interview","Dropped at Screening")))</f>
        <v>Dropped at Screening</v>
      </c>
      <c r="R1447" s="1" t="str">
        <f t="shared" ca="1" si="137"/>
        <v>Jan-2024</v>
      </c>
    </row>
    <row r="1448" spans="1:18">
      <c r="A1448">
        <v>38</v>
      </c>
      <c r="B1448">
        <v>1</v>
      </c>
      <c r="C1448">
        <v>2</v>
      </c>
      <c r="D1448">
        <v>1</v>
      </c>
      <c r="E1448">
        <v>1</v>
      </c>
      <c r="F1448">
        <v>36.397045786999698</v>
      </c>
      <c r="G1448">
        <v>32</v>
      </c>
      <c r="H1448">
        <v>41</v>
      </c>
      <c r="I1448">
        <v>3</v>
      </c>
      <c r="J1448">
        <v>2</v>
      </c>
      <c r="K1448">
        <v>0</v>
      </c>
      <c r="L1448" s="2">
        <f t="shared" si="132"/>
        <v>45292</v>
      </c>
      <c r="M1448" s="2">
        <f t="shared" ca="1" si="133"/>
        <v>45335</v>
      </c>
      <c r="N1448" s="2" t="str">
        <f t="shared" ca="1" si="134"/>
        <v>N/A</v>
      </c>
      <c r="O1448" s="3">
        <f t="shared" ca="1" si="135"/>
        <v>43</v>
      </c>
      <c r="P1448" s="3" t="str">
        <f t="shared" ca="1" si="136"/>
        <v>N/A</v>
      </c>
      <c r="Q1448" s="1" t="str">
        <f>IF(K1448=1,"Joined",IF(H1448&gt;=70,"Dropped at Offer",IF(H1448&gt;=50,"Dropped at Interview","Dropped at Screening")))</f>
        <v>Dropped at Screening</v>
      </c>
      <c r="R1448" s="1" t="str">
        <f t="shared" ca="1" si="137"/>
        <v>Feb-2024</v>
      </c>
    </row>
    <row r="1449" spans="1:18">
      <c r="A1449">
        <v>26</v>
      </c>
      <c r="B1449">
        <v>1</v>
      </c>
      <c r="C1449">
        <v>4</v>
      </c>
      <c r="D1449">
        <v>3</v>
      </c>
      <c r="E1449">
        <v>1</v>
      </c>
      <c r="F1449">
        <v>36.682603724687098</v>
      </c>
      <c r="G1449">
        <v>77</v>
      </c>
      <c r="H1449">
        <v>49</v>
      </c>
      <c r="I1449">
        <v>43</v>
      </c>
      <c r="J1449">
        <v>1</v>
      </c>
      <c r="K1449">
        <v>1</v>
      </c>
      <c r="L1449" s="2">
        <f t="shared" si="132"/>
        <v>45292</v>
      </c>
      <c r="M1449" s="2">
        <f t="shared" ca="1" si="133"/>
        <v>45306</v>
      </c>
      <c r="N1449" s="2">
        <f t="shared" ca="1" si="134"/>
        <v>45328</v>
      </c>
      <c r="O1449" s="3">
        <f t="shared" ca="1" si="135"/>
        <v>14</v>
      </c>
      <c r="P1449" s="3">
        <f t="shared" ca="1" si="136"/>
        <v>22</v>
      </c>
      <c r="Q1449" s="1" t="str">
        <f>IF(K1449=1,"Joined",IF(H1449&gt;=70,"Dropped at Offer",IF(H1449&gt;=50,"Dropped at Interview","Dropped at Screening")))</f>
        <v>Joined</v>
      </c>
      <c r="R1449" s="1" t="str">
        <f t="shared" ca="1" si="137"/>
        <v>Jan-2024</v>
      </c>
    </row>
    <row r="1450" spans="1:18">
      <c r="A1450">
        <v>38</v>
      </c>
      <c r="B1450">
        <v>1</v>
      </c>
      <c r="C1450">
        <v>1</v>
      </c>
      <c r="D1450">
        <v>11</v>
      </c>
      <c r="E1450">
        <v>2</v>
      </c>
      <c r="F1450">
        <v>13.620085747107501</v>
      </c>
      <c r="G1450">
        <v>79</v>
      </c>
      <c r="H1450">
        <v>60</v>
      </c>
      <c r="I1450">
        <v>55</v>
      </c>
      <c r="J1450">
        <v>3</v>
      </c>
      <c r="K1450">
        <v>0</v>
      </c>
      <c r="L1450" s="2">
        <f t="shared" si="132"/>
        <v>45292</v>
      </c>
      <c r="M1450" s="2">
        <f t="shared" ca="1" si="133"/>
        <v>45332</v>
      </c>
      <c r="N1450" s="2" t="str">
        <f t="shared" ca="1" si="134"/>
        <v>N/A</v>
      </c>
      <c r="O1450" s="3">
        <f t="shared" ca="1" si="135"/>
        <v>40</v>
      </c>
      <c r="P1450" s="3" t="str">
        <f t="shared" ca="1" si="136"/>
        <v>N/A</v>
      </c>
      <c r="Q1450" s="1" t="str">
        <f>IF(K1450=1,"Joined",IF(H1450&gt;=70,"Dropped at Offer",IF(H1450&gt;=50,"Dropped at Interview","Dropped at Screening")))</f>
        <v>Dropped at Interview</v>
      </c>
      <c r="R1450" s="1" t="str">
        <f t="shared" ca="1" si="137"/>
        <v>Feb-2024</v>
      </c>
    </row>
    <row r="1451" spans="1:18">
      <c r="A1451">
        <v>25</v>
      </c>
      <c r="B1451">
        <v>1</v>
      </c>
      <c r="C1451">
        <v>3</v>
      </c>
      <c r="D1451">
        <v>6</v>
      </c>
      <c r="E1451">
        <v>2</v>
      </c>
      <c r="F1451">
        <v>33.8407615544224</v>
      </c>
      <c r="G1451">
        <v>10</v>
      </c>
      <c r="H1451">
        <v>3</v>
      </c>
      <c r="I1451">
        <v>41</v>
      </c>
      <c r="J1451">
        <v>1</v>
      </c>
      <c r="K1451">
        <v>1</v>
      </c>
      <c r="L1451" s="2">
        <f t="shared" si="132"/>
        <v>45292</v>
      </c>
      <c r="M1451" s="2">
        <f t="shared" ca="1" si="133"/>
        <v>45316</v>
      </c>
      <c r="N1451" s="2">
        <f t="shared" ca="1" si="134"/>
        <v>45345</v>
      </c>
      <c r="O1451" s="3">
        <f t="shared" ca="1" si="135"/>
        <v>24</v>
      </c>
      <c r="P1451" s="3">
        <f t="shared" ca="1" si="136"/>
        <v>29</v>
      </c>
      <c r="Q1451" s="1" t="str">
        <f>IF(K1451=1,"Joined",IF(H1451&gt;=70,"Dropped at Offer",IF(H1451&gt;=50,"Dropped at Interview","Dropped at Screening")))</f>
        <v>Joined</v>
      </c>
      <c r="R1451" s="1" t="str">
        <f t="shared" ca="1" si="137"/>
        <v>Jan-2024</v>
      </c>
    </row>
    <row r="1452" spans="1:18">
      <c r="A1452">
        <v>25</v>
      </c>
      <c r="B1452">
        <v>1</v>
      </c>
      <c r="C1452">
        <v>1</v>
      </c>
      <c r="D1452">
        <v>3</v>
      </c>
      <c r="E1452">
        <v>5</v>
      </c>
      <c r="F1452">
        <v>10.910313261775901</v>
      </c>
      <c r="G1452">
        <v>32</v>
      </c>
      <c r="H1452">
        <v>71</v>
      </c>
      <c r="I1452">
        <v>99</v>
      </c>
      <c r="J1452">
        <v>3</v>
      </c>
      <c r="K1452">
        <v>0</v>
      </c>
      <c r="L1452" s="2">
        <f t="shared" si="132"/>
        <v>45292</v>
      </c>
      <c r="M1452" s="2">
        <f t="shared" ca="1" si="133"/>
        <v>45329</v>
      </c>
      <c r="N1452" s="2" t="str">
        <f t="shared" ca="1" si="134"/>
        <v>N/A</v>
      </c>
      <c r="O1452" s="3">
        <f t="shared" ca="1" si="135"/>
        <v>37</v>
      </c>
      <c r="P1452" s="3" t="str">
        <f t="shared" ca="1" si="136"/>
        <v>N/A</v>
      </c>
      <c r="Q1452" s="1" t="str">
        <f>IF(K1452=1,"Joined",IF(H1452&gt;=70,"Dropped at Offer",IF(H1452&gt;=50,"Dropped at Interview","Dropped at Screening")))</f>
        <v>Dropped at Offer</v>
      </c>
      <c r="R1452" s="1" t="str">
        <f t="shared" ca="1" si="137"/>
        <v>Feb-2024</v>
      </c>
    </row>
    <row r="1453" spans="1:18">
      <c r="A1453">
        <v>22</v>
      </c>
      <c r="B1453">
        <v>0</v>
      </c>
      <c r="C1453">
        <v>3</v>
      </c>
      <c r="D1453">
        <v>6</v>
      </c>
      <c r="E1453">
        <v>4</v>
      </c>
      <c r="F1453">
        <v>8.2001611959911003</v>
      </c>
      <c r="G1453">
        <v>6</v>
      </c>
      <c r="H1453">
        <v>87</v>
      </c>
      <c r="I1453">
        <v>12</v>
      </c>
      <c r="J1453">
        <v>2</v>
      </c>
      <c r="K1453">
        <v>0</v>
      </c>
      <c r="L1453" s="2">
        <f t="shared" si="132"/>
        <v>45292</v>
      </c>
      <c r="M1453" s="2">
        <f t="shared" ca="1" si="133"/>
        <v>45326</v>
      </c>
      <c r="N1453" s="2" t="str">
        <f t="shared" ca="1" si="134"/>
        <v>N/A</v>
      </c>
      <c r="O1453" s="3">
        <f t="shared" ca="1" si="135"/>
        <v>34</v>
      </c>
      <c r="P1453" s="3" t="str">
        <f t="shared" ca="1" si="136"/>
        <v>N/A</v>
      </c>
      <c r="Q1453" s="1" t="str">
        <f>IF(K1453=1,"Joined",IF(H1453&gt;=70,"Dropped at Offer",IF(H1453&gt;=50,"Dropped at Interview","Dropped at Screening")))</f>
        <v>Dropped at Offer</v>
      </c>
      <c r="R1453" s="1" t="str">
        <f t="shared" ca="1" si="137"/>
        <v>Feb-2024</v>
      </c>
    </row>
    <row r="1454" spans="1:18">
      <c r="A1454">
        <v>26</v>
      </c>
      <c r="B1454">
        <v>0</v>
      </c>
      <c r="C1454">
        <v>2</v>
      </c>
      <c r="D1454">
        <v>15</v>
      </c>
      <c r="E1454">
        <v>4</v>
      </c>
      <c r="F1454">
        <v>50.973394710129</v>
      </c>
      <c r="G1454">
        <v>30</v>
      </c>
      <c r="H1454">
        <v>74</v>
      </c>
      <c r="I1454">
        <v>45</v>
      </c>
      <c r="J1454">
        <v>2</v>
      </c>
      <c r="K1454">
        <v>0</v>
      </c>
      <c r="L1454" s="2">
        <f t="shared" si="132"/>
        <v>45292</v>
      </c>
      <c r="M1454" s="2">
        <f t="shared" ca="1" si="133"/>
        <v>45332</v>
      </c>
      <c r="N1454" s="2" t="str">
        <f t="shared" ca="1" si="134"/>
        <v>N/A</v>
      </c>
      <c r="O1454" s="3">
        <f t="shared" ca="1" si="135"/>
        <v>40</v>
      </c>
      <c r="P1454" s="3" t="str">
        <f t="shared" ca="1" si="136"/>
        <v>N/A</v>
      </c>
      <c r="Q1454" s="1" t="str">
        <f>IF(K1454=1,"Joined",IF(H1454&gt;=70,"Dropped at Offer",IF(H1454&gt;=50,"Dropped at Interview","Dropped at Screening")))</f>
        <v>Dropped at Offer</v>
      </c>
      <c r="R1454" s="1" t="str">
        <f t="shared" ca="1" si="137"/>
        <v>Feb-2024</v>
      </c>
    </row>
    <row r="1455" spans="1:18">
      <c r="A1455">
        <v>38</v>
      </c>
      <c r="B1455">
        <v>1</v>
      </c>
      <c r="C1455">
        <v>3</v>
      </c>
      <c r="D1455">
        <v>6</v>
      </c>
      <c r="E1455">
        <v>1</v>
      </c>
      <c r="F1455">
        <v>32.118796573658699</v>
      </c>
      <c r="G1455">
        <v>47</v>
      </c>
      <c r="H1455">
        <v>16</v>
      </c>
      <c r="I1455">
        <v>81</v>
      </c>
      <c r="J1455">
        <v>1</v>
      </c>
      <c r="K1455">
        <v>0</v>
      </c>
      <c r="L1455" s="2">
        <f t="shared" si="132"/>
        <v>45292</v>
      </c>
      <c r="M1455" s="2">
        <f t="shared" ca="1" si="133"/>
        <v>45334</v>
      </c>
      <c r="N1455" s="2" t="str">
        <f t="shared" ca="1" si="134"/>
        <v>N/A</v>
      </c>
      <c r="O1455" s="3">
        <f t="shared" ca="1" si="135"/>
        <v>42</v>
      </c>
      <c r="P1455" s="3" t="str">
        <f t="shared" ca="1" si="136"/>
        <v>N/A</v>
      </c>
      <c r="Q1455" s="1" t="str">
        <f>IF(K1455=1,"Joined",IF(H1455&gt;=70,"Dropped at Offer",IF(H1455&gt;=50,"Dropped at Interview","Dropped at Screening")))</f>
        <v>Dropped at Screening</v>
      </c>
      <c r="R1455" s="1" t="str">
        <f t="shared" ca="1" si="137"/>
        <v>Feb-2024</v>
      </c>
    </row>
    <row r="1456" spans="1:18">
      <c r="A1456">
        <v>27</v>
      </c>
      <c r="B1456">
        <v>0</v>
      </c>
      <c r="C1456">
        <v>1</v>
      </c>
      <c r="D1456">
        <v>15</v>
      </c>
      <c r="E1456">
        <v>3</v>
      </c>
      <c r="F1456">
        <v>22.549393632859498</v>
      </c>
      <c r="G1456">
        <v>46</v>
      </c>
      <c r="H1456">
        <v>84</v>
      </c>
      <c r="I1456">
        <v>32</v>
      </c>
      <c r="J1456">
        <v>3</v>
      </c>
      <c r="K1456">
        <v>1</v>
      </c>
      <c r="L1456" s="2">
        <f t="shared" si="132"/>
        <v>45292</v>
      </c>
      <c r="M1456" s="2">
        <f t="shared" ca="1" si="133"/>
        <v>45316</v>
      </c>
      <c r="N1456" s="2">
        <f t="shared" ca="1" si="134"/>
        <v>45333</v>
      </c>
      <c r="O1456" s="3">
        <f t="shared" ca="1" si="135"/>
        <v>24</v>
      </c>
      <c r="P1456" s="3">
        <f t="shared" ca="1" si="136"/>
        <v>17</v>
      </c>
      <c r="Q1456" s="1" t="str">
        <f>IF(K1456=1,"Joined",IF(H1456&gt;=70,"Dropped at Offer",IF(H1456&gt;=50,"Dropped at Interview","Dropped at Screening")))</f>
        <v>Joined</v>
      </c>
      <c r="R1456" s="1" t="str">
        <f t="shared" ca="1" si="137"/>
        <v>Jan-2024</v>
      </c>
    </row>
    <row r="1457" spans="1:18">
      <c r="A1457">
        <v>29</v>
      </c>
      <c r="B1457">
        <v>1</v>
      </c>
      <c r="C1457">
        <v>2</v>
      </c>
      <c r="D1457">
        <v>0</v>
      </c>
      <c r="E1457">
        <v>2</v>
      </c>
      <c r="F1457">
        <v>15.408226144197499</v>
      </c>
      <c r="G1457">
        <v>77</v>
      </c>
      <c r="H1457">
        <v>56</v>
      </c>
      <c r="I1457">
        <v>20</v>
      </c>
      <c r="J1457">
        <v>1</v>
      </c>
      <c r="K1457">
        <v>1</v>
      </c>
      <c r="L1457" s="2">
        <f t="shared" si="132"/>
        <v>45292</v>
      </c>
      <c r="M1457" s="2">
        <f t="shared" ca="1" si="133"/>
        <v>45336</v>
      </c>
      <c r="N1457" s="2">
        <f t="shared" ca="1" si="134"/>
        <v>45366</v>
      </c>
      <c r="O1457" s="3">
        <f t="shared" ca="1" si="135"/>
        <v>44</v>
      </c>
      <c r="P1457" s="3">
        <f t="shared" ca="1" si="136"/>
        <v>30</v>
      </c>
      <c r="Q1457" s="1" t="str">
        <f>IF(K1457=1,"Joined",IF(H1457&gt;=70,"Dropped at Offer",IF(H1457&gt;=50,"Dropped at Interview","Dropped at Screening")))</f>
        <v>Joined</v>
      </c>
      <c r="R1457" s="1" t="str">
        <f t="shared" ca="1" si="137"/>
        <v>Feb-2024</v>
      </c>
    </row>
    <row r="1458" spans="1:18">
      <c r="A1458">
        <v>39</v>
      </c>
      <c r="B1458">
        <v>0</v>
      </c>
      <c r="C1458">
        <v>2</v>
      </c>
      <c r="D1458">
        <v>5</v>
      </c>
      <c r="E1458">
        <v>2</v>
      </c>
      <c r="F1458">
        <v>31.1960221831113</v>
      </c>
      <c r="G1458">
        <v>91</v>
      </c>
      <c r="H1458">
        <v>89</v>
      </c>
      <c r="I1458">
        <v>79</v>
      </c>
      <c r="J1458">
        <v>2</v>
      </c>
      <c r="K1458">
        <v>1</v>
      </c>
      <c r="L1458" s="2">
        <f t="shared" si="132"/>
        <v>45292</v>
      </c>
      <c r="M1458" s="2">
        <f t="shared" ca="1" si="133"/>
        <v>45321</v>
      </c>
      <c r="N1458" s="2">
        <f t="shared" ca="1" si="134"/>
        <v>45343</v>
      </c>
      <c r="O1458" s="3">
        <f t="shared" ca="1" si="135"/>
        <v>29</v>
      </c>
      <c r="P1458" s="3">
        <f t="shared" ca="1" si="136"/>
        <v>22</v>
      </c>
      <c r="Q1458" s="1" t="str">
        <f>IF(K1458=1,"Joined",IF(H1458&gt;=70,"Dropped at Offer",IF(H1458&gt;=50,"Dropped at Interview","Dropped at Screening")))</f>
        <v>Joined</v>
      </c>
      <c r="R1458" s="1" t="str">
        <f t="shared" ca="1" si="137"/>
        <v>Jan-2024</v>
      </c>
    </row>
    <row r="1459" spans="1:18">
      <c r="A1459">
        <v>34</v>
      </c>
      <c r="B1459">
        <v>1</v>
      </c>
      <c r="C1459">
        <v>3</v>
      </c>
      <c r="D1459">
        <v>8</v>
      </c>
      <c r="E1459">
        <v>1</v>
      </c>
      <c r="F1459">
        <v>3.4796754110042998</v>
      </c>
      <c r="G1459">
        <v>52</v>
      </c>
      <c r="H1459">
        <v>47</v>
      </c>
      <c r="I1459">
        <v>78</v>
      </c>
      <c r="J1459">
        <v>3</v>
      </c>
      <c r="K1459">
        <v>0</v>
      </c>
      <c r="L1459" s="2">
        <f t="shared" si="132"/>
        <v>45292</v>
      </c>
      <c r="M1459" s="2">
        <f t="shared" ca="1" si="133"/>
        <v>45318</v>
      </c>
      <c r="N1459" s="2" t="str">
        <f t="shared" ca="1" si="134"/>
        <v>N/A</v>
      </c>
      <c r="O1459" s="3">
        <f t="shared" ca="1" si="135"/>
        <v>26</v>
      </c>
      <c r="P1459" s="3" t="str">
        <f t="shared" ca="1" si="136"/>
        <v>N/A</v>
      </c>
      <c r="Q1459" s="1" t="str">
        <f>IF(K1459=1,"Joined",IF(H1459&gt;=70,"Dropped at Offer",IF(H1459&gt;=50,"Dropped at Interview","Dropped at Screening")))</f>
        <v>Dropped at Screening</v>
      </c>
      <c r="R1459" s="1" t="str">
        <f t="shared" ca="1" si="137"/>
        <v>Jan-2024</v>
      </c>
    </row>
    <row r="1460" spans="1:18">
      <c r="A1460">
        <v>34</v>
      </c>
      <c r="B1460">
        <v>1</v>
      </c>
      <c r="C1460">
        <v>2</v>
      </c>
      <c r="D1460">
        <v>1</v>
      </c>
      <c r="E1460">
        <v>2</v>
      </c>
      <c r="F1460">
        <v>5.7340495252397501</v>
      </c>
      <c r="G1460">
        <v>79</v>
      </c>
      <c r="H1460">
        <v>43</v>
      </c>
      <c r="I1460">
        <v>56</v>
      </c>
      <c r="J1460">
        <v>1</v>
      </c>
      <c r="K1460">
        <v>0</v>
      </c>
      <c r="L1460" s="2">
        <f t="shared" si="132"/>
        <v>45292</v>
      </c>
      <c r="M1460" s="2">
        <f t="shared" ca="1" si="133"/>
        <v>45321</v>
      </c>
      <c r="N1460" s="2" t="str">
        <f t="shared" ca="1" si="134"/>
        <v>N/A</v>
      </c>
      <c r="O1460" s="3">
        <f t="shared" ca="1" si="135"/>
        <v>29</v>
      </c>
      <c r="P1460" s="3" t="str">
        <f t="shared" ca="1" si="136"/>
        <v>N/A</v>
      </c>
      <c r="Q1460" s="1" t="str">
        <f>IF(K1460=1,"Joined",IF(H1460&gt;=70,"Dropped at Offer",IF(H1460&gt;=50,"Dropped at Interview","Dropped at Screening")))</f>
        <v>Dropped at Screening</v>
      </c>
      <c r="R1460" s="1" t="str">
        <f t="shared" ca="1" si="137"/>
        <v>Jan-2024</v>
      </c>
    </row>
    <row r="1461" spans="1:18">
      <c r="A1461">
        <v>48</v>
      </c>
      <c r="B1461">
        <v>0</v>
      </c>
      <c r="C1461">
        <v>2</v>
      </c>
      <c r="D1461">
        <v>13</v>
      </c>
      <c r="E1461">
        <v>1</v>
      </c>
      <c r="F1461">
        <v>2.6428348870198102</v>
      </c>
      <c r="G1461">
        <v>18</v>
      </c>
      <c r="H1461">
        <v>44</v>
      </c>
      <c r="I1461">
        <v>68</v>
      </c>
      <c r="J1461">
        <v>2</v>
      </c>
      <c r="K1461">
        <v>1</v>
      </c>
      <c r="L1461" s="2">
        <f t="shared" si="132"/>
        <v>45292</v>
      </c>
      <c r="M1461" s="2">
        <f t="shared" ca="1" si="133"/>
        <v>45325</v>
      </c>
      <c r="N1461" s="2">
        <f t="shared" ca="1" si="134"/>
        <v>45337</v>
      </c>
      <c r="O1461" s="3">
        <f t="shared" ca="1" si="135"/>
        <v>33</v>
      </c>
      <c r="P1461" s="3">
        <f t="shared" ca="1" si="136"/>
        <v>12</v>
      </c>
      <c r="Q1461" s="1" t="str">
        <f>IF(K1461=1,"Joined",IF(H1461&gt;=70,"Dropped at Offer",IF(H1461&gt;=50,"Dropped at Interview","Dropped at Screening")))</f>
        <v>Joined</v>
      </c>
      <c r="R1461" s="1" t="str">
        <f t="shared" ca="1" si="137"/>
        <v>Feb-2024</v>
      </c>
    </row>
    <row r="1462" spans="1:18">
      <c r="A1462">
        <v>20</v>
      </c>
      <c r="B1462">
        <v>0</v>
      </c>
      <c r="C1462">
        <v>2</v>
      </c>
      <c r="D1462">
        <v>2</v>
      </c>
      <c r="E1462">
        <v>5</v>
      </c>
      <c r="F1462">
        <v>25.958491663133</v>
      </c>
      <c r="G1462">
        <v>80</v>
      </c>
      <c r="H1462">
        <v>90</v>
      </c>
      <c r="I1462">
        <v>69</v>
      </c>
      <c r="J1462">
        <v>2</v>
      </c>
      <c r="K1462">
        <v>1</v>
      </c>
      <c r="L1462" s="2">
        <f t="shared" si="132"/>
        <v>45292</v>
      </c>
      <c r="M1462" s="2">
        <f t="shared" ca="1" si="133"/>
        <v>45326</v>
      </c>
      <c r="N1462" s="2">
        <f t="shared" ca="1" si="134"/>
        <v>45334</v>
      </c>
      <c r="O1462" s="3">
        <f t="shared" ca="1" si="135"/>
        <v>34</v>
      </c>
      <c r="P1462" s="3">
        <f t="shared" ca="1" si="136"/>
        <v>8</v>
      </c>
      <c r="Q1462" s="1" t="str">
        <f>IF(K1462=1,"Joined",IF(H1462&gt;=70,"Dropped at Offer",IF(H1462&gt;=50,"Dropped at Interview","Dropped at Screening")))</f>
        <v>Joined</v>
      </c>
      <c r="R1462" s="1" t="str">
        <f t="shared" ca="1" si="137"/>
        <v>Feb-2024</v>
      </c>
    </row>
    <row r="1463" spans="1:18">
      <c r="A1463">
        <v>39</v>
      </c>
      <c r="B1463">
        <v>1</v>
      </c>
      <c r="C1463">
        <v>2</v>
      </c>
      <c r="D1463">
        <v>9</v>
      </c>
      <c r="E1463">
        <v>4</v>
      </c>
      <c r="F1463">
        <v>31.0303314593591</v>
      </c>
      <c r="G1463">
        <v>89</v>
      </c>
      <c r="H1463">
        <v>79</v>
      </c>
      <c r="I1463">
        <v>66</v>
      </c>
      <c r="J1463">
        <v>2</v>
      </c>
      <c r="K1463">
        <v>1</v>
      </c>
      <c r="L1463" s="2">
        <f t="shared" si="132"/>
        <v>45292</v>
      </c>
      <c r="M1463" s="2">
        <f t="shared" ca="1" si="133"/>
        <v>45326</v>
      </c>
      <c r="N1463" s="2">
        <f t="shared" ca="1" si="134"/>
        <v>45353</v>
      </c>
      <c r="O1463" s="3">
        <f t="shared" ca="1" si="135"/>
        <v>34</v>
      </c>
      <c r="P1463" s="3">
        <f t="shared" ca="1" si="136"/>
        <v>27</v>
      </c>
      <c r="Q1463" s="1" t="str">
        <f>IF(K1463=1,"Joined",IF(H1463&gt;=70,"Dropped at Offer",IF(H1463&gt;=50,"Dropped at Interview","Dropped at Screening")))</f>
        <v>Joined</v>
      </c>
      <c r="R1463" s="1" t="str">
        <f t="shared" ca="1" si="137"/>
        <v>Feb-2024</v>
      </c>
    </row>
    <row r="1464" spans="1:18">
      <c r="A1464">
        <v>49</v>
      </c>
      <c r="B1464">
        <v>1</v>
      </c>
      <c r="C1464">
        <v>2</v>
      </c>
      <c r="D1464">
        <v>4</v>
      </c>
      <c r="E1464">
        <v>3</v>
      </c>
      <c r="F1464">
        <v>4.1239880678910401</v>
      </c>
      <c r="G1464">
        <v>5</v>
      </c>
      <c r="H1464">
        <v>89</v>
      </c>
      <c r="I1464">
        <v>47</v>
      </c>
      <c r="J1464">
        <v>2</v>
      </c>
      <c r="K1464">
        <v>1</v>
      </c>
      <c r="L1464" s="2">
        <f t="shared" si="132"/>
        <v>45292</v>
      </c>
      <c r="M1464" s="2">
        <f t="shared" ca="1" si="133"/>
        <v>45332</v>
      </c>
      <c r="N1464" s="2">
        <f t="shared" ca="1" si="134"/>
        <v>45351</v>
      </c>
      <c r="O1464" s="3">
        <f t="shared" ca="1" si="135"/>
        <v>40</v>
      </c>
      <c r="P1464" s="3">
        <f t="shared" ca="1" si="136"/>
        <v>19</v>
      </c>
      <c r="Q1464" s="1" t="str">
        <f>IF(K1464=1,"Joined",IF(H1464&gt;=70,"Dropped at Offer",IF(H1464&gt;=50,"Dropped at Interview","Dropped at Screening")))</f>
        <v>Joined</v>
      </c>
      <c r="R1464" s="1" t="str">
        <f t="shared" ca="1" si="137"/>
        <v>Feb-2024</v>
      </c>
    </row>
    <row r="1465" spans="1:18">
      <c r="A1465">
        <v>26</v>
      </c>
      <c r="B1465">
        <v>0</v>
      </c>
      <c r="C1465">
        <v>1</v>
      </c>
      <c r="D1465">
        <v>8</v>
      </c>
      <c r="E1465">
        <v>4</v>
      </c>
      <c r="F1465">
        <v>37.061223374945797</v>
      </c>
      <c r="G1465">
        <v>48</v>
      </c>
      <c r="H1465">
        <v>32</v>
      </c>
      <c r="I1465">
        <v>75</v>
      </c>
      <c r="J1465">
        <v>2</v>
      </c>
      <c r="K1465">
        <v>0</v>
      </c>
      <c r="L1465" s="2">
        <f t="shared" si="132"/>
        <v>45292</v>
      </c>
      <c r="M1465" s="2">
        <f t="shared" ca="1" si="133"/>
        <v>45328</v>
      </c>
      <c r="N1465" s="2" t="str">
        <f t="shared" ca="1" si="134"/>
        <v>N/A</v>
      </c>
      <c r="O1465" s="3">
        <f t="shared" ca="1" si="135"/>
        <v>36</v>
      </c>
      <c r="P1465" s="3" t="str">
        <f t="shared" ca="1" si="136"/>
        <v>N/A</v>
      </c>
      <c r="Q1465" s="1" t="str">
        <f>IF(K1465=1,"Joined",IF(H1465&gt;=70,"Dropped at Offer",IF(H1465&gt;=50,"Dropped at Interview","Dropped at Screening")))</f>
        <v>Dropped at Screening</v>
      </c>
      <c r="R1465" s="1" t="str">
        <f t="shared" ca="1" si="137"/>
        <v>Feb-2024</v>
      </c>
    </row>
    <row r="1466" spans="1:18">
      <c r="A1466">
        <v>46</v>
      </c>
      <c r="B1466">
        <v>0</v>
      </c>
      <c r="C1466">
        <v>4</v>
      </c>
      <c r="D1466">
        <v>3</v>
      </c>
      <c r="E1466">
        <v>4</v>
      </c>
      <c r="F1466">
        <v>12.519753575728201</v>
      </c>
      <c r="G1466">
        <v>72</v>
      </c>
      <c r="H1466">
        <v>30</v>
      </c>
      <c r="I1466">
        <v>99</v>
      </c>
      <c r="J1466">
        <v>2</v>
      </c>
      <c r="K1466">
        <v>1</v>
      </c>
      <c r="L1466" s="2">
        <f t="shared" si="132"/>
        <v>45292</v>
      </c>
      <c r="M1466" s="2">
        <f t="shared" ca="1" si="133"/>
        <v>45336</v>
      </c>
      <c r="N1466" s="2">
        <f t="shared" ca="1" si="134"/>
        <v>45355</v>
      </c>
      <c r="O1466" s="3">
        <f t="shared" ca="1" si="135"/>
        <v>44</v>
      </c>
      <c r="P1466" s="3">
        <f t="shared" ca="1" si="136"/>
        <v>19</v>
      </c>
      <c r="Q1466" s="1" t="str">
        <f>IF(K1466=1,"Joined",IF(H1466&gt;=70,"Dropped at Offer",IF(H1466&gt;=50,"Dropped at Interview","Dropped at Screening")))</f>
        <v>Joined</v>
      </c>
      <c r="R1466" s="1" t="str">
        <f t="shared" ca="1" si="137"/>
        <v>Feb-2024</v>
      </c>
    </row>
    <row r="1467" spans="1:18">
      <c r="A1467">
        <v>23</v>
      </c>
      <c r="B1467">
        <v>1</v>
      </c>
      <c r="C1467">
        <v>3</v>
      </c>
      <c r="D1467">
        <v>0</v>
      </c>
      <c r="E1467">
        <v>5</v>
      </c>
      <c r="F1467">
        <v>35.260072688493302</v>
      </c>
      <c r="G1467">
        <v>49</v>
      </c>
      <c r="H1467">
        <v>46</v>
      </c>
      <c r="I1467">
        <v>32</v>
      </c>
      <c r="J1467">
        <v>2</v>
      </c>
      <c r="K1467">
        <v>0</v>
      </c>
      <c r="L1467" s="2">
        <f t="shared" si="132"/>
        <v>45292</v>
      </c>
      <c r="M1467" s="2">
        <f t="shared" ca="1" si="133"/>
        <v>45308</v>
      </c>
      <c r="N1467" s="2" t="str">
        <f t="shared" ca="1" si="134"/>
        <v>N/A</v>
      </c>
      <c r="O1467" s="3">
        <f t="shared" ca="1" si="135"/>
        <v>16</v>
      </c>
      <c r="P1467" s="3" t="str">
        <f t="shared" ca="1" si="136"/>
        <v>N/A</v>
      </c>
      <c r="Q1467" s="1" t="str">
        <f>IF(K1467=1,"Joined",IF(H1467&gt;=70,"Dropped at Offer",IF(H1467&gt;=50,"Dropped at Interview","Dropped at Screening")))</f>
        <v>Dropped at Screening</v>
      </c>
      <c r="R1467" s="1" t="str">
        <f t="shared" ca="1" si="137"/>
        <v>Jan-2024</v>
      </c>
    </row>
    <row r="1468" spans="1:18">
      <c r="A1468">
        <v>48</v>
      </c>
      <c r="B1468">
        <v>0</v>
      </c>
      <c r="C1468">
        <v>4</v>
      </c>
      <c r="D1468">
        <v>3</v>
      </c>
      <c r="E1468">
        <v>2</v>
      </c>
      <c r="F1468">
        <v>50.0948570017622</v>
      </c>
      <c r="G1468">
        <v>80</v>
      </c>
      <c r="H1468">
        <v>5</v>
      </c>
      <c r="I1468">
        <v>35</v>
      </c>
      <c r="J1468">
        <v>2</v>
      </c>
      <c r="K1468">
        <v>1</v>
      </c>
      <c r="L1468" s="2">
        <f t="shared" si="132"/>
        <v>45292</v>
      </c>
      <c r="M1468" s="2">
        <f t="shared" ca="1" si="133"/>
        <v>45310</v>
      </c>
      <c r="N1468" s="2">
        <f t="shared" ca="1" si="134"/>
        <v>45323</v>
      </c>
      <c r="O1468" s="3">
        <f t="shared" ca="1" si="135"/>
        <v>18</v>
      </c>
      <c r="P1468" s="3">
        <f t="shared" ca="1" si="136"/>
        <v>13</v>
      </c>
      <c r="Q1468" s="1" t="str">
        <f>IF(K1468=1,"Joined",IF(H1468&gt;=70,"Dropped at Offer",IF(H1468&gt;=50,"Dropped at Interview","Dropped at Screening")))</f>
        <v>Joined</v>
      </c>
      <c r="R1468" s="1" t="str">
        <f t="shared" ca="1" si="137"/>
        <v>Jan-2024</v>
      </c>
    </row>
    <row r="1469" spans="1:18">
      <c r="A1469">
        <v>25</v>
      </c>
      <c r="B1469">
        <v>1</v>
      </c>
      <c r="C1469">
        <v>2</v>
      </c>
      <c r="D1469">
        <v>5</v>
      </c>
      <c r="E1469">
        <v>3</v>
      </c>
      <c r="F1469">
        <v>35.5552935026925</v>
      </c>
      <c r="G1469">
        <v>94</v>
      </c>
      <c r="H1469">
        <v>71</v>
      </c>
      <c r="I1469">
        <v>32</v>
      </c>
      <c r="J1469">
        <v>1</v>
      </c>
      <c r="K1469">
        <v>0</v>
      </c>
      <c r="L1469" s="2">
        <f t="shared" si="132"/>
        <v>45292</v>
      </c>
      <c r="M1469" s="2">
        <f t="shared" ca="1" si="133"/>
        <v>45322</v>
      </c>
      <c r="N1469" s="2" t="str">
        <f t="shared" ca="1" si="134"/>
        <v>N/A</v>
      </c>
      <c r="O1469" s="3">
        <f t="shared" ca="1" si="135"/>
        <v>30</v>
      </c>
      <c r="P1469" s="3" t="str">
        <f t="shared" ca="1" si="136"/>
        <v>N/A</v>
      </c>
      <c r="Q1469" s="1" t="str">
        <f>IF(K1469=1,"Joined",IF(H1469&gt;=70,"Dropped at Offer",IF(H1469&gt;=50,"Dropped at Interview","Dropped at Screening")))</f>
        <v>Dropped at Offer</v>
      </c>
      <c r="R1469" s="1" t="str">
        <f t="shared" ca="1" si="137"/>
        <v>Jan-2024</v>
      </c>
    </row>
    <row r="1470" spans="1:18">
      <c r="A1470">
        <v>44</v>
      </c>
      <c r="B1470">
        <v>1</v>
      </c>
      <c r="C1470">
        <v>3</v>
      </c>
      <c r="D1470">
        <v>4</v>
      </c>
      <c r="E1470">
        <v>2</v>
      </c>
      <c r="F1470">
        <v>45.159652646180398</v>
      </c>
      <c r="G1470">
        <v>11</v>
      </c>
      <c r="H1470">
        <v>70</v>
      </c>
      <c r="I1470">
        <v>30</v>
      </c>
      <c r="J1470">
        <v>3</v>
      </c>
      <c r="K1470">
        <v>1</v>
      </c>
      <c r="L1470" s="2">
        <f t="shared" si="132"/>
        <v>45292</v>
      </c>
      <c r="M1470" s="2">
        <f t="shared" ca="1" si="133"/>
        <v>45327</v>
      </c>
      <c r="N1470" s="2">
        <f t="shared" ca="1" si="134"/>
        <v>45348</v>
      </c>
      <c r="O1470" s="3">
        <f t="shared" ca="1" si="135"/>
        <v>35</v>
      </c>
      <c r="P1470" s="3">
        <f t="shared" ca="1" si="136"/>
        <v>21</v>
      </c>
      <c r="Q1470" s="1" t="str">
        <f>IF(K1470=1,"Joined",IF(H1470&gt;=70,"Dropped at Offer",IF(H1470&gt;=50,"Dropped at Interview","Dropped at Screening")))</f>
        <v>Joined</v>
      </c>
      <c r="R1470" s="1" t="str">
        <f t="shared" ca="1" si="137"/>
        <v>Feb-2024</v>
      </c>
    </row>
    <row r="1471" spans="1:18">
      <c r="A1471">
        <v>20</v>
      </c>
      <c r="B1471">
        <v>1</v>
      </c>
      <c r="C1471">
        <v>3</v>
      </c>
      <c r="D1471">
        <v>13</v>
      </c>
      <c r="E1471">
        <v>4</v>
      </c>
      <c r="F1471">
        <v>48.409925337153297</v>
      </c>
      <c r="G1471">
        <v>22</v>
      </c>
      <c r="H1471">
        <v>33</v>
      </c>
      <c r="I1471">
        <v>20</v>
      </c>
      <c r="J1471">
        <v>3</v>
      </c>
      <c r="K1471">
        <v>1</v>
      </c>
      <c r="L1471" s="2">
        <f t="shared" si="132"/>
        <v>45292</v>
      </c>
      <c r="M1471" s="2">
        <f t="shared" ca="1" si="133"/>
        <v>45325</v>
      </c>
      <c r="N1471" s="2">
        <f t="shared" ca="1" si="134"/>
        <v>45338</v>
      </c>
      <c r="O1471" s="3">
        <f t="shared" ca="1" si="135"/>
        <v>33</v>
      </c>
      <c r="P1471" s="3">
        <f t="shared" ca="1" si="136"/>
        <v>13</v>
      </c>
      <c r="Q1471" s="1" t="str">
        <f>IF(K1471=1,"Joined",IF(H1471&gt;=70,"Dropped at Offer",IF(H1471&gt;=50,"Dropped at Interview","Dropped at Screening")))</f>
        <v>Joined</v>
      </c>
      <c r="R1471" s="1" t="str">
        <f t="shared" ca="1" si="137"/>
        <v>Feb-2024</v>
      </c>
    </row>
    <row r="1472" spans="1:18">
      <c r="A1472">
        <v>48</v>
      </c>
      <c r="B1472">
        <v>1</v>
      </c>
      <c r="C1472">
        <v>2</v>
      </c>
      <c r="D1472">
        <v>12</v>
      </c>
      <c r="E1472">
        <v>1</v>
      </c>
      <c r="F1472">
        <v>25.337552417615701</v>
      </c>
      <c r="G1472">
        <v>53</v>
      </c>
      <c r="H1472">
        <v>52</v>
      </c>
      <c r="I1472">
        <v>26</v>
      </c>
      <c r="J1472">
        <v>2</v>
      </c>
      <c r="K1472">
        <v>0</v>
      </c>
      <c r="L1472" s="2">
        <f t="shared" si="132"/>
        <v>45292</v>
      </c>
      <c r="M1472" s="2">
        <f t="shared" ca="1" si="133"/>
        <v>45332</v>
      </c>
      <c r="N1472" s="2" t="str">
        <f t="shared" ca="1" si="134"/>
        <v>N/A</v>
      </c>
      <c r="O1472" s="3">
        <f t="shared" ca="1" si="135"/>
        <v>40</v>
      </c>
      <c r="P1472" s="3" t="str">
        <f t="shared" ca="1" si="136"/>
        <v>N/A</v>
      </c>
      <c r="Q1472" s="1" t="str">
        <f>IF(K1472=1,"Joined",IF(H1472&gt;=70,"Dropped at Offer",IF(H1472&gt;=50,"Dropped at Interview","Dropped at Screening")))</f>
        <v>Dropped at Interview</v>
      </c>
      <c r="R1472" s="1" t="str">
        <f t="shared" ca="1" si="137"/>
        <v>Feb-2024</v>
      </c>
    </row>
    <row r="1473" spans="1:18">
      <c r="A1473">
        <v>24</v>
      </c>
      <c r="B1473">
        <v>0</v>
      </c>
      <c r="C1473">
        <v>2</v>
      </c>
      <c r="D1473">
        <v>0</v>
      </c>
      <c r="E1473">
        <v>4</v>
      </c>
      <c r="F1473">
        <v>36.116248970985303</v>
      </c>
      <c r="G1473">
        <v>68</v>
      </c>
      <c r="H1473">
        <v>13</v>
      </c>
      <c r="I1473">
        <v>90</v>
      </c>
      <c r="J1473">
        <v>2</v>
      </c>
      <c r="K1473">
        <v>0</v>
      </c>
      <c r="L1473" s="2">
        <f t="shared" si="132"/>
        <v>45292</v>
      </c>
      <c r="M1473" s="2">
        <f t="shared" ca="1" si="133"/>
        <v>45333</v>
      </c>
      <c r="N1473" s="2" t="str">
        <f t="shared" ca="1" si="134"/>
        <v>N/A</v>
      </c>
      <c r="O1473" s="3">
        <f t="shared" ca="1" si="135"/>
        <v>41</v>
      </c>
      <c r="P1473" s="3" t="str">
        <f t="shared" ca="1" si="136"/>
        <v>N/A</v>
      </c>
      <c r="Q1473" s="1" t="str">
        <f>IF(K1473=1,"Joined",IF(H1473&gt;=70,"Dropped at Offer",IF(H1473&gt;=50,"Dropped at Interview","Dropped at Screening")))</f>
        <v>Dropped at Screening</v>
      </c>
      <c r="R1473" s="1" t="str">
        <f t="shared" ca="1" si="137"/>
        <v>Feb-2024</v>
      </c>
    </row>
    <row r="1474" spans="1:18">
      <c r="A1474">
        <v>46</v>
      </c>
      <c r="B1474">
        <v>0</v>
      </c>
      <c r="C1474">
        <v>2</v>
      </c>
      <c r="D1474">
        <v>3</v>
      </c>
      <c r="E1474">
        <v>2</v>
      </c>
      <c r="F1474">
        <v>43.598462677792</v>
      </c>
      <c r="G1474">
        <v>99</v>
      </c>
      <c r="H1474">
        <v>15</v>
      </c>
      <c r="I1474">
        <v>71</v>
      </c>
      <c r="J1474">
        <v>2</v>
      </c>
      <c r="K1474">
        <v>1</v>
      </c>
      <c r="L1474" s="2">
        <f t="shared" ref="L1474:L1501" si="138">DATE(2024,1,1)</f>
        <v>45292</v>
      </c>
      <c r="M1474" s="2">
        <f t="shared" ref="M1474:M1537" ca="1" si="139">L1474+RANDBETWEEN(14,45)</f>
        <v>45330</v>
      </c>
      <c r="N1474" s="2">
        <f t="shared" ref="N1474:N1537" ca="1" si="140">IF(K1474=1, M1474+RANDBETWEEN(7,30), "N/A")</f>
        <v>45350</v>
      </c>
      <c r="O1474" s="3">
        <f t="shared" ref="O1474:O1501" ca="1" si="141">IF(AND(M1474&lt;&gt;"",L1474&lt;&gt;""), M1474-L1474, "N/A")</f>
        <v>38</v>
      </c>
      <c r="P1474" s="3">
        <f t="shared" ref="P1474:Q1501" ca="1" si="142">IF(AND(K1474=1, N1474&lt;&gt;"", M1474&lt;&gt;""), N1474 - M1474, "N/A")</f>
        <v>20</v>
      </c>
      <c r="Q1474" s="1" t="str">
        <f>IF(K1474=1,"Joined",IF(H1474&gt;=70,"Dropped at Offer",IF(H1474&gt;=50,"Dropped at Interview","Dropped at Screening")))</f>
        <v>Joined</v>
      </c>
      <c r="R1474" s="1" t="str">
        <f t="shared" ref="R1474:R1501" ca="1" si="143">TEXT(M1474,"MMM-YYYY")</f>
        <v>Feb-2024</v>
      </c>
    </row>
    <row r="1475" spans="1:18">
      <c r="A1475">
        <v>42</v>
      </c>
      <c r="B1475">
        <v>0</v>
      </c>
      <c r="C1475">
        <v>3</v>
      </c>
      <c r="D1475">
        <v>5</v>
      </c>
      <c r="E1475">
        <v>4</v>
      </c>
      <c r="F1475">
        <v>18.830445643719301</v>
      </c>
      <c r="G1475">
        <v>58</v>
      </c>
      <c r="H1475">
        <v>42</v>
      </c>
      <c r="I1475">
        <v>100</v>
      </c>
      <c r="J1475">
        <v>2</v>
      </c>
      <c r="K1475">
        <v>0</v>
      </c>
      <c r="L1475" s="2">
        <f t="shared" si="138"/>
        <v>45292</v>
      </c>
      <c r="M1475" s="2">
        <f t="shared" ca="1" si="139"/>
        <v>45336</v>
      </c>
      <c r="N1475" s="2" t="str">
        <f t="shared" ca="1" si="140"/>
        <v>N/A</v>
      </c>
      <c r="O1475" s="3">
        <f t="shared" ca="1" si="141"/>
        <v>44</v>
      </c>
      <c r="P1475" s="3" t="str">
        <f t="shared" ca="1" si="142"/>
        <v>N/A</v>
      </c>
      <c r="Q1475" s="1" t="str">
        <f>IF(K1475=1,"Joined",IF(H1475&gt;=70,"Dropped at Offer",IF(H1475&gt;=50,"Dropped at Interview","Dropped at Screening")))</f>
        <v>Dropped at Screening</v>
      </c>
      <c r="R1475" s="1" t="str">
        <f t="shared" ca="1" si="143"/>
        <v>Feb-2024</v>
      </c>
    </row>
    <row r="1476" spans="1:18">
      <c r="A1476">
        <v>20</v>
      </c>
      <c r="B1476">
        <v>0</v>
      </c>
      <c r="C1476">
        <v>2</v>
      </c>
      <c r="D1476">
        <v>12</v>
      </c>
      <c r="E1476">
        <v>1</v>
      </c>
      <c r="F1476">
        <v>14.069865828019701</v>
      </c>
      <c r="G1476">
        <v>35</v>
      </c>
      <c r="H1476">
        <v>72</v>
      </c>
      <c r="I1476">
        <v>61</v>
      </c>
      <c r="J1476">
        <v>2</v>
      </c>
      <c r="K1476">
        <v>1</v>
      </c>
      <c r="L1476" s="2">
        <f t="shared" si="138"/>
        <v>45292</v>
      </c>
      <c r="M1476" s="2">
        <f t="shared" ca="1" si="139"/>
        <v>45335</v>
      </c>
      <c r="N1476" s="2">
        <f t="shared" ca="1" si="140"/>
        <v>45357</v>
      </c>
      <c r="O1476" s="3">
        <f t="shared" ca="1" si="141"/>
        <v>43</v>
      </c>
      <c r="P1476" s="3">
        <f t="shared" ca="1" si="142"/>
        <v>22</v>
      </c>
      <c r="Q1476" s="1" t="str">
        <f>IF(K1476=1,"Joined",IF(H1476&gt;=70,"Dropped at Offer",IF(H1476&gt;=50,"Dropped at Interview","Dropped at Screening")))</f>
        <v>Joined</v>
      </c>
      <c r="R1476" s="1" t="str">
        <f t="shared" ca="1" si="143"/>
        <v>Feb-2024</v>
      </c>
    </row>
    <row r="1477" spans="1:18">
      <c r="A1477">
        <v>49</v>
      </c>
      <c r="B1477">
        <v>0</v>
      </c>
      <c r="C1477">
        <v>1</v>
      </c>
      <c r="D1477">
        <v>14</v>
      </c>
      <c r="E1477">
        <v>5</v>
      </c>
      <c r="F1477">
        <v>48.329928638916897</v>
      </c>
      <c r="G1477">
        <v>2</v>
      </c>
      <c r="H1477">
        <v>73</v>
      </c>
      <c r="I1477">
        <v>95</v>
      </c>
      <c r="J1477">
        <v>1</v>
      </c>
      <c r="K1477">
        <v>0</v>
      </c>
      <c r="L1477" s="2">
        <f t="shared" si="138"/>
        <v>45292</v>
      </c>
      <c r="M1477" s="2">
        <f t="shared" ca="1" si="139"/>
        <v>45309</v>
      </c>
      <c r="N1477" s="2" t="str">
        <f t="shared" ca="1" si="140"/>
        <v>N/A</v>
      </c>
      <c r="O1477" s="3">
        <f t="shared" ca="1" si="141"/>
        <v>17</v>
      </c>
      <c r="P1477" s="3" t="str">
        <f t="shared" ca="1" si="142"/>
        <v>N/A</v>
      </c>
      <c r="Q1477" s="1" t="str">
        <f>IF(K1477=1,"Joined",IF(H1477&gt;=70,"Dropped at Offer",IF(H1477&gt;=50,"Dropped at Interview","Dropped at Screening")))</f>
        <v>Dropped at Offer</v>
      </c>
      <c r="R1477" s="1" t="str">
        <f t="shared" ca="1" si="143"/>
        <v>Jan-2024</v>
      </c>
    </row>
    <row r="1478" spans="1:18">
      <c r="A1478">
        <v>23</v>
      </c>
      <c r="B1478">
        <v>0</v>
      </c>
      <c r="C1478">
        <v>2</v>
      </c>
      <c r="D1478">
        <v>9</v>
      </c>
      <c r="E1478">
        <v>2</v>
      </c>
      <c r="F1478">
        <v>37.315175018440897</v>
      </c>
      <c r="G1478">
        <v>57</v>
      </c>
      <c r="H1478">
        <v>80</v>
      </c>
      <c r="I1478">
        <v>25</v>
      </c>
      <c r="J1478">
        <v>2</v>
      </c>
      <c r="K1478">
        <v>1</v>
      </c>
      <c r="L1478" s="2">
        <f t="shared" si="138"/>
        <v>45292</v>
      </c>
      <c r="M1478" s="2">
        <f t="shared" ca="1" si="139"/>
        <v>45327</v>
      </c>
      <c r="N1478" s="2">
        <f t="shared" ca="1" si="140"/>
        <v>45344</v>
      </c>
      <c r="O1478" s="3">
        <f t="shared" ca="1" si="141"/>
        <v>35</v>
      </c>
      <c r="P1478" s="3">
        <f t="shared" ca="1" si="142"/>
        <v>17</v>
      </c>
      <c r="Q1478" s="1" t="str">
        <f>IF(K1478=1,"Joined",IF(H1478&gt;=70,"Dropped at Offer",IF(H1478&gt;=50,"Dropped at Interview","Dropped at Screening")))</f>
        <v>Joined</v>
      </c>
      <c r="R1478" s="1" t="str">
        <f t="shared" ca="1" si="143"/>
        <v>Feb-2024</v>
      </c>
    </row>
    <row r="1479" spans="1:18">
      <c r="A1479">
        <v>41</v>
      </c>
      <c r="B1479">
        <v>0</v>
      </c>
      <c r="C1479">
        <v>4</v>
      </c>
      <c r="D1479">
        <v>9</v>
      </c>
      <c r="E1479">
        <v>4</v>
      </c>
      <c r="F1479">
        <v>11.9841066687913</v>
      </c>
      <c r="G1479">
        <v>87</v>
      </c>
      <c r="H1479">
        <v>11</v>
      </c>
      <c r="I1479">
        <v>65</v>
      </c>
      <c r="J1479">
        <v>1</v>
      </c>
      <c r="K1479">
        <v>1</v>
      </c>
      <c r="L1479" s="2">
        <f t="shared" si="138"/>
        <v>45292</v>
      </c>
      <c r="M1479" s="2">
        <f t="shared" ca="1" si="139"/>
        <v>45318</v>
      </c>
      <c r="N1479" s="2">
        <f t="shared" ca="1" si="140"/>
        <v>45340</v>
      </c>
      <c r="O1479" s="3">
        <f t="shared" ca="1" si="141"/>
        <v>26</v>
      </c>
      <c r="P1479" s="3">
        <f t="shared" ca="1" si="142"/>
        <v>22</v>
      </c>
      <c r="Q1479" s="1" t="str">
        <f>IF(K1479=1,"Joined",IF(H1479&gt;=70,"Dropped at Offer",IF(H1479&gt;=50,"Dropped at Interview","Dropped at Screening")))</f>
        <v>Joined</v>
      </c>
      <c r="R1479" s="1" t="str">
        <f t="shared" ca="1" si="143"/>
        <v>Jan-2024</v>
      </c>
    </row>
    <row r="1480" spans="1:18">
      <c r="A1480">
        <v>21</v>
      </c>
      <c r="B1480">
        <v>1</v>
      </c>
      <c r="C1480">
        <v>3</v>
      </c>
      <c r="D1480">
        <v>13</v>
      </c>
      <c r="E1480">
        <v>2</v>
      </c>
      <c r="F1480">
        <v>23.454169633805598</v>
      </c>
      <c r="G1480">
        <v>54</v>
      </c>
      <c r="H1480">
        <v>69</v>
      </c>
      <c r="I1480">
        <v>11</v>
      </c>
      <c r="J1480">
        <v>1</v>
      </c>
      <c r="K1480">
        <v>1</v>
      </c>
      <c r="L1480" s="2">
        <f t="shared" si="138"/>
        <v>45292</v>
      </c>
      <c r="M1480" s="2">
        <f t="shared" ca="1" si="139"/>
        <v>45316</v>
      </c>
      <c r="N1480" s="2">
        <f t="shared" ca="1" si="140"/>
        <v>45339</v>
      </c>
      <c r="O1480" s="3">
        <f t="shared" ca="1" si="141"/>
        <v>24</v>
      </c>
      <c r="P1480" s="3">
        <f t="shared" ca="1" si="142"/>
        <v>23</v>
      </c>
      <c r="Q1480" s="1" t="str">
        <f>IF(K1480=1,"Joined",IF(H1480&gt;=70,"Dropped at Offer",IF(H1480&gt;=50,"Dropped at Interview","Dropped at Screening")))</f>
        <v>Joined</v>
      </c>
      <c r="R1480" s="1" t="str">
        <f t="shared" ca="1" si="143"/>
        <v>Jan-2024</v>
      </c>
    </row>
    <row r="1481" spans="1:18">
      <c r="A1481">
        <v>29</v>
      </c>
      <c r="B1481">
        <v>0</v>
      </c>
      <c r="C1481">
        <v>4</v>
      </c>
      <c r="D1481">
        <v>3</v>
      </c>
      <c r="E1481">
        <v>5</v>
      </c>
      <c r="F1481">
        <v>40.822588476890402</v>
      </c>
      <c r="G1481">
        <v>56</v>
      </c>
      <c r="H1481">
        <v>18</v>
      </c>
      <c r="I1481">
        <v>21</v>
      </c>
      <c r="J1481">
        <v>2</v>
      </c>
      <c r="K1481">
        <v>1</v>
      </c>
      <c r="L1481" s="2">
        <f t="shared" si="138"/>
        <v>45292</v>
      </c>
      <c r="M1481" s="2">
        <f t="shared" ca="1" si="139"/>
        <v>45336</v>
      </c>
      <c r="N1481" s="2">
        <f t="shared" ca="1" si="140"/>
        <v>45361</v>
      </c>
      <c r="O1481" s="3">
        <f t="shared" ca="1" si="141"/>
        <v>44</v>
      </c>
      <c r="P1481" s="3">
        <f t="shared" ca="1" si="142"/>
        <v>25</v>
      </c>
      <c r="Q1481" s="1" t="str">
        <f>IF(K1481=1,"Joined",IF(H1481&gt;=70,"Dropped at Offer",IF(H1481&gt;=50,"Dropped at Interview","Dropped at Screening")))</f>
        <v>Joined</v>
      </c>
      <c r="R1481" s="1" t="str">
        <f t="shared" ca="1" si="143"/>
        <v>Feb-2024</v>
      </c>
    </row>
    <row r="1482" spans="1:18">
      <c r="A1482">
        <v>24</v>
      </c>
      <c r="B1482">
        <v>0</v>
      </c>
      <c r="C1482">
        <v>2</v>
      </c>
      <c r="D1482">
        <v>14</v>
      </c>
      <c r="E1482">
        <v>4</v>
      </c>
      <c r="F1482">
        <v>28.353149545922101</v>
      </c>
      <c r="G1482">
        <v>16</v>
      </c>
      <c r="H1482">
        <v>40</v>
      </c>
      <c r="I1482">
        <v>16</v>
      </c>
      <c r="J1482">
        <v>2</v>
      </c>
      <c r="K1482">
        <v>1</v>
      </c>
      <c r="L1482" s="2">
        <f t="shared" si="138"/>
        <v>45292</v>
      </c>
      <c r="M1482" s="2">
        <f t="shared" ca="1" si="139"/>
        <v>45330</v>
      </c>
      <c r="N1482" s="2">
        <f t="shared" ca="1" si="140"/>
        <v>45359</v>
      </c>
      <c r="O1482" s="3">
        <f t="shared" ca="1" si="141"/>
        <v>38</v>
      </c>
      <c r="P1482" s="3">
        <f t="shared" ca="1" si="142"/>
        <v>29</v>
      </c>
      <c r="Q1482" s="1" t="str">
        <f>IF(K1482=1,"Joined",IF(H1482&gt;=70,"Dropped at Offer",IF(H1482&gt;=50,"Dropped at Interview","Dropped at Screening")))</f>
        <v>Joined</v>
      </c>
      <c r="R1482" s="1" t="str">
        <f t="shared" ca="1" si="143"/>
        <v>Feb-2024</v>
      </c>
    </row>
    <row r="1483" spans="1:18">
      <c r="A1483">
        <v>46</v>
      </c>
      <c r="B1483">
        <v>1</v>
      </c>
      <c r="C1483">
        <v>2</v>
      </c>
      <c r="D1483">
        <v>13</v>
      </c>
      <c r="E1483">
        <v>4</v>
      </c>
      <c r="F1483">
        <v>33.497604908294399</v>
      </c>
      <c r="G1483">
        <v>38</v>
      </c>
      <c r="H1483">
        <v>52</v>
      </c>
      <c r="I1483">
        <v>6</v>
      </c>
      <c r="J1483">
        <v>2</v>
      </c>
      <c r="K1483">
        <v>1</v>
      </c>
      <c r="L1483" s="2">
        <f t="shared" si="138"/>
        <v>45292</v>
      </c>
      <c r="M1483" s="2">
        <f t="shared" ca="1" si="139"/>
        <v>45328</v>
      </c>
      <c r="N1483" s="2">
        <f t="shared" ca="1" si="140"/>
        <v>45342</v>
      </c>
      <c r="O1483" s="3">
        <f t="shared" ca="1" si="141"/>
        <v>36</v>
      </c>
      <c r="P1483" s="3">
        <f t="shared" ca="1" si="142"/>
        <v>14</v>
      </c>
      <c r="Q1483" s="1" t="str">
        <f>IF(K1483=1,"Joined",IF(H1483&gt;=70,"Dropped at Offer",IF(H1483&gt;=50,"Dropped at Interview","Dropped at Screening")))</f>
        <v>Joined</v>
      </c>
      <c r="R1483" s="1" t="str">
        <f t="shared" ca="1" si="143"/>
        <v>Feb-2024</v>
      </c>
    </row>
    <row r="1484" spans="1:18">
      <c r="A1484">
        <v>29</v>
      </c>
      <c r="B1484">
        <v>0</v>
      </c>
      <c r="C1484">
        <v>1</v>
      </c>
      <c r="D1484">
        <v>8</v>
      </c>
      <c r="E1484">
        <v>2</v>
      </c>
      <c r="F1484">
        <v>38.688410102252597</v>
      </c>
      <c r="G1484">
        <v>89</v>
      </c>
      <c r="H1484">
        <v>28</v>
      </c>
      <c r="I1484">
        <v>67</v>
      </c>
      <c r="J1484">
        <v>2</v>
      </c>
      <c r="K1484">
        <v>1</v>
      </c>
      <c r="L1484" s="2">
        <f t="shared" si="138"/>
        <v>45292</v>
      </c>
      <c r="M1484" s="2">
        <f t="shared" ca="1" si="139"/>
        <v>45327</v>
      </c>
      <c r="N1484" s="2">
        <f t="shared" ca="1" si="140"/>
        <v>45354</v>
      </c>
      <c r="O1484" s="3">
        <f t="shared" ca="1" si="141"/>
        <v>35</v>
      </c>
      <c r="P1484" s="3">
        <f t="shared" ca="1" si="142"/>
        <v>27</v>
      </c>
      <c r="Q1484" s="1" t="str">
        <f>IF(K1484=1,"Joined",IF(H1484&gt;=70,"Dropped at Offer",IF(H1484&gt;=50,"Dropped at Interview","Dropped at Screening")))</f>
        <v>Joined</v>
      </c>
      <c r="R1484" s="1" t="str">
        <f t="shared" ca="1" si="143"/>
        <v>Feb-2024</v>
      </c>
    </row>
    <row r="1485" spans="1:18">
      <c r="A1485">
        <v>20</v>
      </c>
      <c r="B1485">
        <v>0</v>
      </c>
      <c r="C1485">
        <v>1</v>
      </c>
      <c r="D1485">
        <v>4</v>
      </c>
      <c r="E1485">
        <v>2</v>
      </c>
      <c r="F1485">
        <v>32.100459440449001</v>
      </c>
      <c r="G1485">
        <v>67</v>
      </c>
      <c r="H1485">
        <v>69</v>
      </c>
      <c r="I1485">
        <v>36</v>
      </c>
      <c r="J1485">
        <v>3</v>
      </c>
      <c r="K1485">
        <v>1</v>
      </c>
      <c r="L1485" s="2">
        <f t="shared" si="138"/>
        <v>45292</v>
      </c>
      <c r="M1485" s="2">
        <f t="shared" ca="1" si="139"/>
        <v>45325</v>
      </c>
      <c r="N1485" s="2">
        <f t="shared" ca="1" si="140"/>
        <v>45354</v>
      </c>
      <c r="O1485" s="3">
        <f t="shared" ca="1" si="141"/>
        <v>33</v>
      </c>
      <c r="P1485" s="3">
        <f t="shared" ca="1" si="142"/>
        <v>29</v>
      </c>
      <c r="Q1485" s="1" t="str">
        <f>IF(K1485=1,"Joined",IF(H1485&gt;=70,"Dropped at Offer",IF(H1485&gt;=50,"Dropped at Interview","Dropped at Screening")))</f>
        <v>Joined</v>
      </c>
      <c r="R1485" s="1" t="str">
        <f t="shared" ca="1" si="143"/>
        <v>Feb-2024</v>
      </c>
    </row>
    <row r="1486" spans="1:18">
      <c r="A1486">
        <v>41</v>
      </c>
      <c r="B1486">
        <v>1</v>
      </c>
      <c r="C1486">
        <v>1</v>
      </c>
      <c r="D1486">
        <v>7</v>
      </c>
      <c r="E1486">
        <v>1</v>
      </c>
      <c r="F1486">
        <v>28.0039660961097</v>
      </c>
      <c r="G1486">
        <v>54</v>
      </c>
      <c r="H1486">
        <v>58</v>
      </c>
      <c r="I1486">
        <v>37</v>
      </c>
      <c r="J1486">
        <v>2</v>
      </c>
      <c r="K1486">
        <v>0</v>
      </c>
      <c r="L1486" s="2">
        <f t="shared" si="138"/>
        <v>45292</v>
      </c>
      <c r="M1486" s="2">
        <f t="shared" ca="1" si="139"/>
        <v>45310</v>
      </c>
      <c r="N1486" s="2" t="str">
        <f t="shared" ca="1" si="140"/>
        <v>N/A</v>
      </c>
      <c r="O1486" s="3">
        <f t="shared" ca="1" si="141"/>
        <v>18</v>
      </c>
      <c r="P1486" s="3" t="str">
        <f t="shared" ca="1" si="142"/>
        <v>N/A</v>
      </c>
      <c r="Q1486" s="1" t="str">
        <f>IF(K1486=1,"Joined",IF(H1486&gt;=70,"Dropped at Offer",IF(H1486&gt;=50,"Dropped at Interview","Dropped at Screening")))</f>
        <v>Dropped at Interview</v>
      </c>
      <c r="R1486" s="1" t="str">
        <f t="shared" ca="1" si="143"/>
        <v>Jan-2024</v>
      </c>
    </row>
    <row r="1487" spans="1:18">
      <c r="A1487">
        <v>25</v>
      </c>
      <c r="B1487">
        <v>0</v>
      </c>
      <c r="C1487">
        <v>2</v>
      </c>
      <c r="D1487">
        <v>8</v>
      </c>
      <c r="E1487">
        <v>5</v>
      </c>
      <c r="F1487">
        <v>38.480714219388602</v>
      </c>
      <c r="G1487">
        <v>44</v>
      </c>
      <c r="H1487">
        <v>88</v>
      </c>
      <c r="I1487">
        <v>95</v>
      </c>
      <c r="J1487">
        <v>2</v>
      </c>
      <c r="K1487">
        <v>0</v>
      </c>
      <c r="L1487" s="2">
        <f t="shared" si="138"/>
        <v>45292</v>
      </c>
      <c r="M1487" s="2">
        <f t="shared" ca="1" si="139"/>
        <v>45329</v>
      </c>
      <c r="N1487" s="2" t="str">
        <f t="shared" ca="1" si="140"/>
        <v>N/A</v>
      </c>
      <c r="O1487" s="3">
        <f t="shared" ca="1" si="141"/>
        <v>37</v>
      </c>
      <c r="P1487" s="3" t="str">
        <f t="shared" ca="1" si="142"/>
        <v>N/A</v>
      </c>
      <c r="Q1487" s="1" t="str">
        <f>IF(K1487=1,"Joined",IF(H1487&gt;=70,"Dropped at Offer",IF(H1487&gt;=50,"Dropped at Interview","Dropped at Screening")))</f>
        <v>Dropped at Offer</v>
      </c>
      <c r="R1487" s="1" t="str">
        <f t="shared" ca="1" si="143"/>
        <v>Feb-2024</v>
      </c>
    </row>
    <row r="1488" spans="1:18">
      <c r="A1488">
        <v>32</v>
      </c>
      <c r="B1488">
        <v>0</v>
      </c>
      <c r="C1488">
        <v>1</v>
      </c>
      <c r="D1488">
        <v>9</v>
      </c>
      <c r="E1488">
        <v>1</v>
      </c>
      <c r="F1488">
        <v>37.37815177161</v>
      </c>
      <c r="G1488">
        <v>75</v>
      </c>
      <c r="H1488">
        <v>63</v>
      </c>
      <c r="I1488">
        <v>10</v>
      </c>
      <c r="J1488">
        <v>1</v>
      </c>
      <c r="K1488">
        <v>0</v>
      </c>
      <c r="L1488" s="2">
        <f t="shared" si="138"/>
        <v>45292</v>
      </c>
      <c r="M1488" s="2">
        <f t="shared" ca="1" si="139"/>
        <v>45337</v>
      </c>
      <c r="N1488" s="2" t="str">
        <f t="shared" ca="1" si="140"/>
        <v>N/A</v>
      </c>
      <c r="O1488" s="3">
        <f t="shared" ca="1" si="141"/>
        <v>45</v>
      </c>
      <c r="P1488" s="3" t="str">
        <f t="shared" ca="1" si="142"/>
        <v>N/A</v>
      </c>
      <c r="Q1488" s="1" t="str">
        <f>IF(K1488=1,"Joined",IF(H1488&gt;=70,"Dropped at Offer",IF(H1488&gt;=50,"Dropped at Interview","Dropped at Screening")))</f>
        <v>Dropped at Interview</v>
      </c>
      <c r="R1488" s="1" t="str">
        <f t="shared" ca="1" si="143"/>
        <v>Feb-2024</v>
      </c>
    </row>
    <row r="1489" spans="1:18">
      <c r="A1489">
        <v>50</v>
      </c>
      <c r="B1489">
        <v>0</v>
      </c>
      <c r="C1489">
        <v>2</v>
      </c>
      <c r="D1489">
        <v>4</v>
      </c>
      <c r="E1489">
        <v>4</v>
      </c>
      <c r="F1489">
        <v>32.493620009158903</v>
      </c>
      <c r="G1489">
        <v>0</v>
      </c>
      <c r="H1489">
        <v>23</v>
      </c>
      <c r="I1489">
        <v>0</v>
      </c>
      <c r="J1489">
        <v>1</v>
      </c>
      <c r="K1489">
        <v>1</v>
      </c>
      <c r="L1489" s="2">
        <f t="shared" si="138"/>
        <v>45292</v>
      </c>
      <c r="M1489" s="2">
        <f t="shared" ca="1" si="139"/>
        <v>45328</v>
      </c>
      <c r="N1489" s="2">
        <f t="shared" ca="1" si="140"/>
        <v>45358</v>
      </c>
      <c r="O1489" s="3">
        <f t="shared" ca="1" si="141"/>
        <v>36</v>
      </c>
      <c r="P1489" s="3">
        <f t="shared" ca="1" si="142"/>
        <v>30</v>
      </c>
      <c r="Q1489" s="1" t="str">
        <f>IF(K1489=1,"Joined",IF(H1489&gt;=70,"Dropped at Offer",IF(H1489&gt;=50,"Dropped at Interview","Dropped at Screening")))</f>
        <v>Joined</v>
      </c>
      <c r="R1489" s="1" t="str">
        <f t="shared" ca="1" si="143"/>
        <v>Feb-2024</v>
      </c>
    </row>
    <row r="1490" spans="1:18">
      <c r="A1490">
        <v>34</v>
      </c>
      <c r="B1490">
        <v>1</v>
      </c>
      <c r="C1490">
        <v>4</v>
      </c>
      <c r="D1490">
        <v>5</v>
      </c>
      <c r="E1490">
        <v>2</v>
      </c>
      <c r="F1490">
        <v>18.989470669096399</v>
      </c>
      <c r="G1490">
        <v>20</v>
      </c>
      <c r="H1490">
        <v>88</v>
      </c>
      <c r="I1490">
        <v>24</v>
      </c>
      <c r="J1490">
        <v>2</v>
      </c>
      <c r="K1490">
        <v>1</v>
      </c>
      <c r="L1490" s="2">
        <f t="shared" si="138"/>
        <v>45292</v>
      </c>
      <c r="M1490" s="2">
        <f t="shared" ca="1" si="139"/>
        <v>45333</v>
      </c>
      <c r="N1490" s="2">
        <f t="shared" ca="1" si="140"/>
        <v>45358</v>
      </c>
      <c r="O1490" s="3">
        <f t="shared" ca="1" si="141"/>
        <v>41</v>
      </c>
      <c r="P1490" s="3">
        <f t="shared" ca="1" si="142"/>
        <v>25</v>
      </c>
      <c r="Q1490" s="1" t="str">
        <f>IF(K1490=1,"Joined",IF(H1490&gt;=70,"Dropped at Offer",IF(H1490&gt;=50,"Dropped at Interview","Dropped at Screening")))</f>
        <v>Joined</v>
      </c>
      <c r="R1490" s="1" t="str">
        <f t="shared" ca="1" si="143"/>
        <v>Feb-2024</v>
      </c>
    </row>
    <row r="1491" spans="1:18">
      <c r="A1491">
        <v>23</v>
      </c>
      <c r="B1491">
        <v>0</v>
      </c>
      <c r="C1491">
        <v>2</v>
      </c>
      <c r="D1491">
        <v>0</v>
      </c>
      <c r="E1491">
        <v>4</v>
      </c>
      <c r="F1491">
        <v>21.290604610013499</v>
      </c>
      <c r="G1491">
        <v>82</v>
      </c>
      <c r="H1491">
        <v>15</v>
      </c>
      <c r="I1491">
        <v>41</v>
      </c>
      <c r="J1491">
        <v>2</v>
      </c>
      <c r="K1491">
        <v>1</v>
      </c>
      <c r="L1491" s="2">
        <f t="shared" si="138"/>
        <v>45292</v>
      </c>
      <c r="M1491" s="2">
        <f t="shared" ca="1" si="139"/>
        <v>45332</v>
      </c>
      <c r="N1491" s="2">
        <f t="shared" ca="1" si="140"/>
        <v>45362</v>
      </c>
      <c r="O1491" s="3">
        <f t="shared" ca="1" si="141"/>
        <v>40</v>
      </c>
      <c r="P1491" s="3">
        <f t="shared" ca="1" si="142"/>
        <v>30</v>
      </c>
      <c r="Q1491" s="1" t="str">
        <f>IF(K1491=1,"Joined",IF(H1491&gt;=70,"Dropped at Offer",IF(H1491&gt;=50,"Dropped at Interview","Dropped at Screening")))</f>
        <v>Joined</v>
      </c>
      <c r="R1491" s="1" t="str">
        <f t="shared" ca="1" si="143"/>
        <v>Feb-2024</v>
      </c>
    </row>
    <row r="1492" spans="1:18">
      <c r="A1492">
        <v>32</v>
      </c>
      <c r="B1492">
        <v>0</v>
      </c>
      <c r="C1492">
        <v>3</v>
      </c>
      <c r="D1492">
        <v>10</v>
      </c>
      <c r="E1492">
        <v>4</v>
      </c>
      <c r="F1492">
        <v>49.521927444204799</v>
      </c>
      <c r="G1492">
        <v>20</v>
      </c>
      <c r="H1492">
        <v>51</v>
      </c>
      <c r="I1492">
        <v>51</v>
      </c>
      <c r="J1492">
        <v>2</v>
      </c>
      <c r="K1492">
        <v>0</v>
      </c>
      <c r="L1492" s="2">
        <f t="shared" si="138"/>
        <v>45292</v>
      </c>
      <c r="M1492" s="2">
        <f t="shared" ca="1" si="139"/>
        <v>45337</v>
      </c>
      <c r="N1492" s="2" t="str">
        <f t="shared" ca="1" si="140"/>
        <v>N/A</v>
      </c>
      <c r="O1492" s="3">
        <f t="shared" ca="1" si="141"/>
        <v>45</v>
      </c>
      <c r="P1492" s="3" t="str">
        <f t="shared" ca="1" si="142"/>
        <v>N/A</v>
      </c>
      <c r="Q1492" s="1" t="str">
        <f>IF(K1492=1,"Joined",IF(H1492&gt;=70,"Dropped at Offer",IF(H1492&gt;=50,"Dropped at Interview","Dropped at Screening")))</f>
        <v>Dropped at Interview</v>
      </c>
      <c r="R1492" s="1" t="str">
        <f t="shared" ca="1" si="143"/>
        <v>Feb-2024</v>
      </c>
    </row>
    <row r="1493" spans="1:18">
      <c r="A1493">
        <v>43</v>
      </c>
      <c r="B1493">
        <v>1</v>
      </c>
      <c r="C1493">
        <v>2</v>
      </c>
      <c r="D1493">
        <v>15</v>
      </c>
      <c r="E1493">
        <v>3</v>
      </c>
      <c r="F1493">
        <v>6.6192966145762897</v>
      </c>
      <c r="G1493">
        <v>51</v>
      </c>
      <c r="H1493">
        <v>79</v>
      </c>
      <c r="I1493">
        <v>23</v>
      </c>
      <c r="J1493">
        <v>2</v>
      </c>
      <c r="K1493">
        <v>0</v>
      </c>
      <c r="L1493" s="2">
        <f t="shared" si="138"/>
        <v>45292</v>
      </c>
      <c r="M1493" s="2">
        <f t="shared" ca="1" si="139"/>
        <v>45319</v>
      </c>
      <c r="N1493" s="2" t="str">
        <f t="shared" ca="1" si="140"/>
        <v>N/A</v>
      </c>
      <c r="O1493" s="3">
        <f t="shared" ca="1" si="141"/>
        <v>27</v>
      </c>
      <c r="P1493" s="3" t="str">
        <f t="shared" ca="1" si="142"/>
        <v>N/A</v>
      </c>
      <c r="Q1493" s="1" t="str">
        <f>IF(K1493=1,"Joined",IF(H1493&gt;=70,"Dropped at Offer",IF(H1493&gt;=50,"Dropped at Interview","Dropped at Screening")))</f>
        <v>Dropped at Offer</v>
      </c>
      <c r="R1493" s="1" t="str">
        <f t="shared" ca="1" si="143"/>
        <v>Jan-2024</v>
      </c>
    </row>
    <row r="1494" spans="1:18">
      <c r="A1494">
        <v>39</v>
      </c>
      <c r="B1494">
        <v>0</v>
      </c>
      <c r="C1494">
        <v>2</v>
      </c>
      <c r="D1494">
        <v>11</v>
      </c>
      <c r="E1494">
        <v>3</v>
      </c>
      <c r="F1494">
        <v>14.425245862641701</v>
      </c>
      <c r="G1494">
        <v>81</v>
      </c>
      <c r="H1494">
        <v>5</v>
      </c>
      <c r="I1494">
        <v>52</v>
      </c>
      <c r="J1494">
        <v>2</v>
      </c>
      <c r="K1494">
        <v>0</v>
      </c>
      <c r="L1494" s="2">
        <f t="shared" si="138"/>
        <v>45292</v>
      </c>
      <c r="M1494" s="2">
        <f t="shared" ca="1" si="139"/>
        <v>45316</v>
      </c>
      <c r="N1494" s="2" t="str">
        <f t="shared" ca="1" si="140"/>
        <v>N/A</v>
      </c>
      <c r="O1494" s="3">
        <f t="shared" ca="1" si="141"/>
        <v>24</v>
      </c>
      <c r="P1494" s="3" t="str">
        <f t="shared" ca="1" si="142"/>
        <v>N/A</v>
      </c>
      <c r="Q1494" s="1" t="str">
        <f>IF(K1494=1,"Joined",IF(H1494&gt;=70,"Dropped at Offer",IF(H1494&gt;=50,"Dropped at Interview","Dropped at Screening")))</f>
        <v>Dropped at Screening</v>
      </c>
      <c r="R1494" s="1" t="str">
        <f t="shared" ca="1" si="143"/>
        <v>Jan-2024</v>
      </c>
    </row>
    <row r="1495" spans="1:18">
      <c r="A1495">
        <v>43</v>
      </c>
      <c r="B1495">
        <v>1</v>
      </c>
      <c r="C1495">
        <v>2</v>
      </c>
      <c r="D1495">
        <v>14</v>
      </c>
      <c r="E1495">
        <v>4</v>
      </c>
      <c r="F1495">
        <v>25.620087960216701</v>
      </c>
      <c r="G1495">
        <v>42</v>
      </c>
      <c r="H1495">
        <v>36</v>
      </c>
      <c r="I1495">
        <v>55</v>
      </c>
      <c r="J1495">
        <v>1</v>
      </c>
      <c r="K1495">
        <v>0</v>
      </c>
      <c r="L1495" s="2">
        <f t="shared" si="138"/>
        <v>45292</v>
      </c>
      <c r="M1495" s="2">
        <f t="shared" ca="1" si="139"/>
        <v>45325</v>
      </c>
      <c r="N1495" s="2" t="str">
        <f t="shared" ca="1" si="140"/>
        <v>N/A</v>
      </c>
      <c r="O1495" s="3">
        <f t="shared" ca="1" si="141"/>
        <v>33</v>
      </c>
      <c r="P1495" s="3" t="str">
        <f t="shared" ca="1" si="142"/>
        <v>N/A</v>
      </c>
      <c r="Q1495" s="1" t="str">
        <f>IF(K1495=1,"Joined",IF(H1495&gt;=70,"Dropped at Offer",IF(H1495&gt;=50,"Dropped at Interview","Dropped at Screening")))</f>
        <v>Dropped at Screening</v>
      </c>
      <c r="R1495" s="1" t="str">
        <f t="shared" ca="1" si="143"/>
        <v>Feb-2024</v>
      </c>
    </row>
    <row r="1496" spans="1:18">
      <c r="A1496">
        <v>34</v>
      </c>
      <c r="B1496">
        <v>1</v>
      </c>
      <c r="C1496">
        <v>1</v>
      </c>
      <c r="D1496">
        <v>6</v>
      </c>
      <c r="E1496">
        <v>2</v>
      </c>
      <c r="F1496">
        <v>42.836484307189203</v>
      </c>
      <c r="G1496">
        <v>51</v>
      </c>
      <c r="H1496">
        <v>84</v>
      </c>
      <c r="I1496">
        <v>62</v>
      </c>
      <c r="J1496">
        <v>1</v>
      </c>
      <c r="K1496">
        <v>0</v>
      </c>
      <c r="L1496" s="2">
        <f t="shared" si="138"/>
        <v>45292</v>
      </c>
      <c r="M1496" s="2">
        <f t="shared" ca="1" si="139"/>
        <v>45308</v>
      </c>
      <c r="N1496" s="2" t="str">
        <f t="shared" ca="1" si="140"/>
        <v>N/A</v>
      </c>
      <c r="O1496" s="3">
        <f t="shared" ca="1" si="141"/>
        <v>16</v>
      </c>
      <c r="P1496" s="3" t="str">
        <f t="shared" ca="1" si="142"/>
        <v>N/A</v>
      </c>
      <c r="Q1496" s="1" t="str">
        <f>IF(K1496=1,"Joined",IF(H1496&gt;=70,"Dropped at Offer",IF(H1496&gt;=50,"Dropped at Interview","Dropped at Screening")))</f>
        <v>Dropped at Offer</v>
      </c>
      <c r="R1496" s="1" t="str">
        <f t="shared" ca="1" si="143"/>
        <v>Jan-2024</v>
      </c>
    </row>
    <row r="1497" spans="1:18">
      <c r="A1497">
        <v>48</v>
      </c>
      <c r="B1497">
        <v>0</v>
      </c>
      <c r="C1497">
        <v>2</v>
      </c>
      <c r="D1497">
        <v>3</v>
      </c>
      <c r="E1497">
        <v>4</v>
      </c>
      <c r="F1497">
        <v>9.1837831864863908</v>
      </c>
      <c r="G1497">
        <v>66</v>
      </c>
      <c r="H1497">
        <v>3</v>
      </c>
      <c r="I1497">
        <v>80</v>
      </c>
      <c r="J1497">
        <v>3</v>
      </c>
      <c r="K1497">
        <v>1</v>
      </c>
      <c r="L1497" s="2">
        <f t="shared" si="138"/>
        <v>45292</v>
      </c>
      <c r="M1497" s="2">
        <f t="shared" ca="1" si="139"/>
        <v>45331</v>
      </c>
      <c r="N1497" s="2">
        <f t="shared" ca="1" si="140"/>
        <v>45344</v>
      </c>
      <c r="O1497" s="3">
        <f t="shared" ca="1" si="141"/>
        <v>39</v>
      </c>
      <c r="P1497" s="3">
        <f t="shared" ca="1" si="142"/>
        <v>13</v>
      </c>
      <c r="Q1497" s="1" t="str">
        <f>IF(K1497=1,"Joined",IF(H1497&gt;=70,"Dropped at Offer",IF(H1497&gt;=50,"Dropped at Interview","Dropped at Screening")))</f>
        <v>Joined</v>
      </c>
      <c r="R1497" s="1" t="str">
        <f t="shared" ca="1" si="143"/>
        <v>Feb-2024</v>
      </c>
    </row>
    <row r="1498" spans="1:18">
      <c r="A1498">
        <v>27</v>
      </c>
      <c r="B1498">
        <v>1</v>
      </c>
      <c r="C1498">
        <v>2</v>
      </c>
      <c r="D1498">
        <v>10</v>
      </c>
      <c r="E1498">
        <v>3</v>
      </c>
      <c r="F1498">
        <v>14.847730906230399</v>
      </c>
      <c r="G1498">
        <v>43</v>
      </c>
      <c r="H1498">
        <v>97</v>
      </c>
      <c r="I1498">
        <v>7</v>
      </c>
      <c r="J1498">
        <v>2</v>
      </c>
      <c r="K1498">
        <v>0</v>
      </c>
      <c r="L1498" s="2">
        <f t="shared" si="138"/>
        <v>45292</v>
      </c>
      <c r="M1498" s="2">
        <f t="shared" ca="1" si="139"/>
        <v>45313</v>
      </c>
      <c r="N1498" s="2" t="str">
        <f t="shared" ca="1" si="140"/>
        <v>N/A</v>
      </c>
      <c r="O1498" s="3">
        <f t="shared" ca="1" si="141"/>
        <v>21</v>
      </c>
      <c r="P1498" s="3" t="str">
        <f t="shared" ca="1" si="142"/>
        <v>N/A</v>
      </c>
      <c r="Q1498" s="1" t="str">
        <f>IF(K1498=1,"Joined",IF(H1498&gt;=70,"Dropped at Offer",IF(H1498&gt;=50,"Dropped at Interview","Dropped at Screening")))</f>
        <v>Dropped at Offer</v>
      </c>
      <c r="R1498" s="1" t="str">
        <f t="shared" ca="1" si="143"/>
        <v>Jan-2024</v>
      </c>
    </row>
    <row r="1499" spans="1:18">
      <c r="A1499">
        <v>24</v>
      </c>
      <c r="B1499">
        <v>1</v>
      </c>
      <c r="C1499">
        <v>1</v>
      </c>
      <c r="D1499">
        <v>1</v>
      </c>
      <c r="E1499">
        <v>2</v>
      </c>
      <c r="F1499">
        <v>4.2899108897619396</v>
      </c>
      <c r="G1499">
        <v>31</v>
      </c>
      <c r="H1499">
        <v>91</v>
      </c>
      <c r="I1499">
        <v>58</v>
      </c>
      <c r="J1499">
        <v>1</v>
      </c>
      <c r="K1499">
        <v>1</v>
      </c>
      <c r="L1499" s="2">
        <f t="shared" si="138"/>
        <v>45292</v>
      </c>
      <c r="M1499" s="2">
        <f t="shared" ca="1" si="139"/>
        <v>45330</v>
      </c>
      <c r="N1499" s="2">
        <f t="shared" ca="1" si="140"/>
        <v>45356</v>
      </c>
      <c r="O1499" s="3">
        <f t="shared" ca="1" si="141"/>
        <v>38</v>
      </c>
      <c r="P1499" s="3">
        <f t="shared" ca="1" si="142"/>
        <v>26</v>
      </c>
      <c r="Q1499" s="1" t="str">
        <f>IF(K1499=1,"Joined",IF(H1499&gt;=70,"Dropped at Offer",IF(H1499&gt;=50,"Dropped at Interview","Dropped at Screening")))</f>
        <v>Joined</v>
      </c>
      <c r="R1499" s="1" t="str">
        <f t="shared" ca="1" si="143"/>
        <v>Feb-2024</v>
      </c>
    </row>
    <row r="1500" spans="1:18">
      <c r="A1500">
        <v>48</v>
      </c>
      <c r="B1500">
        <v>0</v>
      </c>
      <c r="C1500">
        <v>2</v>
      </c>
      <c r="D1500">
        <v>4</v>
      </c>
      <c r="E1500">
        <v>4</v>
      </c>
      <c r="F1500">
        <v>36.299263302540901</v>
      </c>
      <c r="G1500">
        <v>9</v>
      </c>
      <c r="H1500">
        <v>37</v>
      </c>
      <c r="I1500">
        <v>44</v>
      </c>
      <c r="J1500">
        <v>2</v>
      </c>
      <c r="K1500">
        <v>1</v>
      </c>
      <c r="L1500" s="2">
        <f t="shared" si="138"/>
        <v>45292</v>
      </c>
      <c r="M1500" s="2">
        <f t="shared" ca="1" si="139"/>
        <v>45306</v>
      </c>
      <c r="N1500" s="2">
        <f t="shared" ca="1" si="140"/>
        <v>45326</v>
      </c>
      <c r="O1500" s="3">
        <f t="shared" ca="1" si="141"/>
        <v>14</v>
      </c>
      <c r="P1500" s="3">
        <f t="shared" ca="1" si="142"/>
        <v>20</v>
      </c>
      <c r="Q1500" s="1" t="str">
        <f>IF(K1500=1,"Joined",IF(H1500&gt;=70,"Dropped at Offer",IF(H1500&gt;=50,"Dropped at Interview","Dropped at Screening")))</f>
        <v>Joined</v>
      </c>
      <c r="R1500" s="1" t="str">
        <f t="shared" ca="1" si="143"/>
        <v>Jan-2024</v>
      </c>
    </row>
    <row r="1501" spans="1:18">
      <c r="A1501">
        <v>34</v>
      </c>
      <c r="B1501">
        <v>1</v>
      </c>
      <c r="C1501">
        <v>2</v>
      </c>
      <c r="D1501">
        <v>11</v>
      </c>
      <c r="E1501">
        <v>5</v>
      </c>
      <c r="F1501">
        <v>12.910471773780801</v>
      </c>
      <c r="G1501">
        <v>63</v>
      </c>
      <c r="H1501">
        <v>40</v>
      </c>
      <c r="I1501">
        <v>26</v>
      </c>
      <c r="J1501">
        <v>2</v>
      </c>
      <c r="K1501">
        <v>1</v>
      </c>
      <c r="L1501" s="2">
        <f t="shared" si="138"/>
        <v>45292</v>
      </c>
      <c r="M1501" s="2">
        <f t="shared" ca="1" si="139"/>
        <v>45326</v>
      </c>
      <c r="N1501" s="2">
        <f t="shared" ca="1" si="140"/>
        <v>45343</v>
      </c>
      <c r="O1501" s="3">
        <f t="shared" ca="1" si="141"/>
        <v>34</v>
      </c>
      <c r="P1501" s="3">
        <f t="shared" ca="1" si="142"/>
        <v>17</v>
      </c>
      <c r="Q1501" s="1" t="str">
        <f>IF(K1501=1,"Joined",IF(H1501&gt;=70,"Dropped at Offer",IF(H1501&gt;=50,"Dropped at Interview","Dropped at Screening")))</f>
        <v>Joined</v>
      </c>
      <c r="R1501" s="1" t="str">
        <f t="shared" ca="1" si="143"/>
        <v>Feb-2024</v>
      </c>
    </row>
    <row r="1502" spans="1:18">
      <c r="L1502" s="1"/>
      <c r="M1502" s="1"/>
      <c r="N1502" s="1"/>
      <c r="O1502" s="3"/>
      <c r="P1502" s="3">
        <f ca="1">AVERAGEIF(P2:P1501, "&lt;&gt;N/A")</f>
        <v>18.984946236559139</v>
      </c>
    </row>
  </sheetData>
  <conditionalFormatting sqref="O2:O1501">
    <cfRule type="cellIs" dxfId="14" priority="3" operator="greaterThan">
      <formula>30</formula>
    </cfRule>
    <cfRule type="cellIs" dxfId="13" priority="4" operator="greaterThan">
      <formula>30</formula>
    </cfRule>
  </conditionalFormatting>
  <conditionalFormatting sqref="Z16:Z18">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2"/>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PivotData</vt:lpstr>
      <vt:lpstr>Dashboard</vt:lpstr>
      <vt:lpstr>recruitment_data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HARSHIL NAGWANI</cp:lastModifiedBy>
  <dcterms:created xsi:type="dcterms:W3CDTF">2026-04-23T14:20:40Z</dcterms:created>
  <dcterms:modified xsi:type="dcterms:W3CDTF">2026-04-23T14:20:40Z</dcterms:modified>
</cp:coreProperties>
</file>